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S:\Supply Chain\COMEX\02. IMPORTAÇÃO\01. PRÉ-EMBARQUE\05. Purchase Orders\POs 2026\10. OCT\ENERGY\DIRETO\PO 027956 - DRAFT - SC 019347 - MRP - COMPONENTES\"/>
    </mc:Choice>
  </mc:AlternateContent>
  <xr:revisionPtr revIDLastSave="0" documentId="13_ncr:1_{B335F861-2A29-4CD3-B588-11F134951D3F}" xr6:coauthVersionLast="47" xr6:coauthVersionMax="47" xr10:uidLastSave="{00000000-0000-0000-0000-000000000000}"/>
  <bookViews>
    <workbookView xWindow="-110" yWindow="-110" windowWidth="19420" windowHeight="10300" xr2:uid="{00000000-000D-0000-FFFF-FFFF00000000}"/>
  </bookViews>
  <sheets>
    <sheet name="Material for production" sheetId="8" r:id="rId1"/>
    <sheet name="Revision status 11.10.22" sheetId="14" state="hidden" r:id="rId2"/>
    <sheet name="Old descriptions" sheetId="12" state="hidden" r:id="rId3"/>
    <sheet name="Checklist (for Eletra's use)" sheetId="9" r:id="rId4"/>
    <sheet name="Plan1" sheetId="11" state="hidden" r:id="rId5"/>
  </sheets>
  <externalReferences>
    <externalReference r:id="rId6"/>
    <externalReference r:id="rId7"/>
  </externalReferences>
  <definedNames>
    <definedName name="_xlnm._FilterDatabase" localSheetId="0" hidden="1">'Material for production'!$A$18:$Y$214</definedName>
    <definedName name="_xlnm._FilterDatabase" localSheetId="2" hidden="1">'Old descriptions'!#REF!</definedName>
    <definedName name="_xlnm.Print_Area" localSheetId="0">'Material for production'!$A$1:$O$236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2" i="8" l="1"/>
  <c r="N211" i="8"/>
  <c r="O211" i="8" s="1"/>
  <c r="F211" i="8"/>
  <c r="D211" i="8"/>
  <c r="E258" i="8"/>
  <c r="E257" i="8"/>
  <c r="E256" i="8"/>
  <c r="E255" i="8"/>
  <c r="E254" i="8"/>
  <c r="E253" i="8"/>
  <c r="E252" i="8"/>
  <c r="E251" i="8"/>
  <c r="E250" i="8"/>
  <c r="E249" i="8"/>
  <c r="E248" i="8"/>
  <c r="E247" i="8"/>
  <c r="N210" i="8" l="1"/>
  <c r="O210" i="8" s="1"/>
  <c r="N209" i="8"/>
  <c r="O209" i="8" s="1"/>
  <c r="N208" i="8"/>
  <c r="O208" i="8" s="1"/>
  <c r="F210" i="8"/>
  <c r="F209" i="8"/>
  <c r="F208" i="8"/>
  <c r="D210" i="8"/>
  <c r="D208" i="8"/>
  <c r="D209" i="8"/>
  <c r="N205" i="8"/>
  <c r="N55" i="8"/>
  <c r="N46" i="8"/>
  <c r="N42" i="8" l="1"/>
  <c r="O46" i="8"/>
  <c r="N45" i="8"/>
  <c r="O206" i="8"/>
  <c r="N20" i="8"/>
  <c r="N21" i="8"/>
  <c r="N22" i="8"/>
  <c r="N23" i="8"/>
  <c r="N24" i="8"/>
  <c r="N25" i="8"/>
  <c r="N26" i="8"/>
  <c r="N27" i="8"/>
  <c r="N28" i="8"/>
  <c r="N29" i="8"/>
  <c r="N30" i="8"/>
  <c r="N31" i="8"/>
  <c r="N32" i="8"/>
  <c r="N33" i="8"/>
  <c r="N34" i="8"/>
  <c r="N35" i="8"/>
  <c r="N36" i="8"/>
  <c r="N37" i="8"/>
  <c r="N38" i="8"/>
  <c r="N39" i="8"/>
  <c r="N40" i="8"/>
  <c r="N41" i="8"/>
  <c r="N43" i="8"/>
  <c r="N44" i="8"/>
  <c r="N47" i="8"/>
  <c r="N48" i="8"/>
  <c r="N49" i="8"/>
  <c r="N50" i="8"/>
  <c r="N51" i="8"/>
  <c r="N52" i="8"/>
  <c r="N53" i="8"/>
  <c r="N54" i="8"/>
  <c r="O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7" i="8"/>
  <c r="N19" i="8"/>
  <c r="O27" i="8" l="1"/>
  <c r="O197" i="8"/>
  <c r="O185" i="8"/>
  <c r="O173" i="8"/>
  <c r="O161" i="8"/>
  <c r="O149" i="8"/>
  <c r="O137" i="8"/>
  <c r="O125" i="8"/>
  <c r="O113" i="8"/>
  <c r="O101" i="8"/>
  <c r="O89" i="8"/>
  <c r="O77" i="8"/>
  <c r="O65" i="8"/>
  <c r="O53" i="8"/>
  <c r="O38" i="8"/>
  <c r="O26" i="8"/>
  <c r="O39" i="8"/>
  <c r="O196" i="8"/>
  <c r="O184" i="8"/>
  <c r="O172" i="8"/>
  <c r="O160" i="8"/>
  <c r="O148" i="8"/>
  <c r="O136" i="8"/>
  <c r="O124" i="8"/>
  <c r="O112" i="8"/>
  <c r="O100" i="8"/>
  <c r="O88" i="8"/>
  <c r="O76" i="8"/>
  <c r="O64" i="8"/>
  <c r="O52" i="8"/>
  <c r="O37" i="8"/>
  <c r="O25" i="8"/>
  <c r="O19" i="8"/>
  <c r="O195" i="8"/>
  <c r="O183" i="8"/>
  <c r="O171" i="8"/>
  <c r="O159" i="8"/>
  <c r="O147" i="8"/>
  <c r="O135" i="8"/>
  <c r="O123" i="8"/>
  <c r="O111" i="8"/>
  <c r="O99" i="8"/>
  <c r="O87" i="8"/>
  <c r="O75" i="8"/>
  <c r="O63" i="8"/>
  <c r="O51" i="8"/>
  <c r="O36" i="8"/>
  <c r="O24" i="8"/>
  <c r="O207" i="8"/>
  <c r="O194" i="8"/>
  <c r="O182" i="8"/>
  <c r="O170" i="8"/>
  <c r="O158" i="8"/>
  <c r="O146" i="8"/>
  <c r="O134" i="8"/>
  <c r="O122" i="8"/>
  <c r="O110" i="8"/>
  <c r="O23" i="8"/>
  <c r="O205" i="8"/>
  <c r="O193" i="8"/>
  <c r="O181" i="8"/>
  <c r="O169" i="8"/>
  <c r="O157" i="8"/>
  <c r="O145" i="8"/>
  <c r="O133" i="8"/>
  <c r="O121" i="8"/>
  <c r="O109" i="8"/>
  <c r="O97" i="8"/>
  <c r="O85" i="8"/>
  <c r="O73" i="8"/>
  <c r="O61" i="8"/>
  <c r="O49" i="8"/>
  <c r="O34" i="8"/>
  <c r="O22" i="8"/>
  <c r="O204" i="8"/>
  <c r="O192" i="8"/>
  <c r="O180" i="8"/>
  <c r="O168" i="8"/>
  <c r="O156" i="8"/>
  <c r="O144" i="8"/>
  <c r="O132" i="8"/>
  <c r="O120" i="8"/>
  <c r="O108" i="8"/>
  <c r="O96" i="8"/>
  <c r="O84" i="8"/>
  <c r="O72" i="8"/>
  <c r="O60" i="8"/>
  <c r="O48" i="8"/>
  <c r="O33" i="8"/>
  <c r="O21" i="8"/>
  <c r="O74" i="8"/>
  <c r="O62" i="8"/>
  <c r="O203" i="8"/>
  <c r="O191" i="8"/>
  <c r="O179" i="8"/>
  <c r="O167" i="8"/>
  <c r="O155" i="8"/>
  <c r="O143" i="8"/>
  <c r="O131" i="8"/>
  <c r="O119" i="8"/>
  <c r="O107" i="8"/>
  <c r="O95" i="8"/>
  <c r="O83" i="8"/>
  <c r="O71" i="8"/>
  <c r="O59" i="8"/>
  <c r="O20" i="8"/>
  <c r="O32" i="8"/>
  <c r="O202" i="8"/>
  <c r="O190" i="8"/>
  <c r="O178" i="8"/>
  <c r="O166" i="8"/>
  <c r="O154" i="8"/>
  <c r="O142" i="8"/>
  <c r="O130" i="8"/>
  <c r="O118" i="8"/>
  <c r="O106" i="8"/>
  <c r="O94" i="8"/>
  <c r="O82" i="8"/>
  <c r="O70" i="8"/>
  <c r="O58" i="8"/>
  <c r="O44" i="8"/>
  <c r="O31" i="8"/>
  <c r="O47" i="8"/>
  <c r="O201" i="8"/>
  <c r="O189" i="8"/>
  <c r="O177" i="8"/>
  <c r="O165" i="8"/>
  <c r="O153" i="8"/>
  <c r="O141" i="8"/>
  <c r="O129" i="8"/>
  <c r="O117" i="8"/>
  <c r="O105" i="8"/>
  <c r="O93" i="8"/>
  <c r="O81" i="8"/>
  <c r="O69" i="8"/>
  <c r="O57" i="8"/>
  <c r="O43" i="8"/>
  <c r="O30" i="8"/>
  <c r="O200" i="8"/>
  <c r="O188" i="8"/>
  <c r="O176" i="8"/>
  <c r="O164" i="8"/>
  <c r="O152" i="8"/>
  <c r="O140" i="8"/>
  <c r="O128" i="8"/>
  <c r="O116" i="8"/>
  <c r="O104" i="8"/>
  <c r="O92" i="8"/>
  <c r="O80" i="8"/>
  <c r="O68" i="8"/>
  <c r="O56" i="8"/>
  <c r="O41" i="8"/>
  <c r="O29" i="8"/>
  <c r="O45" i="8"/>
  <c r="O50" i="8"/>
  <c r="O35" i="8"/>
  <c r="O199" i="8"/>
  <c r="O187" i="8"/>
  <c r="O175" i="8"/>
  <c r="O163" i="8"/>
  <c r="O151" i="8"/>
  <c r="O139" i="8"/>
  <c r="O127" i="8"/>
  <c r="O115" i="8"/>
  <c r="O103" i="8"/>
  <c r="O91" i="8"/>
  <c r="O79" i="8"/>
  <c r="O67" i="8"/>
  <c r="O40" i="8"/>
  <c r="O28" i="8"/>
  <c r="O98" i="8"/>
  <c r="O86" i="8"/>
  <c r="O198" i="8"/>
  <c r="O186" i="8"/>
  <c r="O174" i="8"/>
  <c r="O162" i="8"/>
  <c r="O150" i="8"/>
  <c r="O138" i="8"/>
  <c r="O126" i="8"/>
  <c r="O114" i="8"/>
  <c r="O102" i="8"/>
  <c r="O90" i="8"/>
  <c r="O78" i="8"/>
  <c r="O66" i="8"/>
  <c r="O54" i="8"/>
  <c r="O42"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19" i="8"/>
  <c r="N212" i="8" l="1"/>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L2" i="14"/>
  <c r="C3" i="14" l="1"/>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98" authorId="0" shapeId="0" xr:uid="{00000000-0006-0000-0300-000001000000}">
      <text>
        <r>
          <rPr>
            <b/>
            <sz val="9"/>
            <color indexed="81"/>
            <rFont val="Tahoma"/>
            <family val="2"/>
          </rPr>
          <t>Autor:</t>
        </r>
        <r>
          <rPr>
            <sz val="9"/>
            <color indexed="81"/>
            <rFont val="Tahoma"/>
            <family val="2"/>
          </rPr>
          <t xml:space="preserve">
Old Code: 2011100121
Substituto: 2050500063
Demanda consoildada.</t>
        </r>
      </text>
    </comment>
  </commentList>
</comments>
</file>

<file path=xl/sharedStrings.xml><?xml version="1.0" encoding="utf-8"?>
<sst xmlns="http://schemas.openxmlformats.org/spreadsheetml/2006/main" count="1407" uniqueCount="612">
  <si>
    <t>Seller:</t>
  </si>
  <si>
    <t>Buyer:</t>
  </si>
  <si>
    <t>Product description</t>
  </si>
  <si>
    <t>Total QTY</t>
  </si>
  <si>
    <t>Payment terms:</t>
  </si>
  <si>
    <t>Modal:</t>
  </si>
  <si>
    <t>Date:</t>
  </si>
  <si>
    <t>Eletra code</t>
  </si>
  <si>
    <t>Requested by:</t>
  </si>
  <si>
    <t>PO #</t>
  </si>
  <si>
    <t>APPROVAL</t>
  </si>
  <si>
    <t>REMARKS</t>
  </si>
  <si>
    <t>Hexing code</t>
  </si>
  <si>
    <t>ELETRA INDUSTRIA E COMERCIO DE MEDIDORES ELETRICOS LTDA</t>
  </si>
  <si>
    <t>CNPJ 12.115.480/0001-15</t>
  </si>
  <si>
    <t>Item</t>
  </si>
  <si>
    <t>Check</t>
  </si>
  <si>
    <t>Obs:</t>
  </si>
  <si>
    <t>Prazo de pagamento</t>
  </si>
  <si>
    <t>Dados do vendedor (seller)</t>
  </si>
  <si>
    <t>Dados do comprador (buyer)</t>
  </si>
  <si>
    <t>Incoterm</t>
  </si>
  <si>
    <t>Modal de embarque</t>
  </si>
  <si>
    <t>Setor requisitante</t>
  </si>
  <si>
    <t>Mês de produção/referência da cotação ou solicitação</t>
  </si>
  <si>
    <t>Número da PO</t>
  </si>
  <si>
    <t>Códigos Hexing (para material não produtivo)</t>
  </si>
  <si>
    <t>Códigos constando no MRP (material produtivo)</t>
  </si>
  <si>
    <t>Códigos para alteração manual (lista de exceções)</t>
  </si>
  <si>
    <t>Preços na cotação (material não produtivo)</t>
  </si>
  <si>
    <t>Preços unitários na price list (material produtivo)</t>
  </si>
  <si>
    <t>Percentual de perda (material produtivo)</t>
  </si>
  <si>
    <t>Lista de items do MOQ (material produtivo)</t>
  </si>
  <si>
    <t>Arredondamento p/ MOQ (material produtivo)</t>
  </si>
  <si>
    <t>Quantidades de acordo com solicitação de compra (material não produtivo)</t>
  </si>
  <si>
    <t>Peças plásticas (material produtivo)</t>
  </si>
  <si>
    <t>Fórmulas de multiplicação de valores e somas</t>
  </si>
  <si>
    <t>Arredondamento do valor total da PO para uma casa decimal (apenas Hexing)</t>
  </si>
  <si>
    <t>Lead time para material não produtivo</t>
  </si>
  <si>
    <t>Aéreo - Aprovação dos gestores (assinaturas do diretor responsável e do COO)</t>
  </si>
  <si>
    <t>Aéreo - justificativa do frete aéreo e estimativa de frete</t>
  </si>
  <si>
    <t>Saldo da conta contábil na aprovação do pedido</t>
  </si>
  <si>
    <t>Aprovação do pedido via TOP/EletraEA</t>
  </si>
  <si>
    <t>Observações gerais para vendedor</t>
  </si>
  <si>
    <t>#</t>
  </si>
  <si>
    <t>NCM</t>
  </si>
  <si>
    <t>For Eletra's use only</t>
  </si>
  <si>
    <t>Finalidade</t>
  </si>
  <si>
    <t>Centro de custos</t>
  </si>
  <si>
    <t>Requer LI?</t>
  </si>
  <si>
    <t>Projeto</t>
  </si>
  <si>
    <t>Assinatura do requisitante e do Supply Chain</t>
  </si>
  <si>
    <t>Please do not make any shipment, entirely or partially, without Eletra's Foreign Trade team explicit authorization.</t>
  </si>
  <si>
    <t>Incoterm:</t>
  </si>
  <si>
    <t>Month of production:</t>
  </si>
  <si>
    <t>Data:</t>
  </si>
  <si>
    <t>Matéria-prima</t>
  </si>
  <si>
    <t>Amostra</t>
  </si>
  <si>
    <t>Protótipo</t>
  </si>
  <si>
    <t>Revenda</t>
  </si>
  <si>
    <t>Consumo</t>
  </si>
  <si>
    <t>Imobilizado</t>
  </si>
  <si>
    <t>Old Descriptions</t>
  </si>
  <si>
    <t xml:space="preserve"> </t>
  </si>
  <si>
    <t>Assinado por:</t>
  </si>
  <si>
    <t>N/A</t>
  </si>
  <si>
    <t>NÃO</t>
  </si>
  <si>
    <t>Commercial plan / Business opportunity</t>
  </si>
  <si>
    <t>RESISTOR 3kO 5% 100ppm 1/16W 0402 (2010107040) SMT</t>
  </si>
  <si>
    <t>CONECTOR FÊMEA 2*6PIN 2.54mm 8.5mm Y (2090100411) PTH</t>
  </si>
  <si>
    <t>Ponte de Cobre Fase 3 (SHUNT) Estanhado - Cronos NG (3010502110) PTH</t>
  </si>
  <si>
    <t>MICROCONTROLADOR 2.2~3.8V 3kB 64kB LQFP48 (2050100831) SMT</t>
  </si>
  <si>
    <t>CAPACITOR 4.7µF 20% X5R 6.3V 0402 (2020101950) SMT</t>
  </si>
  <si>
    <t>CAPACITOR 1µF 10% X5R 6.3V 0402 (2020101980) SMT</t>
  </si>
  <si>
    <t>RESISTOR 330O 1% 100ppm 1/10W 0603 (2010102420) SMT</t>
  </si>
  <si>
    <t>REGULADOR DE TENSÃO LDO 2.7~36V 150mA 3.3V SOT89 (2050901581) SMT</t>
  </si>
  <si>
    <t>TRANSISTOR NPN;60V;0.2A;300;SOT-23 (2060900061) SMT</t>
  </si>
  <si>
    <t>CAPACITOR ELETROLITICO 10µF 10% X5R 25V 0805  (2020102200) SMT</t>
  </si>
  <si>
    <t>RESISTOR 2MO 5% 100ppm 1/16W 0402 (2010101680) SMT</t>
  </si>
  <si>
    <t>CAPACITOR 100nF 10% X5R 25V 0402 (2020102120) SMT</t>
  </si>
  <si>
    <t>RESISTOR 750R 1% 100ppm 1/16W 0402 (2010101800) SMT</t>
  </si>
  <si>
    <t>Ponte de Cobre Neutro Estanhado - Cronos NG (3040302540) PTH</t>
  </si>
  <si>
    <t>PLACA DE CIRCUITO IMPRESSO 2 189.99 mm 150.0 mm 1.6 mm não-RoHS (2150133560) SMT</t>
  </si>
  <si>
    <t>Date: ____/____/____</t>
  </si>
  <si>
    <t>Requesting Departament</t>
  </si>
  <si>
    <t>LCD HTN;49.5*16.2mm 3.4V 6*12;26mm (2120304121) PTH</t>
  </si>
  <si>
    <t>RESISTOR 240R 5% 100ppm 1/16W 0402 (2010101560) SMT</t>
  </si>
  <si>
    <t>RESISTOR 20R 1% 25PPM 1/8W 1206 (R06065) SMT (2010105060)</t>
  </si>
  <si>
    <t>PLACA DE CIRCUITO IMPRESSO 2 173.7mm*144mm*1.6mm/1 não-RoHS (2150135310) SMT</t>
  </si>
  <si>
    <t>DIODO RETIFICADOR TVS,400V,600W (2060302030) PTH</t>
  </si>
  <si>
    <t>PLACA DE CIRCUITO IMPRESSO 2 311.07*169*1.6mm/2 (2150130590) SMT</t>
  </si>
  <si>
    <t>Parafuso Cabeça Cilíndrica Fenda Cruzada M3x5 - Zincado Branco (3030106480)</t>
  </si>
  <si>
    <t>TRANSISTOR PNP -40V -0.2A 300 SOT-23 (2060900071) SMT</t>
  </si>
  <si>
    <t>CAPACITOR ELETROLITICO 220uF 20% 25V WH 2000h RAD-3.5mm/F8*11.5mm PTH (2020301151)</t>
  </si>
  <si>
    <t>CHIP DE MEDIÇÃO 5.0V 1 1 5000:1 SSOP16 (2050300741) SMT</t>
  </si>
  <si>
    <t>CRISTAL OSCILADOR 6.5536MHz 12pF 20ppm 30ppm SMD49S (2110301290) SMT</t>
  </si>
  <si>
    <t>REGULADOR DE TENSÃO 0.7~10V mA 3V SOT-23-3 (2050900401) SMT</t>
  </si>
  <si>
    <t>PLACA DE CIRCUITO IMPRESSO 2 101.79mm*322.0mm*1.6mm/2 não-RoHS (2150134280) SMT</t>
  </si>
  <si>
    <t>REGULADOR DE TENSÃO LDO 6~30V 100mA 5V SOT-89 (2050900031) SMT</t>
  </si>
  <si>
    <t>DIODO TVS 1500W 22.5V 6.5W DO-27 (2060300020) PTH</t>
  </si>
  <si>
    <t>Ponte de Cobre Fase 2 (SHUNT) Estanhado - Cronos NG PTH (3010502270)</t>
  </si>
  <si>
    <t>BATERIA DE LÍTIO (REVESTIDA) 3.6V 20mA 1.2Ah 50mm Ø14.3mm*24.8mm (2070100101)</t>
  </si>
  <si>
    <t>BOTÃO DO MOSTRADOR 6.2 * 6.2 * 11mm (2090701510) PTH</t>
  </si>
  <si>
    <t>Ponte de Cobre Fase 1 (SHUNT) Estanhado - Cronos NG PTH (3010502170)</t>
  </si>
  <si>
    <t>PLACA DE CIRCUITO IMPRESSO 2 330*165*1.6mm/2 não-RoHS (2150136750) SMT</t>
  </si>
  <si>
    <t>Parafuso Autoatarraxante ST3.9*8mm para Fixador das Pontes Medidor Ares 30/200 (3030300280)</t>
  </si>
  <si>
    <t>Botão de Silicone para Demanda e Mostrador RoHS (3080500390)</t>
  </si>
  <si>
    <t>Ponte de Cobre Fase (SHUNT) Estanhado - Cronos NG (3010502120)</t>
  </si>
  <si>
    <t>Botão de Silicone para Demanda e Mostrador (3080500130)</t>
  </si>
  <si>
    <t>CAPACITOR ELETROLITICO 470uF 20% 10V WH RAD-2.5mm/F6.3*12mm PTH (2020300192)</t>
  </si>
  <si>
    <t>CONECTOR MACHO 1*6PIN 2.5*6mm (2090101751) PTH</t>
  </si>
  <si>
    <t>INDUTOR 2.2mH 1kHz 10% 0.12A 6R RAD-3mm/7.5*11mm (2030700651) PTH</t>
  </si>
  <si>
    <t>Scj. Terminal de Tensão Poli Indireto 140 mm (M4) Latão Estanhado (Fio Preto) (3090306880)</t>
  </si>
  <si>
    <t>Scj. Terminal de Tensão Poli Indireto 140 mm (M4) Latão Estanhado (Fio Verde) (3090306860)</t>
  </si>
  <si>
    <t>Scj. Terminal de Tensão Poli Indireto 140 mm (M4) Latão Estanhado (Fio Amarelo) (3090306850)</t>
  </si>
  <si>
    <t>Scj. Terminal de Tensão Poli Indireto 140 mm (M4) Latão Estanhado (Fio Vermelho) (3090306870)</t>
  </si>
  <si>
    <t>CAPACITOR FILME 22nF 10% 330V RAD-10mm/12*11*5mm (2020500781) PTH</t>
  </si>
  <si>
    <t>PLACA DE CIRCUITO IMPRESSO 2 150.0mm*190.0mm*1.6mm/4 não-RoHS SMT (2150133570)</t>
  </si>
  <si>
    <t>CAPACITOR 100pF 1KV 5% NPO 1206 (2020103990) SMT</t>
  </si>
  <si>
    <t>REGULADOR DE TENSÃO AC/DC -0.3~700V 180mA (2050902561) SMT</t>
  </si>
  <si>
    <t>PLACA DE CIRCUITO IMPRESSO 2 144*173.68*1.6mm/1 (2150131760) SMT</t>
  </si>
  <si>
    <t>Terminal de Corrente - Medidor Poli - Zinco Níquel 5N.m (3040702190)</t>
  </si>
  <si>
    <t>Terminal de Corrente Repuxado 2,5mm Aço Zinco Níquel 30N.m - Medidor Ares 30/200 (3040702220)</t>
  </si>
  <si>
    <t>Parafuso do Terminal de Corrente - Fenda Simples - Aço Inox</t>
  </si>
  <si>
    <t>Parafuso Terminal de Corrente Medidor Indireto M4*9 Fenda Simples Zinco Níquel (3030109540)</t>
  </si>
  <si>
    <t>DIODO REGULADOR DE TENSÃO 0.92V,200V,3A,25ns,SMC (2060100042) SMT</t>
  </si>
  <si>
    <t>ALARME DE ABERTURA DA TAMPA PRINCIPAL 2.4mm  7.1*7.1*9.6mm (2090701550) PTH</t>
  </si>
  <si>
    <t>Tampa do Coletor RF (HEXNET) - Pantheon</t>
  </si>
  <si>
    <t>Silicone de Vedação - Tamanho 2mm  (3080300190)</t>
  </si>
  <si>
    <t>Mola de Aço Inoxidável Ø5.4mm * 7mm RoHS (3032902450)</t>
  </si>
  <si>
    <t>Botão Silicone do Sensor da Tampa Principal (3080500380)</t>
  </si>
  <si>
    <t>RESISTOR 28k 1% 100PPM 1/10W 0603 (2010102270) SMT</t>
  </si>
  <si>
    <t>Mola de Aço Inoxidável Ø6mm 10.0mm * 0.5mm (3032902440)</t>
  </si>
  <si>
    <t>Botão de Silicone para Demanda e Mostrador RoHS (3080500400)</t>
  </si>
  <si>
    <t>CAPACITOR ELETROLITICO 1000µF 16V 20% YXF 7000h RAD-5mm/F10*20mm (2020300401) PTH</t>
  </si>
  <si>
    <t>DIODO RETIFICADOR 1.1V 1000V 1A SMA-W (A01013) SMT (2060100091)</t>
  </si>
  <si>
    <t>Guia dos LEDs para CPU e Coletor - Pantheon (3022701649)</t>
  </si>
  <si>
    <t>CONECTOR CABO FLEXÍVEL 4PIN 220mm (3090308190)</t>
  </si>
  <si>
    <t>DIODO 0.95V,200V,1A,35ns,SMA SMT (2060100282)</t>
  </si>
  <si>
    <t>RESISTOR 18kO 1% 100.0ppm 1/16W 0402 SMT (2010106130)</t>
  </si>
  <si>
    <t>Anel de Vedação de borracha</t>
  </si>
  <si>
    <t>ANTENA DE COMUNICAÇÃO NB-IoT 700/800/850/800/1800/2100MHz (1.35m) (2140103040)</t>
  </si>
  <si>
    <t>ANTENA DE COMUNICAÇÃO POR RADIOFREQUÊNCIA CONECTOR SMA (0.35m) (2140103050)</t>
  </si>
  <si>
    <t>ANTENA DE COMUNICAÇÃO POR RADIOFREQUÊNCIA CONECTOR SMA (1.35m) (2140103060)</t>
  </si>
  <si>
    <t>Arruela de Pressão, de aço,  diâmetro 5 - Zincado Amarelo</t>
  </si>
  <si>
    <t>Base da CPU - Pantheon</t>
  </si>
  <si>
    <t>BATERIA DE LÍTIO DE 3.6V 25mA 1.2Ah, VOLUME EXTERIOR DE 25,77cm³ PTH</t>
  </si>
  <si>
    <t xml:space="preserve">CABO DE ALIMENTAÇÃO DE TENSÃO 220 V PTH </t>
  </si>
  <si>
    <t>CABO DE ALIMENTAÇÃO DO CIRCUITO DE COMUNICAÇÃO DO MEDIDOR DE TENSÃO 220 V</t>
  </si>
  <si>
    <t>CAPACITOR ELETROLÍTICO DE ALUMÍNIO 100uF 20% 16V 2000 hours (REF. C04027 - COD. 20672530)</t>
  </si>
  <si>
    <t>CAPACITOR ELETROLÍTICO DE ALUMÍNIO 1uF 20％ 50V 2000 hour (REF. C07060-1 - COD. 20672605)</t>
  </si>
  <si>
    <t>CAPACITOR DIELÉTRICO DE CERÂMICA DE MÚLTIPLAS CAMADAS 0.39uF 10% 330V RAD-22.5mm 26.5*19*10mm 45 (REF. C09065 - CÓD. 20672613)</t>
  </si>
  <si>
    <t>CAPACITOR METALIZADO DE POLIPROPILENO PTH 0.68uF 10% 330V RAD-22.5mm 26*22*12mm 45 (REF. C09068 - COD.  20670008)</t>
  </si>
  <si>
    <t>CAPACITOR ELETROLÍTICO DE ALUMÍNIO PTH 1000uF 20% 10V KYA RAD-5mm</t>
  </si>
  <si>
    <t>CAPACITOR DIELÉTRICO DE CERÂMICA DE ÚNICA CAMADA PARA MONTAGEM SMD 100nF 10% 16V X5R 0402</t>
  </si>
  <si>
    <t>CAPACITOR METALIZADO DE POLIPROPILENO 100nF 10% 275V black (REF. C09048 - COD. 20660604)</t>
  </si>
  <si>
    <t>CAPACITOR DIELÉTRICO DE CERÂMICA ÚNICA CAMADA  PARA MONTAGEM SMD 100nF 10% 50V X7R (REF. C02001 - CÓD. 20672500)</t>
  </si>
  <si>
    <t>CAPACITOR DIELÉTRICO DE CERÂMICA ÚNICA CAMADA  PARA MONTAGEM SMD 100nF 10% 50V X7R (REF. C04006 - COD. 20672506)</t>
  </si>
  <si>
    <t>CAPACITOR DIELÉTRICO DE CERÂMICA DE ÚNICA CAMADA MONTADO PARA MONTAGEM SMD 100pF 5% 50V NPO 0402</t>
  </si>
  <si>
    <t>CAPACITOR DIELÉTRICO DE CERÂMICA ÚNICA CAMADA  PARA MONTAGEM SMD 100pF 5% 50V NPO (REF. C02018 - COD. 20672510)</t>
  </si>
  <si>
    <t>CAPACITOR DIELÉTRICO DE CERÂMICA ÚNICA CAMADA  PARA MONTAGEM SMD 10nF 10% 50V X7R (REF. C02006 - COD. 20672503)</t>
  </si>
  <si>
    <t>CAPACITOR DIELÉTRICO DE CERÂMICA ÚNICA CAMADA  PARA MONTAGEM SMD 10pF ±5% 50V NPO (REF. C0107)</t>
  </si>
  <si>
    <t xml:space="preserve">CAPACITOR DIELÉTRICO DE CERÂMICA DE ÚNICA CAMADA PARA MONTAGEM SMD 10uF 20% 10V X5R 0603 </t>
  </si>
  <si>
    <t xml:space="preserve">CAPACITOR ELETROLÍTICO DE ALUMÍNIO PTH 10uF 20% 400V CS RAD-5mm </t>
  </si>
  <si>
    <t xml:space="preserve">CAPACITOR DIELÉTRICO DE CERÂMICA DE ÚNICA CAMADA PARA MONTAGEM SMD 12pF 5% 50V NPO 0402 </t>
  </si>
  <si>
    <t>CAPACITOR DIELÉTRICO DE CERÂMICA ÚNICA CAMADA  PARA MONTAGEM SMD 12pF 5% 50V NPO (REF. C01011 - CÓD. 20672505)</t>
  </si>
  <si>
    <t>CAPACITOR DIELÉTRICO DE CERÂMICA DE MÚLTIPLAS CAMADAS NÃO MONTADO PTH 150pF 5% 50V NPO 0603</t>
  </si>
  <si>
    <t>CAPACITOR DIELÉTRICO DE CERÂMICA ÚNICA CAMADA  PARA MONTAGEM SMD 330pF 5% 50V  NPO (REF. C02032 - COD. 20672511)</t>
  </si>
  <si>
    <t>CAPACITOR ELETROLITICO DE ALUMÍNIO 1nF  5% 50V NPO 0805</t>
  </si>
  <si>
    <t>CAPACITOR DIELÉTRICO DE CERÂMICA DE ÚNICA CAMADA PARA MONTAGEM SMD 1nF 10% 200V X7R (REF. C04029 - CÓD. 20672614)</t>
  </si>
  <si>
    <t>CAPACITOR DIELÉTRICO DE CERÂMICA ÚNICA CAMADA  PARA MONTAGEM SMD 1nF 10% 50V X7R (REF. C01003)</t>
  </si>
  <si>
    <t>CAPACITOR DIELÉTRICO DE CERÂMICA DE ÚNICA CAMADA MONTADO PARA MONTAGEM SMD 1uF +80%~-20% 50V Y5V</t>
  </si>
  <si>
    <t>CAPACITOR DIELÉTRICO DE CERÂMICA DE ÚNICA CAMADA PARA MONTAGEM SMD 1uF 10% 16V X7R (REF. C02009 - CÓD. 20672616)</t>
  </si>
  <si>
    <t xml:space="preserve">CAPACITOR DIELÉTRICO DE CERÂMICA DA MÚLTIPLAS CAMADAS 2.2nF ±10% 1KV X7R 1206 </t>
  </si>
  <si>
    <t>CAPACITOR DIELÉTRICO DE CERÂMICA DE ÚNICA CAMADA PARA MONTAGEM SMD 06032.2nF 10% 50V X7R (REF. C02003 - COD. 20670002)</t>
  </si>
  <si>
    <t>CAPACITOR ELETROLÍTICO DE ALUMÍNIO PTH 220nF 10% 330V 18*13.5*6mm RAD-15mm</t>
  </si>
  <si>
    <t>CAPACITOR ELETROLITICO DE ALUMÍNIO 220nF 10% 50V X7R 0805</t>
  </si>
  <si>
    <t>CAPACITOR ELETROLÍTICO DE ALUMÍNIO PTH 220uF 20% 25V KY RAD-3.5mm</t>
  </si>
  <si>
    <t>CAPACITOR DIELÉTRICO DE CERÂMICA DE ÚNICA CAMADA PARA MONTAGEM SMD 22nF 10% 50V X7R 0603</t>
  </si>
  <si>
    <t>CAPACITOR DIELÉTRICO DE CERÂMICA ÚNICA CAMADA  PARA MONTAGEM SMD 22P 5% 50V (REF. C01002)</t>
  </si>
  <si>
    <t xml:space="preserve">CAPACITOR ELETROLÍTICO DE ALUMÍNIO PTH 22uF 400V </t>
  </si>
  <si>
    <t>CAPACITOR DIELÉTRICO DE CERÂMICA DE ÚNICA CAMADA PARA MONTAGEM SMD 27pF 5% 50V NPO 0402</t>
  </si>
  <si>
    <t>CAPACITOR DIELÉTRICO DE CERÂMICA DE MÚLTIPLAS CAMADAS PARA MONTAGEM SMD 30pF 5% 50V NPO 0603</t>
  </si>
  <si>
    <t>CAPACITOR DIELÉTRICO DE CERÂMICA DE ÚNICA CAMADA PARA MONTAGEM SMD 0603330pF 5% 50V NPO (REF. C01020 - COD. 20672519)</t>
  </si>
  <si>
    <t>CAPACITOR DIELÉTRICO DE CERÂMICA ÚNICA CAMADA  PARA MONTAGEM SMD 33nF  10% 50V X7R (REF. C02002 - COD. 20672501)</t>
  </si>
  <si>
    <t>CAPACITOR ELETROLÍTICO DE ALUMÍNIO PTH 470uF 20% 10V KYA RAD-3.5mm</t>
  </si>
  <si>
    <t>CAPACITOR DIELÉTRICO DE CERÂMICA DE MÚLTIPLAS CAMADAS YXF 470uF 10V PTH (REF. C07034 - CÓD. 20672611)</t>
  </si>
  <si>
    <t>CAPACITOR DIELÉTRICO DE CERÂMICA DE MÚLTIPLAS CAMADAS 470uF 25V (REF. C07017 - CÓD. 20670012)</t>
  </si>
  <si>
    <t>CAPACITOR DIELÉTRICO DE CERÂMICA DE ÚNICA CAMADA PARA MONTAGEM SMD 5pF ±0.25pF 50V NPO 0402</t>
  </si>
  <si>
    <t>CAPACITOR DIELÉTRICO DE CERÂMICA DE ÚNICA CAMADA PARA MONTAGEM SMD 680pF 5% 50V NPO 0603</t>
  </si>
  <si>
    <t>CAPACITOR DIELÉTRICO DE CERÂMICA DE ÚNICA CAMADA PARA MONTAGEM SMD 1.0uF 10% 10V X5R</t>
  </si>
  <si>
    <t>CAPACITOR CERAMICO 100pF 10% 1000V RAD-5mm (C11029-2) PTH (2020700012)</t>
  </si>
  <si>
    <t xml:space="preserve">CAPACITOR DIELÉTRICO DE CERÂMICA DE ÚNICA CAMADA PARA MONTAGEM SMD 10nF 10% 50V X7R 0402 </t>
  </si>
  <si>
    <t>CAPACITOR DIELÉTRICO DE CERÂMICA DE MÚLTIPLAS CAMADAS 10nF20%250VRAD-10mm (REF. C11028-1 - CÓD. 20672620)</t>
  </si>
  <si>
    <t>CAPACITOR DIELÉTRICO DE CERÂMICA DE MÚLTIPLAS CAMADAS NÃO MONTADO PTH 1nF,20%,250V,RAD-10mm</t>
  </si>
  <si>
    <t xml:space="preserve">CAPACITOR DIELÉTRICO DE CERÂMICA DE ÚNICA CAMADA PARA MONTAGEM SMD 1uF 10% 50V X7R 0805 </t>
  </si>
  <si>
    <t>CAPACITOR CERÂMICO 2.2nF ±20% 250V F(Y5V)30%~-80% RAD-7.5mm 9.0mm*5.0mm PTH (2020700071)</t>
  </si>
  <si>
    <t>CAPACITOR CERÂMICO 22.0µF 20% X5R 6.3V 0805 SMT (2020101120)</t>
  </si>
  <si>
    <t>CAPACITOR CERÂMICO 27.0pF 5% NPO 50.0V 0603 SMT (2020100310)</t>
  </si>
  <si>
    <t>CAPACITOR DIELÉTRICO DE CERÂMICA DE MÚLTIPLAS CAMADAS 4.7nF10%1000VRAD-5mm (REF. C11018 - CÓD. 20672617)</t>
  </si>
  <si>
    <t>CAPACITOR ELETROLITICO DE ALUMÍNIO 4.7nF,10%,1000V,RAD-7.5mm</t>
  </si>
  <si>
    <t>CAPACITOR ELETROLITICO DE ALUMÍNIO 0.47uF 10% 330V RAD-22.5mm 26.5*19*10mm 45 (REF.C09066  - COD.20672628)</t>
  </si>
  <si>
    <t>CAPACITOR ELETROLÍTICO DE ALUMÍNIO 1000uF 10V (REF. C07028 - COD. 20672604)</t>
  </si>
  <si>
    <t>CAPACITOR ELETROLITICO DE ALUMÍNIO 1000uF 20% 10V ZLH 0.19 10000h 10*12.5mm RAD-5mm PTH</t>
  </si>
  <si>
    <t>CAPACITOR ELETROLÍTICO DE ALUMÍNIO 1000uF 20% 25V 2000 HORAS (REF. C07050-1 - COD. 20672600)</t>
  </si>
  <si>
    <t>CAPACITOR ELETROLITICO DE ALUMÍNIO 1000uF 20% 25V YXF RAD-5mm PTH</t>
  </si>
  <si>
    <t>CAPACITOR DIELÉTRICO DE CERÂMICA DE MÚLTIPLAS CAMADAS 100uF 20% 10V YXF RAD-2mm (REF. C07024 - CÓD. 20672622)</t>
  </si>
  <si>
    <t>CAPACITOR ELETROLITICO DE ALUMÍNIO 10nF 10% 50V X7R 0805</t>
  </si>
  <si>
    <t>CAPACITOR DIELÉTRICO DE CERÂMICA DE MÚLTIPLAS CAMADAS 10uF 50V (REF. C07044 - CÓD. 20672618)</t>
  </si>
  <si>
    <t>CAPACITOR ELETROLITICO DE ALUMÍNIO 1nF ±10% 1KV X7R 1206</t>
  </si>
  <si>
    <t>CAPACITOR ELETROLITICO DE ALUMÍNIO 220uF 20% 10V YXF RAD-2.5mm</t>
  </si>
  <si>
    <t>CAPACITOR DIELÉTRICO DE CERÂMICA DE MÚLTIPLAS CAMADAS NÃO MONTADO PTH 220uF 20% 16V ZLH 0.16 6000h 6.3*11mm RAD-2.5mm</t>
  </si>
  <si>
    <t>CAPACITOR ELETROLITICO DE ALUMÍNIO 220uF 20% 25V YXF RAD-3.5mm</t>
  </si>
  <si>
    <t>CAPACITOR ELETROLITICO DE ALUMÍNIO 22uF 20% 450V KXG 10000h 16*20 RAD-7.5mm PTH</t>
  </si>
  <si>
    <t>CAPACITOR ELETROLITICO DE ALUMÍNIO 470uF 20% 16V YXF RAD-5mm PTH</t>
  </si>
  <si>
    <t>CAPACITOR DIELÉTRICO DE CERÂMICA DE MÚLTIPLAS CAMADAS 47uF 25V (REF. C07522 - CÓD. 20672619)</t>
  </si>
  <si>
    <t>CAPACITOR DIELÉTRICO DE CERÂMICA DE MÚLTIPLAS CAMADAS 47uF 20% 450V 10000 (REF. C07531 - CÓD. 20672621)</t>
  </si>
  <si>
    <t xml:space="preserve">CAPACITOR ELETROLITICO DE ALUMÍNIO 47uF 20% 50V YXF RAD-2.5mm PTH </t>
  </si>
  <si>
    <t>CAPACITOR ELETROLITICO DE ALUMÍNIO 750pF 5% 50V NPO 0603</t>
  </si>
  <si>
    <t>CAPACITOR ELETROLÍTICO DE ALUMÍNIO 4.7uF  450V 5000 hour (REF. C07530-1 - COD. 20672606)</t>
  </si>
  <si>
    <t xml:space="preserve">CHIP DE MEDIÇÃO EEPROM MONTADO PARA MONTAGEM SMD DE TEMPO DE ACESSO DE  24nS (REF. E02503 - COD. 20660310) </t>
  </si>
  <si>
    <t>CHIP CONCENTRADOR MONTADO PARA MONTAGEM SMD 1.65-5.5V  SOT-23</t>
  </si>
  <si>
    <t>CHIP MICROCONTROLADOR DE ISOLAMENTO MONTADO PARA MONTAGEM SMD 2.5-3.6V,SOP8(71M654X)</t>
  </si>
  <si>
    <t>CHIP DE MEMÓRIA EEPROM MONTADO PARA MONTAGEM SMD DE TEMPO DE ACESSO DE 25nS 128kB 1.8-5.5V I2C SO8</t>
  </si>
  <si>
    <t>CHIP DE MEMÓRIA FLASH MSL=3 128 KB FLASH MONTADO PARA MONTAGEM SMD DE TEMPO DE ACESSO 25nS (REF. E01467-1 - CÓD. 20660318)</t>
  </si>
  <si>
    <t>CHIP DE MEMÓRIA FLASH 16Mb,3V,SPI,86MHz MONTADO PARA MONTAGEM SMD DE TEMPO DE ACESSO 25nS (REF. E01458 - CÓD. 20660327)</t>
  </si>
  <si>
    <t xml:space="preserve">CHIP DE MEMÓRIA FLASH MONTADO PARA MONTAGEM SMD, DE TEMPO DE ACESSO 90nS - Nor Flash,4MB,3V,SPI,86MHz,SOP8 </t>
  </si>
  <si>
    <t>CHIP DE MEMÓRIA FRAM 16kB, MONTADO PARA MONTAGEM SMD, DE TEMPO DE ACESSO DE  25nS</t>
  </si>
  <si>
    <t>CHIP DE MEMÓRIA FLASH MSL=3 64Kb MONTADO PARA MONTAGEM SMD DE TEMPO DE ACESSO 25nS (REF. E01446 - CÓD. 20660319)</t>
  </si>
  <si>
    <t>CHIP REGULADOR DE TENSÃO NÃO MONTADO  6.8~30V 5V 5% 100mA SOT-89  GND 3mA</t>
  </si>
  <si>
    <t>CHIP REGULADOR DE TENSÃO NÃO MONTADO 6.8~30V 5V 5% 100mA SOT-89 (REF. E02885 - COD. 20660315)</t>
  </si>
  <si>
    <t>CONECTOR CABO FEMEA 1*2Pin 2.5mm 7.40*4.90*5.9mm PTH</t>
  </si>
  <si>
    <t>CONECTOR CABO FEMEA 2*7Pin 2.54mm 19.4mm PTH</t>
  </si>
  <si>
    <t>CONECTOR CABO FLAT 10  L=80mm PTH</t>
  </si>
  <si>
    <t>CONECTOR CABO FLAT 28AWG 2*8PIN 120.0mm 2.54mm PTH (3090309070)</t>
  </si>
  <si>
    <t>CONECTOR CABO FLAT FEMEA 2*5Pin 2.54mm 19.4mm PTH</t>
  </si>
  <si>
    <t>SOQUETE DO CONECTOR DE SAIDA DE COMUNICAÇÃO DE CIRCUITO INTEGRADO ELETRÔNICO 300V 8A 5.0mm 2</t>
  </si>
  <si>
    <t>SOQUETE DO CONECTOR DE CIRCUITO INTEGRADO ELETRÔNICO 2×4, 2.54, H:8.5MM (REF. G04101 - COD. 20691507)</t>
  </si>
  <si>
    <t>SOQUETE DO CONECTOR DE CIRCUITO INTEGRADO ELETRÔNICO 1*2Pin  65mm   2.54mm</t>
  </si>
  <si>
    <t>SOQUETE DO CONECTOR DE CIRCUITO INTEGRADO ELETRÔNICO 1*6Pin  90mm  2.54mm</t>
  </si>
  <si>
    <t>CONECTOR FÊMEA 2*10PIN 2.54mm 6.66mm PTH (2090305390)</t>
  </si>
  <si>
    <t>CONECTOR FEMEA 2*6PIN 2.54mm 15.71*5*8.5mm PTH</t>
  </si>
  <si>
    <t>CONECTOR FÊMEA 2*8PIN 2.54mm 19.4mm PTH (2090103470)</t>
  </si>
  <si>
    <t>CONECTOR FEMEA 2.5mm 5264 + SCN 2P 60mm 3239 24AWG  PTH</t>
  </si>
  <si>
    <t>CONECTOR DE COMUNICAÇÃO DUPLO PH2.54 2/2*4P L37.0  Z (REF. G04028 - COD. 20691301)</t>
  </si>
  <si>
    <t>CONECTOR MACHO 2.54mm FC 14P 28AWG 125mm  PTH</t>
  </si>
  <si>
    <t xml:space="preserve">CHIP MICROCONTROLADOR MONTADO PARA MONTAGEM SMD PWM 132/66kHz 30V 7V 0.7A 75% SOP7 </t>
  </si>
  <si>
    <t>CRISTAL OSCILADOR PIEZELÉTRICO MONTADO, DE QUARTZO, DE FREQUENCIA 0,03 MHZ 20ppm</t>
  </si>
  <si>
    <t>CRISTAL OSCILADOR MONTADO, DE FREQUENCIA 0,03 MHZ 20ppm (REF. D01053 - COD. 20691512)</t>
  </si>
  <si>
    <t>DIODO ZENER PARA MONTAGEM SMD</t>
  </si>
  <si>
    <t>DIODO RETIFICADOR NÃO MONTADO DE INTENSIDADE DE CORRENTE 0,2A PTH 4.5V,4000V,0.2A,DO-41</t>
  </si>
  <si>
    <t>FOTOTRANSISTOR MONTADO F5 1.35V 940nm RAD-2.54mm 13.6±0.5mm  Azul</t>
  </si>
  <si>
    <t>FOTOTRANSISTOR MONTADO F5 1.35V 940nm RAD-2.54mm 20±0.5mm Azul</t>
  </si>
  <si>
    <t>FOTOTRANSISTOR MONTADO F5 1.35V 940nm RAD-2.54mm 24±0.5mm Azul</t>
  </si>
  <si>
    <t>FOTOTRANSISTOR MONTADO F5 1.35V 940nm RAD-2.54mm 3.6±0.5mm  Azul</t>
  </si>
  <si>
    <t xml:space="preserve">DIODO REGULADOR DE TENSÃO NÃO MONTADO DE INTENSIDADE DE CORRENTE 0,2A 0.23V,30V, SOT-23,5ns </t>
  </si>
  <si>
    <t>DIODO REGULADOR DE TENSÃO NÃO MOTNADO DE INTENSIDADE DE CORRENTE 0,2A 0.715V,70V, 6nS, SOT-23</t>
  </si>
  <si>
    <t>DIODO REGULADOR DE TENSÃO NÃO MONTADO 0.92V,200V, DE INTENSIDADE DE CORRENTE 3A,25ns,SMC</t>
  </si>
  <si>
    <t>DIODO ZENER REGULADOR DE TENSÃO NÃO MONTADO DE INTENSIDADE DE CORRENTE 2A 1.7V,700V,75nS,SMA</t>
  </si>
  <si>
    <t>DIODO RETIFICADOR 0.45V 40V DE INTENSIDADE DE CORRENTE 3A</t>
  </si>
  <si>
    <t>DIODO RETIFICADOR DE 1000V DE INTENSIDADE DE CORRENTE DE 1A (REF. A01013-1 - COD. 20630700)</t>
  </si>
  <si>
    <t>DIODO RETIFICADOR NÃO MONTADO DE INTENSIDADE DE CORRENTE 1A 2000V</t>
  </si>
  <si>
    <t>DIODO RETIFICADOR TVS PARA MONTAGEM SMD DE INTENSIDADE DE CORRENTE 3,3A, 180V,600W,DO-15</t>
  </si>
  <si>
    <t>DIODO RETIFICADOR TVS PARA MONTAGEM SMD DE INTENSIDADE DE CORRENTE 1,5A, 400V,600W,DO-15</t>
  </si>
  <si>
    <t>DIODO SCHOTTKY 0.5V 40V 0.0mA 0.0ns 500.0µA SMT (2060100561)</t>
  </si>
  <si>
    <t>DIODO TVS PARA MONTAGEM SMD DE INTENSIDADE DE CORRENTE 1A 309V 600W SMB</t>
  </si>
  <si>
    <t>DIODO TVS PARA MONTAGEM SMD DE INTENSIDADE DE CORRENTE DE 1A</t>
  </si>
  <si>
    <t>DIODO TVS 600W 22,5V 5W DO-15 (2060302060) PTH</t>
  </si>
  <si>
    <t>DIODO TVS PARA MONTAGEM SMD DE INTENSIDADE DE CORRENTE DE 3A 200V 600W (REF. A01814 - COD. 20630103)</t>
  </si>
  <si>
    <t>DIODO ZENER NÃO MONTADO 1.1V 2000V DE INTENSIDADE DE CORRENTE 1A DO-41</t>
  </si>
  <si>
    <t xml:space="preserve">DIODO ZENER PARA MONTAGEM SMD 15V,1W,5%,DO-41 </t>
  </si>
  <si>
    <t xml:space="preserve">DIODO ZENER REGULADOR DE TENSÃO) 15V 1W 5% (REF. A01005-1 - COD. 20630802) </t>
  </si>
  <si>
    <t xml:space="preserve">DIODO ZENER NÃO MONTADO DE INTENSIDADE DE CORRENTE 0,05A 20V 1W 5% LL-41 </t>
  </si>
  <si>
    <t>DIODO ZENER NÃO MONTADO DE INTENSIDADE DE CORRENTE 2A 6.8V,0.5W,5%,LL-34</t>
  </si>
  <si>
    <t>DIODO TVS PARA MONTAGEM SMD DE INTENSIDADE DE CORRENTE DE 2A 300V 600W (REF. A01031 - COD. 20630104)</t>
  </si>
  <si>
    <t>DISSIPADOR 20*10.4*14.7mm PTH</t>
  </si>
  <si>
    <t>DIODO TVS DE COMUTAÇÃO DUPLA PARA MONTAGEM SMD DE INTENSIDADE DE CORRENTE 0,215A 70V (REF. A01007 - COD. 20680300)</t>
  </si>
  <si>
    <t>CHIP DE MEMÓRIA EEPROM MONTADO PARA MONTAGEM SMD DE TEMPO DE ACESSO DE 25nS 64Kb 1.8-5.5V IIC SO8 (REF. E02922 - COD.20680101)</t>
  </si>
  <si>
    <t xml:space="preserve">Chapa de aço forjado p/ medidores elétricos 18mm*18mm:0.4MM </t>
  </si>
  <si>
    <t>ESPAÇADOR DO LED, DE PLÁSTICO, COLUNA LUMINESCENTE DE 2,54MM</t>
  </si>
  <si>
    <t>ESPAÇADOR DO LED, DE PLÁSTICO, COLUNA LUMINESCENTE DE 10MM (REF. I09061 - COD. 20660500)</t>
  </si>
  <si>
    <t xml:space="preserve">ESPAÇADOR DO LED, DE PLÁSTICO, COLUNA LUMINESCENTE DE 19MM  (REF.09055 - COD. 20640702) </t>
  </si>
  <si>
    <t>ETIQUETA DE POLICARBONATO PARA BATERIA DE MEDIDORES ELÉTRICOS (REF. 8.865.3CQ10-00-NP01 - CÓD. 21318005)</t>
  </si>
  <si>
    <t>ETIQUETA DE POLICARBONATO PARA BATERIA DE MEDIDORES ELÉTRICOS (REF. 8.865.3CS01-NP01)</t>
  </si>
  <si>
    <t>Etiqueta de policarbonato para bateria Medidor monofásico Zeus</t>
  </si>
  <si>
    <t xml:space="preserve">Etiqueta de policarbonato para bateria Medidor polifásico Zeus </t>
  </si>
  <si>
    <t xml:space="preserve">Fio de Cobre, munido de conexão, de tensão 220 V AVR 0.3 Preto - L=50mm </t>
  </si>
  <si>
    <t>Fio de Cobre, munido de conexão, de tensão 220 V AVR 0.3 Vermelho - L=50mm</t>
  </si>
  <si>
    <t>FOTOTRANSISTOR MONTADO F5 1.2V 940nm RAD-2.54mm 13.6±0.5mm Preto</t>
  </si>
  <si>
    <t>FOTOTRANSISTOR MONTADO F5 1.2V 940nm RAD-2.54mm 20±0.5mm Preto</t>
  </si>
  <si>
    <t>FOTOTRANSISTOR MONTADO F5 1.2V 940nm RAD-2.54mm 24±0.5mm Preto</t>
  </si>
  <si>
    <t>FOTOTRANSISTOR MONTADO F5 1.2V 940nm RAD-2.54mm 3.6±0.5mm Preto</t>
  </si>
  <si>
    <t>INDUTOR THC COMUM 0.31mm 30mH 4pin 19.5*23*18mm (REF. I03044-1 - COD. 20691904)</t>
  </si>
  <si>
    <t>INDUTOR PTH 1.0mH 10% 100mA 14R F4*10.5mm</t>
  </si>
  <si>
    <t>INDUTOR THC COMUM 1.0mH 10% 100mA 14R  ?4*10.5mm (REF. I03087-W - CÓD. 20624900)</t>
  </si>
  <si>
    <t>INDUTOR SMT 1000R,1100R,1GHz,25%,1.8R,50mA,0603</t>
  </si>
  <si>
    <t>INDUTOR SMT 10uH 20% 3.0A 61mR</t>
  </si>
  <si>
    <t>INDUTOR 2.2uH 10% 900mA 100mR RAD-2mm</t>
  </si>
  <si>
    <t>INDUTOR  2uH f0.8</t>
  </si>
  <si>
    <t>INDUTOR SMT 2200R 25% 100MHz 1.2R 200mA 1206 (REF. I03045-2 - CÓD. 20650107)</t>
  </si>
  <si>
    <t>INDUTOR PTH 2uH 30% 3.2A 0.090R 5.0*5.0*2.0mm</t>
  </si>
  <si>
    <t>INDUTOR FT20 0.23 40mH 23*18*24mm 4PIN</t>
  </si>
  <si>
    <t>INDUTOR SMT 600R, 0.2R, 1000mA 0603 (REF. I03177 - COD. 20624900)</t>
  </si>
  <si>
    <t>INDUTOR SMT 600R 25% 0.2R 1A 0805</t>
  </si>
  <si>
    <t>INDUTOR 80R/100MHz 20R/10MHz 3A 3.5*6.0mm PTH</t>
  </si>
  <si>
    <t>DISPLAY DE CRISTAL LÍQUIDO (LCD) 3.3V 6COM 18SEG 26.0mm 18.3*54.3mm HTN PTH</t>
  </si>
  <si>
    <t>DISPLAY DE CRISTAL LÍQUIDO (LCD)3.3V 6COM 26SEG 17.5mm 22*52.4mm HTN</t>
  </si>
  <si>
    <t>DISPLAY DE CRISTAL LÍQUIDO (LCD) 3.3V 6COM 28SEG 17.5mm 22*64.25mm HTN  PTH</t>
  </si>
  <si>
    <t>DISPLAY DE CRISTAL LÍQUIDO (LCD) 3.4V 4COM 30SEG 24.5mm 65.75*25.8MM HTN (REF. LWS030-0 - COD. 20661002)</t>
  </si>
  <si>
    <t>DISPLAY DE CRISTAL LÍQUIDO (LCD) 3.4V±0.2V ,6COM ,22SEG, 24,5mm</t>
  </si>
  <si>
    <t>DISPLAY DE CRISTAL LÍQUIDO (LCD) 3.4V 6COM 24SEG 36mm 61.92*20.85mm HTN PTH</t>
  </si>
  <si>
    <t>DISPLAY DE CRISTAL LÍQUIDO (LCD) 3.4V,6COM,22SEG,13mm,18.80*62.75mm,HTN</t>
  </si>
  <si>
    <t>DIODO EMISSOR DE LUZ (LED) NÃO MONTADO 625nm 110mcd 1.9V 5mA RAD-2.54mm 20±0.5mm Vermelho</t>
  </si>
  <si>
    <t>DIODO EMISSOR DE LUZ (LED) NÃO MONTAOD 625nm 110mcd 1.9V 5mA RAD-2.54mm 3.6±0.5mm Vermelho</t>
  </si>
  <si>
    <t>DIODO EMISSOR DE LUZ (LED) NÃO MONTADO 625nm 110mcd 1.9V 5mA RAD-2.54mm 8±0.5mm Vermelho</t>
  </si>
  <si>
    <t>DIODO EMISSOR DE LUZ (LED) NÃO MONTADO 625nm 1800mcd 1.9V 20mA RAD-2.54mm 20±0.5mm Branco</t>
  </si>
  <si>
    <t>DIODO EMISSOR DE LUZ (LED) NÃO MONTADO 625nm 1800mcd 1.9V 20mA RAD-2.54mm 3.6±0.5mm Branco</t>
  </si>
  <si>
    <t>DIODO EMISSOR DE LUZ (LED) NÃO MONTADO 625nm 1800mcd 1.9V 20mA RAD-2.54mm 8±0.5mm Branco</t>
  </si>
  <si>
    <t>DIODO EMISSOR DE LUZ (LED) NÃO MONTADO 54MCD</t>
  </si>
  <si>
    <t>DIODO EMISSOR DE LUZ (LED) NÃO MONTADO 1800MCD (REF. A01723-A - COD. 20640700)</t>
  </si>
  <si>
    <t>DIODO EMISSOR DE LUZ (LED) DE INTENSIDADE DE CORRENTE 0,01A F5 625nm 110mcd 1.9V RAD-2.54mm 19.5±0.5mm (REF. A01709-C - CÓD. 20640707)</t>
  </si>
  <si>
    <t>MICROCONTROLADOR 3.0~3.6V;32K+16B;521KB;LQFP128 (2050101961) SMT</t>
  </si>
  <si>
    <t>CHIP MICROCONTROLADOR MONTADO PARA MONTAGEM SMD 3.3V,128kB,5kB,LQFP100</t>
  </si>
  <si>
    <t>Mola heliciodal cilíndrica de aço para botões medidor High End</t>
  </si>
  <si>
    <t>OPTOACOPLADOR INTEGRADO ELETRÔNICO MONTADO PARA MONTAGEM SMD CTR 300-470 (REF. I02460-1 - COD. 20691900)</t>
  </si>
  <si>
    <t>Parafuso Allen Terminal de Corrente M10*25 Aço Zinco Níquel Medidor Ares 30/200 (3030109550)</t>
  </si>
  <si>
    <t>Parafuso Autoatarraxante, de aço, p/ Fixação da PCI dos Term. de comunicação de medidores elétricos polifásicos</t>
  </si>
  <si>
    <t>Parafuso de aço M3x5</t>
  </si>
  <si>
    <t>PARAFUSO DO TERMINAL DE COMUNICAÇÃO M3*5, DE AÇO (REF. M01.05.02H-1-1 - COD. 21161900)</t>
  </si>
  <si>
    <t>Parafuso M03x08, de aço, para Fixação de Cabos nas Pontes de Fases de Medidor Elétrico Polifásico</t>
  </si>
  <si>
    <t>Parafuso para Terminais M6x15mm - Zinco Níquel -  Cronos NG (3030109480)</t>
  </si>
  <si>
    <t>Parafuso Pierce em Aço Autoatarraxante Rosca Parcial - 20mm - Fenda Simp. Zinc. Amarelo</t>
  </si>
  <si>
    <t>Parafuso Pierce em Aço Autoatarraxante Rosca Total - 10.5mm - Fenda Simp. Zinc. Amarelo</t>
  </si>
  <si>
    <t>Parafuso M5x12 sextavado, de aço,. para medidor Zeus</t>
  </si>
  <si>
    <t>Parafuso Terminal de Corrente Fenda Cruzada - Zinco Níquel (3030109470)</t>
  </si>
  <si>
    <t xml:space="preserve">PARAFUSO DO TERMINAL DE COMUNICAÇÃO M3*5, DE AÇO (REF. M03.05.02H-1-C - COD. 21161001) </t>
  </si>
  <si>
    <t>CONECTOR METÁLICO PARA PORTA DE COMUNICAÇÃO ÓPTICA DO MEDIDOR ELÉTRICO POLIFÁSICO ARES 30/200 (REF. 8.160.IHDC00-00-1-7 - CÓD. 20290802)</t>
  </si>
  <si>
    <t>CONECTOR DE COMUNICAÇÃO DUPLO PH2.54 2/2*4P L37.0  Z (REF. G06170 - COD. 20691505)</t>
  </si>
  <si>
    <t>Placa moldada, de ferro, para medidor elétrico Ares 30/200</t>
  </si>
  <si>
    <t>PLACA DE CIRCUITO IMPRESSO DE DUPLA FACE, RÍGIDA, COM ISOLANTE DE RESINA EPÓXIDA E TECIDO DE FIBRA DE VIDRO 2 234*104.5*1.6mm/2 SMT</t>
  </si>
  <si>
    <t>PLACA DE CIRCUITO IMPRESSO DE DUPLA FACE, RÍGIDA, COM ISOLANTE DE RESINA EPÓXIDA E TECIDO DE FIBRA DE VIDRO 2 117*206*1.6mm/1 SMT</t>
  </si>
  <si>
    <t>PLACA DE CIRCUITO IMPRESSO DE DUPLA FACE, RÍGIDA, COM ISOLANTE DE RESINA EPÓXIDA E TECIDO DE FIBRA DE VIDRO 2 218.69*161.99*1.6mm/27</t>
  </si>
  <si>
    <t>PLACA DE CIRCUITO IMPRESSO DE DUPLA FACE, RÍGIDA, COM ISOLANTE DE RESINA EPÓXIDA E TECIDO DE FIBRA DE VIDRO 2 222.05*164*1.6mm/1 SMT</t>
  </si>
  <si>
    <t>PLACA DE CIRCUITO IMPRESSO 2 233.26mm*186.9mm*1.6mm/27 não-RoHS SMT (2150138340)</t>
  </si>
  <si>
    <t>PLACA DE CIRCUITO IMPRESSO 2 237.5mm*117.0mm*1.6mm/1 não-RoHS SMT (2150138330)</t>
  </si>
  <si>
    <t>Ponte de Cobre de tensão 220V  (Fase) SHUNT- Medidor Monofásico 3 fios High End</t>
  </si>
  <si>
    <t>Ponte de Cobre Estanhada de tensão 220 V do Neutro High End Monofásico</t>
  </si>
  <si>
    <t>Ponte de Cobre Estanhada do Neutro, de tensão 220v, High End Polifásico</t>
  </si>
  <si>
    <t>Ponte de Cobre Estanhada - Conector do Neutro - Medidor Zeus</t>
  </si>
  <si>
    <t>Porca sextavada M5, de aço - Zincado Amarelo</t>
  </si>
  <si>
    <t>CIRCUITO INTEGRADO DE PORTA LOGICA NOR 3.3V CMOS SO14 SMT</t>
  </si>
  <si>
    <t>CHIP REGULADOR  DE TENSÃO NÃO MONTADO (10V)LDO 5.36~36V 5.0V 2% 150mA SOT-89</t>
  </si>
  <si>
    <t>CHIP REGULADOR DE TENSÃO NÃO MONTADO 2.5V-36V 0.2R SOT23-3 (REF. E01488/2050900081 - CÓD. 20691601)</t>
  </si>
  <si>
    <t xml:space="preserve">CHIP REGULADOR DE TENSÃO NÃO MONTADO TL431ACLP (REF. E01123 - COD. 20650200) </t>
  </si>
  <si>
    <t xml:space="preserve">CHIP REGULADOR DE TENSÃO NÃO MONTADO 3.3V 120mA 3% </t>
  </si>
  <si>
    <t xml:space="preserve">CHIP REGULADOR DE TENSÃO NÃO MONTADO 3.5V-28V 3A  ADJ </t>
  </si>
  <si>
    <t>CHIP REGULADOR DE TENSÃO NÃO MONTADO  4.2V~40V, AJUSTÁVEL 1.2V~37V, 1%, 100mA, SO-8 (REF. E02901 - COD. 20660307)</t>
  </si>
  <si>
    <t xml:space="preserve">CHIP REGULADOR DE TENSÃO NÃO MONTADO LDO 30V 5V 100mA (REF. E02879 - COD. 20660301) </t>
  </si>
  <si>
    <t>CHIP REGULADOR DE TENSÃO NÃO MONTADO LDO 4.75-18V 3.3V 1A 0.5% 5mA SOT223 GND</t>
  </si>
  <si>
    <t xml:space="preserve">CHIP REGULADOR DE TENSÃO NÃO MONTADO LDO 4~30V 100mA 2.5uA ±3% SOT89 </t>
  </si>
  <si>
    <t>CHIP REGULADOR DE TENSÃO 16W NÃO MONTADO (REF. E02513 - CÓD. 20691603)</t>
  </si>
  <si>
    <t>RELÉ 100A 12V (180µO) 30103-DH70-02 Fase 2 PTH (3010313960)</t>
  </si>
  <si>
    <t>RELÉ 100A 12V (180µO) 30103-DH70-03 Fase 1 PTH (3010313950)</t>
  </si>
  <si>
    <t xml:space="preserve">RELÉ DE TENSÃO 12V 100A 180 5.565.314-C62 PTH </t>
  </si>
  <si>
    <t>RELÉ DE TENSÃO 12V 120A ,120  12VDC 5.565.015-J17 PTH</t>
  </si>
  <si>
    <t>RESISTOR PARA MONTAGEM SMD 0R 5% 100PPM POTÊNCIA DE 1/10W (REF. R01050 - COD. 20633500)</t>
  </si>
  <si>
    <t>RESISTOR PARA MONTAGEM SMD 0R 1% 200PPM 50V DE POTÊNCIA 1/16W 0402</t>
  </si>
  <si>
    <t>RESISTOR 0R 5% 200.0ppm 1/16W 0402 SMT (2010106050)</t>
  </si>
  <si>
    <t>RESISTOR PARA MONTAGEM SMD 0R 5% 400PPM DE POTÊNCIA 1/8W 0805</t>
  </si>
  <si>
    <t>RESISTOR PARA MONTAGEM SMD 1.5K 1% 100PPM DE POTÊNCIA 1/10W 0603</t>
  </si>
  <si>
    <t>RESISTOR PARA MONTAGEM SMD 1.5R 1% 400PPM DE POTÊNCIA 1/4W</t>
  </si>
  <si>
    <t xml:space="preserve">RESISTOR PARA MONTAGEM SMD 100K  5% 100PPM DE POTÊNCIA 1/4W 1206 </t>
  </si>
  <si>
    <t>RESISTOR PARA MONTAGEM SMD 100K 1% 100ppm DE POTÊNCIA 1/16W 0402</t>
  </si>
  <si>
    <t>RESISTOR PARA MONTAGEM SMD 100K 5% 100PPM POTÊNCIA DE 1/10W (REF. R01020 - COD. 20633527)</t>
  </si>
  <si>
    <t>RESISTOR PARA MONTAGEM SMD 100K 5% 100ppm DE POTÊNCIA 1/16W 0402</t>
  </si>
  <si>
    <t>RESISTOR PARA MONTAGEM SMD DE POTÊNCIA 1/10W 100R  5% 100PPM 1/10W 0603</t>
  </si>
  <si>
    <t>RESISTOR PARA MONTAGEM SMD 100R 5% 100PPM DE POTÊNCIA 1/16W 0402</t>
  </si>
  <si>
    <t>RESISTOR PARA MONTAGEM  SMD 100R 5％ 200PPM POTÊNCIA DE 1/4W (REF. R05001 - COD. 20633561)</t>
  </si>
  <si>
    <t>RESISTOR PARA MONTAGEM SMD 10K 5% 100PPM POTÊNCIA DE 1/10W (REF. R01029 - COD. 20633522)</t>
  </si>
  <si>
    <t>RESISTOR PARA MONTAGEM SMD 10K 1% 100PPM POTÊNCIA DE 1/10W (REF. R02007 - COD. 20633506)</t>
  </si>
  <si>
    <t>RESISTOR PARA MONTAGEM SMD 10K 5% 100PPM DE POTÊNCIA 1/16W 0402</t>
  </si>
  <si>
    <t>RESISTOR PARA MONTAGEM SMD 080510K 5％ 200PPM DE POTÊNCIA 1/8W (REF. R03008 - COD. 20635102)</t>
  </si>
  <si>
    <t>RESISTOR PARA MONTAGEM SMD 10R 5% 200PPM POTÊNCIA DE 1/10W (REF. R01008 - COD. 20633507)</t>
  </si>
  <si>
    <t>RESISTOR PARA MONTAGEM SMD 10R 5% 400PPM DE POTÊNCIA 1/4W 1206</t>
  </si>
  <si>
    <t>RESISTOR PARA MONTAGEM SMD 0R 5% 300PPM DE POTÊNCIA 1/4W 1206</t>
  </si>
  <si>
    <t>RESISTOR PARA MONTAGEM SMD 120K 5% 100ppm DE POTÊNCIA 1/16W 0402</t>
  </si>
  <si>
    <t>RESISTOR PARA MONTAGEM SMD 12K 1% 100PPM DE POTÊNCIA 1/16W 0402</t>
  </si>
  <si>
    <t>RESISTOR DE POTÊNCIA PTH 150R 5% 300PPM POTÊNCIA DE  3W ?5.5*15mm</t>
  </si>
  <si>
    <t>RESISTOR PARA MONTAGEM SMD 15K 1% 100PPM POTÊNCIA DE 1/16W 0402</t>
  </si>
  <si>
    <t>RESISTOR PARA MONTAGEM SMD DE POTÊNCIA 1/4W 1K 1%  100PPM 1/4W</t>
  </si>
  <si>
    <t>RESISTOR PARA MONTAGEM SMD 1K 1% 100PPM POTÊNCIA DE 1/10W (REF. R02002 - COD. 20633502)</t>
  </si>
  <si>
    <t>RESISTOR PARA MONTAGEM  SMD 1K 1% 100PPM POTÊNCIA DE 1/8 W (REF. R04020 - COD. 20633550)</t>
  </si>
  <si>
    <t xml:space="preserve">RESISTOR PARA MONTAGEM SMD 1K 1% 100PPM 50V DE POTÊNCIA 1/16W 0402 </t>
  </si>
  <si>
    <t>RESISTOR PARA MONTAGEM SMD 1K 5% 100PPM POTÊNCIA 1/10W (REF. R01003 - COD. 20633536)</t>
  </si>
  <si>
    <t>RESISTOR PARA MONTAGEM SMD 1K 5% 200PPM DE POTÊNCIA 1/8W</t>
  </si>
  <si>
    <t>RESISTOR PARA MONTAGEM SMD 1k 5% 100PPM DE POTÊNCIA 1/16W 0402</t>
  </si>
  <si>
    <t>RESISTOR PARA MONTAGEM SMD 1M  1% 100PPM DE POTÊNCIA 1/8W SMT</t>
  </si>
  <si>
    <t>RESISTOR PARA MONTAGEM SMD 1M 5 100PPM POTÊNCIA DE 1/4W (R05017)</t>
  </si>
  <si>
    <t>RESISTOR PARA MONTAGEM SMD 2.4K 5% 100PPM POTÊNCIA 1/10W (REF. R01036 - COD. 20633579)</t>
  </si>
  <si>
    <t xml:space="preserve">RESISTOR PARA MONTAGEM SMD 2.4K 5% 100PPM DE POTÊNCIA 1/16W 0402 </t>
  </si>
  <si>
    <t>RESISTOR PARA MONTAGEM SMD 2.4K 5% 100PPM DE POTÊNCIA 1/4W 1206</t>
  </si>
  <si>
    <t>RESISTOR PARA MONTAGEM SMD 20K 5% 100PPM POTÊNCIA 1/10W (REF. R01006 - COD. 20633580)</t>
  </si>
  <si>
    <t>RESISTOR PARA MONTAGEM SMD 20R 1% 100PPM DE POTÊNCIA 1/4W 1206</t>
  </si>
  <si>
    <t>RESISTOR PARA MONTAGEM SMD DE POTÊNCIA 1/8W 20R 1% 100PPM 0805</t>
  </si>
  <si>
    <t>RESISTOR PARA MONTAGEM SMD 20R 5％ 100PPM POTÊNCIA DE 1/8W (REF. R03023 - COD. 20633543)</t>
  </si>
  <si>
    <t>RESISTOR PARA MONTAGEM SMD 20R 5% 200PPM DE POTÊNCIA 1/4W SMT</t>
  </si>
  <si>
    <t>RESISTOR PARA MONTAGEM SMD 240R 1% 100PPM POTÊNCIA 1/10W (REF. R02010 - COD. 20633577)</t>
  </si>
  <si>
    <t>RESISTOR PARA MONTAGEM  SMD 240R 5% 200PPM  POTÊNCIA DE 1/10 W (REF. R01038 - COD. 20633530)</t>
  </si>
  <si>
    <t>RESISTOR PARA MONTAGEM SMD DE POTÊNCIA 1/8W 240R 5% 100PPM</t>
  </si>
  <si>
    <t>RESISTOR PARA MONTAGEM SMD 08052K  1％ 100PPM  DE POTÊNCIA 1/8W (REF. R04035 - COD. 20633523)</t>
  </si>
  <si>
    <t>RESISTOR PARA MONTAGEM  SMD 2K 1％ 100PPM POTÊNCIA DE 1/10 W (REF. R02025 - COD. 20633564)</t>
  </si>
  <si>
    <t>RESISTOR  PARA MONTAGEM SMD 2K 5 200PPM POTÊNCIA DE 1/10W (R01004)</t>
  </si>
  <si>
    <t>RESISTOR PARA MONTAGEM SMD 2K 5% 100ppm DE POTÊNCIA 1/16W 0402</t>
  </si>
  <si>
    <t>RESISTOR PARA MONTAGEM SMD 2M 5％ 200PPM POTÊNCIA DE 1/10W (REF. R01040 - COD. 20633602)</t>
  </si>
  <si>
    <t>RESISTOR PARA MONTAGEM SMD 3.3K 1% 100PPM DE POTÊNCIA 1/16W 0402</t>
  </si>
  <si>
    <t>RESISTOR PARA MONTAGEM SMD 3.9K 1% 100PPM POTÊNCIA DE 1/4W (R06042)</t>
  </si>
  <si>
    <t>RESISTOR PARA MONTAGEM SMD 330k 1% 50PPM DE POTÊNCIA 1/4W 1206</t>
  </si>
  <si>
    <t>RESISTOR PARA MONTAGEM  SMD 1.5K 1％ 100PPM POTÊNCIA DE 1/8 W (REF. R06004 - COD. 20633553)</t>
  </si>
  <si>
    <t>RESISTOR PARA MONTAGEM SMD 390K 1% 100PPMM POTÊNCIA DE 1/4W (R06027)</t>
  </si>
  <si>
    <t>RESISTOR PARA MONTAGEM SMD DE POTÊNCIA 1/4W 390k 5% 100PPM 1206</t>
  </si>
  <si>
    <t>RESISTOR PARA MONTAGEM SMD 390R  5 200PPM POTÊNCIA DE 1/10W (R01022)</t>
  </si>
  <si>
    <t>RESISTOR PARA MONTAGEM SMD DE POTÊNCIA 1/8W 390R 1% 100PPM 0805</t>
  </si>
  <si>
    <t>RESISTOR PARA MONTAGEM SMD SMD 39K 5% 100PPM POTÊNCIA DE 1/10W (REF. R01016 - COD. 20633510)</t>
  </si>
  <si>
    <t>RESISTOR PARA MONTAGEM SMD 39K 5% 100PPM DE POTÊNCIA 1/4W 1206</t>
  </si>
  <si>
    <t>RESISTOR PARA MONTAGEM SMD 3M 1% 100PPM DE POTÊNCIA 1/16W 0402</t>
  </si>
  <si>
    <t>RESISTOR PARA MONTAGEM SMD DE POTÊNCIA 1/8W 3R 1% 25PPM 1206</t>
  </si>
  <si>
    <t>RESISTOR PARA MONTAGEM  SMD 3R 1% 50PPM POTÊNCIA DE 1/8 W (REF. R06015-1 - COD. 20633539)</t>
  </si>
  <si>
    <t>RESISTOR PARA MONTAGEM SMD 4.7K 5% 100PPM POTÊNCIA DE 1/10W (REF. R01031 - COD. 20633517)</t>
  </si>
  <si>
    <t>RESISTOR PARA MONTAGEM  SMD 5.1K 1% 100PPM POTÊNCIA DE 1/10 W (REF. R02006 - COD. 20633504)</t>
  </si>
  <si>
    <t>RESISTOR PARA MONTAGEM SMD 5.1K 5% 100PPM POTÊNCIA DE 1/10W (REF. R01032 - COD. 20633531)</t>
  </si>
  <si>
    <t xml:space="preserve">RESISTOR PARA MONTAGEM SMD 5.1K 5% 100PPM DE POTÊNCIA 1/16W 0402 </t>
  </si>
  <si>
    <t>RESISTOR PARA MONTAGEM SMD DE POTÊNCIA 1/10W 510R 5% 100PPM  1/10W 0603</t>
  </si>
  <si>
    <t>RESISTOR 51k 5% 100.0ppm 1/4W 1206 SMT (2010104620)</t>
  </si>
  <si>
    <t>RESISTOR PARA MONTAGEM SMD 6.8K 5% 200PPM DE POTÊNCIA 1/8W</t>
  </si>
  <si>
    <t>RESISTOR PARA MONTAGEM SMD 6.8R 5 400PPM POTÊNCIA DE 1/8W (R03075)</t>
  </si>
  <si>
    <t>RESISTOR PARA MONTAGEM  SMD 620R 5% 100PPM POTÊNCIA DE 1/10 W (REF. R01024 - COD. 20633515)</t>
  </si>
  <si>
    <t>RESISTOR PARA MONTAGEM SMD 620R 5% 100ppm DE POTÊNCIA 1/16W 0402</t>
  </si>
  <si>
    <t>RESISTOR PARA MONTAGEM SMD 62R 5% 200PPM POTÊNCIA DE 1/10W (R01072)</t>
  </si>
  <si>
    <t>RESISTOR PARA MONTAGEM SMD 750R 1% 100PPM POTÊNCIA DE 1/10W (R02046)</t>
  </si>
  <si>
    <t>RESISTOR PARA MONTAGEM SMD 750R 1% 25PPM POTÊNCIA DE 1/10W 0603 (R02082)</t>
  </si>
  <si>
    <t>RESISTOR PARA MONTAGEM SMD DE POTÊNCIA 1/10W 750R 1% 25PPM 0805</t>
  </si>
  <si>
    <t>RESISTOR PARA MONTAGEM SMD 750R 5% 100PPM POTÊNCIA DE 1/10W (REF. R01010 - COD. 20633516)</t>
  </si>
  <si>
    <t>CABO MUNIDO DE TERMINAL DE SAÍDA DE COMUNICAÇÃO DE TENSÃO 40 V (LATÃO, FIO PRETO L= 120MM, POLIFÁSICO) (REF. 5.510.AP-04-4 - COD. 40270406)</t>
  </si>
  <si>
    <t>CABO MUNIDO DE TERMINAL DE SAÍDA DE COMUNICAÇÃO DE TENSÃO 40 V (LATÃO, FIO VERMELHO, L=100MM, POLIFÁSICO) (REF. 5.510.AP-03-2 - COD. 40270400)</t>
  </si>
  <si>
    <t>CABO MUNIDO DE TERMINAL DE SAÍDA DE COMUNICAÇÃO DE TENSÃO 40 V (LATÃO, FIO VERMELHO, L= 80MM, POLIFÁSICO) (REF. 5.510.AP-02-2 - COD. 40270405)</t>
  </si>
  <si>
    <t xml:space="preserve">PONTE DE COBRE (FASE B), FIO VERDE (120MM), DE TENSÃO 220 V, ESTANHADO (REF. 5.522.3BH01-01 - COD. 40270102) </t>
  </si>
  <si>
    <t>PONTE DE COBRE (FASE), FIO VERMELHO (100MM), FIO AMARELO (100MM), FIO AZUL (100MM), DE TENSÃO 220 V, ESTANHADO (REF. 5.575.83.F-B - COD. 40270001)</t>
  </si>
  <si>
    <t xml:space="preserve">PONTE DE COBRE (NEUTRO), FIO PRETO (80MM), DE TENSÃO 220 V, ESTANHADO (REF. 5.588.1BF00-02 - COD. 40270000) </t>
  </si>
  <si>
    <t>Ponte de Cobre Estanhada - Fio Amarelo - De tensão 220 V - L=140mm</t>
  </si>
  <si>
    <t>Ponte de Cobre Estanhada, de tensão 220V - Fase A - High End</t>
  </si>
  <si>
    <t>Ponte de Cobre Estanhada - Conector Fase A - Medidor Zeus</t>
  </si>
  <si>
    <t>Ponte de Cobre Estanhada, de tensão 220V - Fase B - High End</t>
  </si>
  <si>
    <t>Ponte de Cobre Estanhada - Fio Vermelho - De tensão 220 V - L=140mm</t>
  </si>
  <si>
    <t>Ponte de Cobre Estanhada, de tensão 220V - Fase C - High End</t>
  </si>
  <si>
    <t>Ponte de Cobre Estanhada - Conector Fase C - Medidor Zeus</t>
  </si>
  <si>
    <t>Ponte de Cobre Estanhada do Neutro - Fio Preto - De tensão 220 V - L=140mm</t>
  </si>
  <si>
    <t>Ponte de Fase A tensão 220V rebitada para Medidor Ares 30/200</t>
  </si>
  <si>
    <t>Ponte de Fase B tensão 220V rebitada para Medidor Ares 30/200</t>
  </si>
  <si>
    <t>Ponte de Fase C tensão 220V rebitada para Medidor Ares 30/200</t>
  </si>
  <si>
    <t>Cabo munido de  Terminal de Comunicação Rígido, de tensão 40V, Medidor High End</t>
  </si>
  <si>
    <t>Cabo munido de Terminal de Comunicação Rígido de tensão 40V Medidor High End</t>
  </si>
  <si>
    <t>CABO MUNIDO DE TERMINAL DE CORRENTE (FASE A), FIO VERMELHO E PRETO (100MM), DE TENSÃO 220V, LATÃO ESTANHADO (REF. 5.522.3BH10 - COD. 40270503)</t>
  </si>
  <si>
    <t>CABO MUNIDO DE TERMINAL DE CORRENTE (FASE B), FIO VERMELHO E PRETO (100MM), DE TENSÃO 220 V, LATÃO ESTANHADO (REF. 5.522.3BH11 - COD. 40270504)</t>
  </si>
  <si>
    <t>CABO MUNIDO DE TERMINAL DE CORRENTE (FASE C), FIO VERMELHO E PRETO (100MM), DE TENSÃO 220 V, LATÃO ESTANHADO (REF. 5.522.3BH12 - COD. 40270505)</t>
  </si>
  <si>
    <t>CHIP SENSOR DE CAMPO MAGNETICO NÃO MONTADO (REF. E01611 - CÓD. 20691701)</t>
  </si>
  <si>
    <t>Tubo de borracha para vedação de botão de sensor de abertura de medidor de energia elétria Ares 30/200</t>
  </si>
  <si>
    <t>SUPORTE P/ BATERIA, DE PLÁSTICO - 1*2Pin 2.5mm 7.40*4.90*5.9mm(38mm) PTH</t>
  </si>
  <si>
    <t>DIODO EMISSOR DE LUZ (LED) NÃO MONTADO f5*5mm</t>
  </si>
  <si>
    <t>TRANSFORMADOR DE CORRENTE 5(120A), 2,5mA, POTÊNCIA DE 0,072 KVA, FREQUENCIA 50 HZ, 20R, 0,1, L=140MM (REF. 6.AE.05-483211N - COD. 20661500)</t>
  </si>
  <si>
    <t>TRANSFORMADOR DE ALTA FREQUÊNCIA DE POTÊNCIA 0,1KVA E FREQUÊNCIA 42 KHZ  5(120)A,2mA,20R,0.1,6.AK.00 High End PTH</t>
  </si>
  <si>
    <t>Terminal de Corrente Repuxado 2,5mm Latão Estanhado 15N.m - Medidor Ares 30/200</t>
  </si>
  <si>
    <t>TIRISTOR NÃO MONTADO DE INTENSIDADE DE CORRENTE 3A, 10R</t>
  </si>
  <si>
    <t>TERMISTOR PTH PTC 10-15R  2% 200mA 650mA 5A 450V RAD-5mm</t>
  </si>
  <si>
    <t>TERMISTOR PTC15R20%140mA400mA300VRAD-5mm (R10019)</t>
  </si>
  <si>
    <t>TRANSFORMADOR DE CORRENTE EE20 DE POTÊNCIA 0,6 KVA E FREQUÊNCIA 60 HZ 1mH 10% 50uH 2 (13T/13T) 24*23*18mm</t>
  </si>
  <si>
    <t>TRANSFORMADOR DE ALTA FREQUÊNCIA DE POTÊNCIA 0,1 KVA E FREQUÊNCIA 42 KHZ 80uH 1.5uH 1:1.1 11.6*11.7*10mm PTH</t>
  </si>
  <si>
    <t>TRANSFORMADOR DE ALTA FREQUENCIA DE POTÊNCIA 0,1KVA E FREQUÊNCIA 42KHZ EE16 2.8mH 10% 2 (18T/14T) 33*18*17mm</t>
  </si>
  <si>
    <t xml:space="preserve">TRANSFORMADOR DE CORRENTE EE25 DE POTÊNCIA 1kVA, FREQUÊNCIA 30HZ 700-800uH 25uH 2 28*22*15mm </t>
  </si>
  <si>
    <t>TRANSFORMADOR DE CORRENTE A 7.5mA, POTÊNCIA DE 0,2KVA, FREQUENCIA 50 HZ,  3.5O:100mm</t>
  </si>
  <si>
    <t>TIRISTOR NÃO MONTADO INTENSIDADE DE CORRENTE DE 0,5 A (REF. A02012 - COD. 20680200)</t>
  </si>
  <si>
    <t>TRANSISTOR MONTADO PARA MONTAGEM SMD DE CAPACIDADE DE DISSIPAÇÃO 0,2 W +/-50mA CTR100-300 (IF=1mA VCE=5V) 35V B SO4</t>
  </si>
  <si>
    <t>TRANSISTOR NMOS NÃO MONTADO PTH,1500V,2A,10R,TO-220F</t>
  </si>
  <si>
    <t>TIRISTOR MONTADO DE INTENSIDADE DE CORRENTE 0,5A NMOS 900V 4A 4.2O TO220 (REF. A02114-W - CÓD. 20680207)</t>
  </si>
  <si>
    <t>TRANSISTOR MONTADO PARA MONTAGEM SMD DE CAPACIDADE DE DISSIPAÇÃO 0,35WNPN Vceo=60V Vces=0.3V Vebo=6V Ic=1A Hfe=200-400 SOT-23</t>
  </si>
  <si>
    <t>TRANSISTOR PNP -60.0V -1.0mA 200~400 SOT-23 (2060900513) SMT</t>
  </si>
  <si>
    <t>TRANSISTOR PNP MONTADO PARA SMD Vceo=-50V Vces=-0.3V Vebo=-6V Ic=1A Hfe=135-270 SOT-23</t>
  </si>
  <si>
    <t>TIRISTOR,  NÃO MONTADO, 45V, DE INTENSIDADE DE CORRENTE 0.5A,250~600,225mW,SOT-23 (REF. A02032 - COD. 20680201)</t>
  </si>
  <si>
    <t>CHIP REGULADOR DE TENSÃO NÃO MONTADO 4.2~40V 1.2~37V 1% 1.5A TO-220-3</t>
  </si>
  <si>
    <t>VARISTOR 470V 10% 10000A 1260pF F24 RAD-10mm PTH</t>
  </si>
  <si>
    <t>VARISTOR 470V 10% Φ14  (REF. R09014 - COD. 20624800)</t>
  </si>
  <si>
    <t>VARISTOR 680V 10% Φ14 (REF. R09013-W - COD. 20624801)</t>
  </si>
  <si>
    <t xml:space="preserve">VARISTOR 680V 10% Φ14 </t>
  </si>
  <si>
    <t>VARISTOR 680V 10% Φ21.5 (REF. R09012-W - COD. 20624808)</t>
  </si>
  <si>
    <t>VARISTOR  820V 10% 6500A 460pF F21 10mm 25.8mm PTH (REF. R09009-1-W - CÓD. 20680104)</t>
  </si>
  <si>
    <t>VARISTOR 820V 10% 6500A 460pF F21  10mm (R09009-W)</t>
  </si>
  <si>
    <t xml:space="preserve">VARISTOR 910V 10% M23 (REF. R09005 - COD. 20624805) </t>
  </si>
  <si>
    <t>Vedação de Borracha para Bateria (REF. 8.370.1CH00 - CÓD. 20470615)</t>
  </si>
  <si>
    <t>Total (CNY)</t>
  </si>
  <si>
    <t>City: Itaitinga – State: Ceará – Country: Brazil</t>
  </si>
  <si>
    <t>HXAP1000R21107-CPL.V2</t>
  </si>
  <si>
    <t>HXWSG100R21003-CPL.V2</t>
  </si>
  <si>
    <t>Roteador Digital Access Point Wi-Sun (HXAP1000R21107-CPL.V2) - sem módulo 4G</t>
  </si>
  <si>
    <t>Antena FRP N (ZK) 902-928MHz - 2DBI L285mm (2140103240)</t>
  </si>
  <si>
    <t>ANTENA DE COMUNICAÇÃO 2.4GHz (2140102370)</t>
  </si>
  <si>
    <t>Conector para Cabo de Rede (3012102500)</t>
  </si>
  <si>
    <t>Cabo de Alimentação (3090111330)</t>
    <phoneticPr fontId="1" type="noConversion"/>
  </si>
  <si>
    <t>Protetor para antenas contra descargas atmosféricas 81,5 * 62 * 25 mm, 800-1000 MHz (3060901240)</t>
  </si>
  <si>
    <t>Parafuso de aço inoxidável M6 Ø6,5mm (3030106390)</t>
  </si>
  <si>
    <t>Arruela Lisa em Aço Inox Ø6.4mm*12mm*1.6mm (3031101930)</t>
  </si>
  <si>
    <t>Arruela de Pressão em Aço Inox Ø6.1mm (3031300280)</t>
  </si>
  <si>
    <t>Terminal Olhal de cobre 2-6mm (3042304850)</t>
  </si>
  <si>
    <t>Selo em alumínio Diâm 4 x 10mm (3042100540)</t>
  </si>
  <si>
    <t>Arame de aço inoxidável para selo - L=100mm 3*0.3mm (3090501050)</t>
  </si>
  <si>
    <t>Componente anti-roubo AP Aço Inoxidável SUS304 2,0 mm 30523-AP-01/30523-AP-02 (3052303130)</t>
  </si>
  <si>
    <t>Dispositivo anti-roubo elétrico c/fechadura 30x20mmCobre/Aço InoxNúcleoABSChaveUniversal(3011501610)</t>
  </si>
  <si>
    <t>Parafuso em Aço Inox M6*16mm (3030109900)</t>
  </si>
  <si>
    <t>Chapa de Aço inoxidável para AP 300mm*115mm (3052303190)</t>
  </si>
  <si>
    <t>Parafuso de expansão M6*60 Aço Inoxidável SUS304 Meia Rosca (3030702210)</t>
  </si>
  <si>
    <t>Aro SUS304 de Aço Inoxidável 0,3mm 1100*10mm 30517-BXI-03 Forma de Dente (3051701630)</t>
  </si>
  <si>
    <t>Antena de fibra de vidro (2140103220)</t>
  </si>
  <si>
    <t>Grampo, para AP1000, aço inoxidável SUS304; 2,0 mm; 345 mm; 40 mm x 40 mm (3052303220)</t>
  </si>
  <si>
    <t>Parafuso em Aço Inox Headless M10*400mm (3030109940)</t>
  </si>
  <si>
    <t>Porca Quadrada M10 16mm*9.5mm (3030900630)</t>
  </si>
  <si>
    <t>Arruela de Pressão em Aço Inox Ø10.2mm (3031300320)</t>
  </si>
  <si>
    <t>Arruela Lisa em Aço Inox Ø10.5mm 20mm*2mm (3031101950)</t>
  </si>
  <si>
    <t>Cabo RF (TNC - MCX) 400mm  F2.8mm 3000MHz (2140103380)</t>
  </si>
  <si>
    <t>Cabo de força placa de comutação para MCR (3090504260)</t>
  </si>
  <si>
    <t>Cabo de rede MCR para placa de comutação (COM) - (3090504270)</t>
  </si>
  <si>
    <t>Cabo de rede Placa de comutação/MCR p/ protetor de sobretensão Ethernet(modo SAF)38 cm (3090504240)</t>
  </si>
  <si>
    <t>Adaptador de Antena  36 * 25,4 * 25,4 mm; DC-6 MHz (2140103360)</t>
  </si>
  <si>
    <t>Gabinete metálico (P70) aço inox(SUS201), dimensões 400 * 500 * 250 mm (5110017940)</t>
  </si>
  <si>
    <t>Cabo de força GE UPS para placa de comutação (3090504210)</t>
  </si>
  <si>
    <t>Cabo RF (MCX - N)  400 mm  F2,8 mm  3000 MHz (2140103400)</t>
  </si>
  <si>
    <t>Cabo de força entre GE UPS e Conversores de tensão</t>
  </si>
  <si>
    <t>Cabo Adaptador N-N 6m (2140103370)</t>
  </si>
  <si>
    <t>Repetidores de sinal de rádio frequência p/ comun. bidirec. dados s/fio modelo HXWSG100R21003-CPL.V2</t>
  </si>
  <si>
    <t>WSG Componente anti-roubo Aço Inoxidável SUS304 2,0 mm 30523-wSG-01/30523-WSG-02 (3052303120)</t>
  </si>
  <si>
    <t>Suporte em Aço Inox 300mm*50mm*20mm (3051502640)</t>
  </si>
  <si>
    <t>Parafuso Cabeça Tipo Panela, Ø7mm, M5*12 mm, Fenda Cruzada, Aço Carbono 1022 Galvanizado(3030104520)</t>
  </si>
  <si>
    <t>Arruela Lisa em Aço Carbono Q235 Ø5.2mm*15mm*1mm (3031100260)</t>
  </si>
  <si>
    <t>Parafuso Cabeça Tipo Panela -  M5*8 mm - Fenda Cruzada - Aço Carbono 1022 Galvanizado (3030104490)</t>
  </si>
  <si>
    <t>Arruela Lisa Φ5,3 mm, Φ10 mm x 1 mm, Aço Inoxidável SUS 304 Passivado (3031101920)</t>
  </si>
  <si>
    <t>Transformador de tensão externa MV JDZW-15 13.8kV (3012707260)</t>
  </si>
  <si>
    <t>Fonte de alimentação MW UPS 12.5 - 15.5V,40A (6001007080)</t>
  </si>
  <si>
    <t>Inversor 15V (retificador AC-DC) - (6001007020)</t>
  </si>
  <si>
    <t>Cabo de força MW UPS para  MCR / ECR / cabos vermelhos e preto 20AWG L500mm  (3090504230)</t>
  </si>
  <si>
    <t>Retificador p/linha de energia MW UPS,400 mm, preto, par trançado de 8 núcleos e 4 pares(3090504250)</t>
  </si>
  <si>
    <t>Cabo de força MW UPS para bateria, cabos vermelhos e preto 20AWG L400mm (3090504280)</t>
  </si>
  <si>
    <t>Cabo RF (TNC - N)  550 mm F5 mm 3000 MHz (2140103390)</t>
  </si>
  <si>
    <t>Gabinete metálico (P60) aço inox(SUS201, dimensões 300 * 300 * 250 mm (5110017930)</t>
  </si>
  <si>
    <t>Bateria 12V 5A/h - Acessórios GE (2079901041)</t>
  </si>
  <si>
    <t>Antena de Fibra de Vidro (1,1 m) - 902~928MHz, 50ohms, 8dbi (299020528501)</t>
  </si>
  <si>
    <t>Tampa do Conector de Passagem (2090903201)</t>
  </si>
  <si>
    <t>Cabo de rede MCR para protetor de sobretensão Ethernet (modo B2B) 80 cm (3090504220)</t>
  </si>
  <si>
    <t>Porca M3 - Aço Inox(3990200223)</t>
    <phoneticPr fontId="1" type="noConversion"/>
  </si>
  <si>
    <t>Parafuso Combinado - M3x10mm - Aço Inox (3990200226)</t>
    <phoneticPr fontId="1" type="noConversion"/>
  </si>
  <si>
    <t>Status 11/10</t>
  </si>
  <si>
    <t>CEO</t>
  </si>
  <si>
    <t>Unit price</t>
  </si>
  <si>
    <t xml:space="preserve">Phone: +86 (571) 2802-8102 </t>
  </si>
  <si>
    <t>Rodovia BR 116, Km 16, 7698 – zip code: 61.888-090</t>
  </si>
  <si>
    <t>PCM</t>
  </si>
  <si>
    <t>Supply code</t>
  </si>
  <si>
    <t>COMPRAS</t>
  </si>
  <si>
    <t>MATERIA-PRIMA</t>
  </si>
  <si>
    <t>SEA</t>
  </si>
  <si>
    <t>Place of Loading: NINGBO, China</t>
  </si>
  <si>
    <t>Place of Delivery: PECEM, Brazil</t>
  </si>
  <si>
    <t>Operations Director</t>
  </si>
  <si>
    <t>DAP</t>
  </si>
  <si>
    <t>HEXING  ELECTRICAL CO., LTD</t>
  </si>
  <si>
    <t xml:space="preserve">SHANGCHENG INDUSTRIAL ZONE </t>
  </si>
  <si>
    <t>1418,MOGANSHAN RD, HANGZHOU, CHINA</t>
  </si>
  <si>
    <t>E-mail: hongmin.shen@hxgroup.com</t>
  </si>
  <si>
    <t>240 days T/T</t>
  </si>
  <si>
    <t>Payment Terms: Net 240 days after Acceptance, but no later than [MM/YYYY] (calculated as 30 months from the Purchase Order date</t>
  </si>
  <si>
    <t>OCT/2026</t>
  </si>
  <si>
    <t>027956</t>
  </si>
  <si>
    <t>PURCHASE ORDER</t>
  </si>
  <si>
    <t>PO027956</t>
  </si>
  <si>
    <t>SC - 019347 - 019458</t>
  </si>
  <si>
    <t>29/06/2026 - Code sustituition and quantities update.</t>
  </si>
  <si>
    <t>PO#</t>
    <phoneticPr fontId="1" type="noConversion"/>
  </si>
  <si>
    <t>原物料编码
Old code</t>
    <phoneticPr fontId="1" type="noConversion"/>
  </si>
  <si>
    <t>新编码  New code</t>
    <phoneticPr fontId="1" type="noConversion"/>
  </si>
  <si>
    <t>替代料编码
substitute code</t>
    <phoneticPr fontId="1" type="noConversion"/>
  </si>
  <si>
    <t xml:space="preserve">需求数量
request Qty </t>
    <phoneticPr fontId="1" type="noConversion"/>
  </si>
  <si>
    <t>更改数量
change Qty</t>
    <phoneticPr fontId="1" type="noConversion"/>
  </si>
  <si>
    <t>027956/2026</t>
  </si>
  <si>
    <t>2010101620</t>
  </si>
  <si>
    <t>2010101960</t>
  </si>
  <si>
    <t>2020101980</t>
  </si>
  <si>
    <t>2020700071</t>
  </si>
  <si>
    <t>2060500112</t>
  </si>
  <si>
    <t>Material Code</t>
    <phoneticPr fontId="1" type="noConversion"/>
  </si>
  <si>
    <t>New Code</t>
    <phoneticPr fontId="1" type="noConversion"/>
  </si>
  <si>
    <t>Request Qty</t>
    <phoneticPr fontId="1" type="noConversion"/>
  </si>
  <si>
    <t>Adjust Qty</t>
    <phoneticPr fontId="1" type="noConversion"/>
  </si>
  <si>
    <t>MOQ</t>
    <phoneticPr fontId="1" type="noConversion"/>
  </si>
  <si>
    <t>2020302563</t>
  </si>
  <si>
    <t>2020303211</t>
  </si>
  <si>
    <t>2020302542</t>
  </si>
  <si>
    <t>2052700170</t>
  </si>
  <si>
    <t>2054300520</t>
  </si>
  <si>
    <t>2061500150</t>
  </si>
  <si>
    <t>2150160560</t>
  </si>
  <si>
    <t>3030502830</t>
  </si>
  <si>
    <t>3030503490</t>
  </si>
  <si>
    <t>3030702050</t>
  </si>
  <si>
    <t>3030702090</t>
  </si>
  <si>
    <t>3030900500</t>
  </si>
  <si>
    <t>29/06/2026 - Included the item HXAP1000R31044-ALL requested by Luiz Ricado (SC 019479)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</si>
</sst>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R$&quot;\ * #,##0.00_-;\-&quot;R$&quot;\ * #,##0.00_-;_-&quot;R$&quot;\ * &quot;-&quot;??_-;_-@_-"/>
    <numFmt numFmtId="43" formatCode="_-* #,##0.00_-;\-* #,##0.00_-;_-* &quot;-&quot;??_-;_-@_-"/>
    <numFmt numFmtId="164" formatCode="_(* #,##0.00_);_(* \(#,##0.00\);_(* &quot;-&quot;??_);_(@_)"/>
    <numFmt numFmtId="165" formatCode="[$¥-478]#,##0.00"/>
    <numFmt numFmtId="166" formatCode="_-* #,##0_-;\-* #,##0_-;_-* &quot;-&quot;??_-;_-@_-"/>
    <numFmt numFmtId="167" formatCode="[$¥-478]#,##0.000000"/>
    <numFmt numFmtId="168" formatCode="[$¥-478]#,##0.000000000000"/>
    <numFmt numFmtId="169" formatCode="0_ "/>
    <numFmt numFmtId="170" formatCode="0_);[Red]\(0\)"/>
    <numFmt numFmtId="171" formatCode="0.0_);[Red]\(0.0\)"/>
  </numFmts>
  <fonts count="28">
    <font>
      <sz val="11"/>
      <color theme="1"/>
      <name val="Calibri"/>
      <family val="2"/>
      <scheme val="minor"/>
    </font>
    <font>
      <sz val="10"/>
      <color theme="1"/>
      <name val="Calibri"/>
      <family val="2"/>
      <scheme val="minor"/>
    </font>
    <font>
      <sz val="10"/>
      <name val="Arial"/>
      <family val="2"/>
    </font>
    <font>
      <b/>
      <sz val="14"/>
      <color theme="1"/>
      <name val="Calibri"/>
      <family val="2"/>
      <scheme val="minor"/>
    </font>
    <font>
      <sz val="11"/>
      <color theme="1"/>
      <name val="Calibri"/>
      <family val="2"/>
      <scheme val="minor"/>
    </font>
    <font>
      <sz val="11"/>
      <color theme="1"/>
      <name val="Calibri"/>
      <family val="2"/>
      <charset val="134"/>
      <scheme val="minor"/>
    </font>
    <font>
      <sz val="12"/>
      <name val="宋体"/>
      <family val="3"/>
      <charset val="134"/>
    </font>
    <font>
      <sz val="11"/>
      <color theme="1"/>
      <name val="Calibri"/>
      <family val="3"/>
      <charset val="134"/>
      <scheme val="minor"/>
    </font>
    <font>
      <sz val="10"/>
      <name val="宋体"/>
      <family val="3"/>
      <charset val="134"/>
    </font>
    <font>
      <sz val="11"/>
      <color indexed="8"/>
      <name val="宋体"/>
      <family val="3"/>
      <charset val="134"/>
    </font>
    <font>
      <b/>
      <sz val="11"/>
      <color theme="1"/>
      <name val="Calibri"/>
      <family val="2"/>
      <scheme val="minor"/>
    </font>
    <font>
      <b/>
      <sz val="10"/>
      <name val="Calibri"/>
      <family val="2"/>
      <scheme val="minor"/>
    </font>
    <font>
      <sz val="10"/>
      <name val="Calibri"/>
      <family val="2"/>
      <scheme val="minor"/>
    </font>
    <font>
      <b/>
      <sz val="9"/>
      <color indexed="81"/>
      <name val="Tahoma"/>
      <family val="2"/>
    </font>
    <font>
      <sz val="9"/>
      <color indexed="81"/>
      <name val="Tahoma"/>
      <family val="2"/>
    </font>
    <font>
      <sz val="9"/>
      <name val="Calibri"/>
      <family val="3"/>
      <charset val="134"/>
      <scheme val="minor"/>
    </font>
    <font>
      <sz val="11"/>
      <name val="Calibri"/>
      <family val="2"/>
    </font>
    <font>
      <sz val="11"/>
      <color theme="1"/>
      <name val="Calibri"/>
      <family val="2"/>
    </font>
    <font>
      <sz val="14"/>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color theme="1"/>
      <name val="Arial"/>
      <family val="2"/>
    </font>
    <font>
      <sz val="14"/>
      <name val="Calibri"/>
      <family val="2"/>
      <scheme val="minor"/>
    </font>
    <font>
      <b/>
      <sz val="14"/>
      <name val="Calibri"/>
      <family val="2"/>
      <scheme val="minor"/>
    </font>
    <font>
      <b/>
      <sz val="12"/>
      <color rgb="FFFF0000"/>
      <name val="Calibri"/>
      <family val="2"/>
      <scheme val="minor"/>
    </font>
    <font>
      <sz val="11"/>
      <color rgb="FFFF0000"/>
      <name val="Calibri"/>
      <family val="2"/>
      <scheme val="minor"/>
    </font>
  </fonts>
  <fills count="9">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0" tint="-0.499984740745262"/>
        <bgColor indexed="64"/>
      </patternFill>
    </fill>
  </fills>
  <borders count="27">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s>
  <cellStyleXfs count="38">
    <xf numFmtId="165" fontId="0" fillId="0" borderId="0"/>
    <xf numFmtId="165" fontId="6" fillId="0" borderId="0">
      <alignment vertical="center"/>
    </xf>
    <xf numFmtId="165" fontId="6" fillId="0" borderId="0"/>
    <xf numFmtId="165" fontId="5" fillId="0" borderId="0">
      <alignment vertical="center"/>
    </xf>
    <xf numFmtId="165" fontId="5" fillId="0" borderId="0">
      <alignment vertical="center"/>
    </xf>
    <xf numFmtId="165" fontId="6" fillId="0" borderId="0"/>
    <xf numFmtId="165" fontId="7" fillId="0" borderId="0">
      <alignment vertical="center"/>
    </xf>
    <xf numFmtId="165" fontId="2" fillId="0" borderId="0"/>
    <xf numFmtId="165" fontId="4" fillId="0" borderId="0">
      <alignment vertical="center"/>
    </xf>
    <xf numFmtId="165" fontId="4" fillId="0" borderId="0">
      <alignment vertical="center"/>
    </xf>
    <xf numFmtId="165" fontId="7" fillId="0" borderId="0">
      <alignment vertical="center"/>
    </xf>
    <xf numFmtId="165" fontId="7" fillId="0" borderId="0">
      <alignment vertical="center"/>
    </xf>
    <xf numFmtId="165" fontId="6" fillId="0" borderId="0"/>
    <xf numFmtId="165" fontId="5" fillId="0" borderId="0">
      <alignment vertical="center"/>
    </xf>
    <xf numFmtId="165" fontId="6" fillId="0" borderId="0"/>
    <xf numFmtId="165" fontId="6" fillId="0" borderId="0">
      <alignment vertical="center"/>
    </xf>
    <xf numFmtId="165" fontId="6" fillId="0" borderId="0">
      <alignment vertical="center"/>
    </xf>
    <xf numFmtId="165" fontId="6" fillId="0" borderId="0">
      <alignment vertical="center"/>
    </xf>
    <xf numFmtId="165" fontId="6" fillId="0" borderId="0">
      <alignment vertical="center"/>
    </xf>
    <xf numFmtId="165" fontId="6" fillId="0" borderId="0">
      <alignment vertical="center"/>
    </xf>
    <xf numFmtId="165" fontId="6" fillId="0" borderId="0">
      <alignment vertical="center"/>
    </xf>
    <xf numFmtId="165" fontId="6" fillId="0" borderId="0">
      <alignment vertical="center"/>
    </xf>
    <xf numFmtId="165" fontId="8" fillId="0" borderId="0"/>
    <xf numFmtId="165" fontId="5" fillId="0" borderId="0">
      <alignment vertical="center"/>
    </xf>
    <xf numFmtId="165" fontId="5" fillId="0" borderId="0">
      <alignment vertical="center"/>
    </xf>
    <xf numFmtId="165" fontId="5" fillId="0" borderId="0">
      <alignment vertical="center"/>
    </xf>
    <xf numFmtId="165" fontId="5" fillId="0" borderId="0">
      <alignment vertical="center"/>
    </xf>
    <xf numFmtId="165" fontId="5" fillId="0" borderId="0">
      <alignment vertical="center"/>
    </xf>
    <xf numFmtId="165" fontId="6" fillId="0" borderId="0">
      <alignment vertical="center"/>
    </xf>
    <xf numFmtId="165" fontId="5" fillId="0" borderId="0">
      <alignment vertical="center"/>
    </xf>
    <xf numFmtId="165" fontId="4" fillId="0" borderId="0"/>
    <xf numFmtId="165" fontId="4" fillId="0" borderId="0"/>
    <xf numFmtId="9" fontId="9" fillId="0" borderId="0" applyFont="0" applyFill="0" applyBorder="0" applyAlignment="0" applyProtection="0">
      <alignment vertical="center"/>
    </xf>
    <xf numFmtId="164" fontId="4" fillId="0" borderId="0"/>
    <xf numFmtId="44"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cellStyleXfs>
  <cellXfs count="178">
    <xf numFmtId="165" fontId="0" fillId="0" borderId="0" xfId="0"/>
    <xf numFmtId="165" fontId="1" fillId="0" borderId="0" xfId="0" applyFont="1"/>
    <xf numFmtId="165" fontId="1" fillId="0" borderId="0" xfId="0" applyFont="1" applyAlignment="1">
      <alignment horizontal="center"/>
    </xf>
    <xf numFmtId="165" fontId="10" fillId="0" borderId="7" xfId="0" applyFont="1" applyBorder="1" applyAlignment="1">
      <alignment horizontal="center"/>
    </xf>
    <xf numFmtId="165" fontId="0" fillId="3" borderId="2" xfId="0" applyFill="1" applyBorder="1"/>
    <xf numFmtId="165" fontId="0" fillId="3" borderId="2" xfId="0" applyFill="1" applyBorder="1" applyAlignment="1">
      <alignment horizontal="center"/>
    </xf>
    <xf numFmtId="165" fontId="0" fillId="0" borderId="2" xfId="0" applyBorder="1"/>
    <xf numFmtId="165" fontId="0" fillId="0" borderId="2" xfId="0" applyBorder="1" applyAlignment="1">
      <alignment horizontal="center"/>
    </xf>
    <xf numFmtId="165" fontId="0" fillId="0" borderId="0" xfId="0" applyAlignment="1">
      <alignment horizontal="center"/>
    </xf>
    <xf numFmtId="165" fontId="0" fillId="0" borderId="7" xfId="0" applyBorder="1"/>
    <xf numFmtId="165" fontId="0" fillId="4" borderId="2" xfId="0" applyFill="1" applyBorder="1"/>
    <xf numFmtId="165" fontId="0" fillId="4" borderId="2" xfId="0" applyFill="1" applyBorder="1" applyAlignment="1">
      <alignment horizontal="center"/>
    </xf>
    <xf numFmtId="165" fontId="1" fillId="0" borderId="0" xfId="0" applyFont="1" applyAlignment="1">
      <alignment horizontal="left"/>
    </xf>
    <xf numFmtId="165" fontId="12" fillId="0" borderId="10" xfId="0" applyFont="1" applyBorder="1" applyAlignment="1">
      <alignment horizontal="center" vertical="center" wrapText="1"/>
    </xf>
    <xf numFmtId="165" fontId="12" fillId="0" borderId="5" xfId="0" applyFont="1" applyBorder="1" applyAlignment="1">
      <alignment horizontal="center" vertical="center" wrapText="1"/>
    </xf>
    <xf numFmtId="165" fontId="1" fillId="0" borderId="2" xfId="0" applyFont="1" applyBorder="1" applyAlignment="1">
      <alignment horizontal="center" vertical="center" wrapText="1"/>
    </xf>
    <xf numFmtId="165" fontId="12" fillId="0" borderId="8" xfId="0" applyFont="1" applyBorder="1" applyAlignment="1">
      <alignment horizontal="center" vertical="center" wrapText="1"/>
    </xf>
    <xf numFmtId="165" fontId="12" fillId="0" borderId="11" xfId="0" applyFont="1" applyBorder="1" applyAlignment="1">
      <alignment horizontal="center" vertical="center" wrapText="1"/>
    </xf>
    <xf numFmtId="165" fontId="11" fillId="2" borderId="4" xfId="0" applyFont="1" applyFill="1" applyBorder="1" applyAlignment="1">
      <alignment horizontal="center" vertical="center" wrapText="1"/>
    </xf>
    <xf numFmtId="165" fontId="11" fillId="2" borderId="11" xfId="0" applyFont="1" applyFill="1" applyBorder="1" applyAlignment="1">
      <alignment horizontal="center" vertical="center" wrapText="1"/>
    </xf>
    <xf numFmtId="165" fontId="0" fillId="0" borderId="0" xfId="0" applyAlignment="1">
      <alignment wrapText="1"/>
    </xf>
    <xf numFmtId="165" fontId="18" fillId="0" borderId="18" xfId="0" applyFont="1" applyBorder="1"/>
    <xf numFmtId="165" fontId="18" fillId="0" borderId="0" xfId="0" applyFont="1"/>
    <xf numFmtId="165" fontId="18" fillId="0" borderId="0" xfId="0" applyFont="1" applyAlignment="1">
      <alignment horizontal="center"/>
    </xf>
    <xf numFmtId="165" fontId="18" fillId="0" borderId="0" xfId="0" applyFont="1" applyAlignment="1">
      <alignment vertical="center"/>
    </xf>
    <xf numFmtId="165" fontId="19" fillId="0" borderId="0" xfId="0" applyFont="1"/>
    <xf numFmtId="165" fontId="19" fillId="0" borderId="0" xfId="0" applyFont="1" applyAlignment="1">
      <alignment horizontal="center"/>
    </xf>
    <xf numFmtId="3" fontId="19" fillId="0" borderId="0" xfId="0" applyNumberFormat="1" applyFont="1"/>
    <xf numFmtId="165" fontId="20" fillId="2" borderId="12" xfId="0" applyFont="1" applyFill="1" applyBorder="1"/>
    <xf numFmtId="165" fontId="20" fillId="2" borderId="13" xfId="0" applyFont="1" applyFill="1" applyBorder="1"/>
    <xf numFmtId="3" fontId="19" fillId="0" borderId="16" xfId="0" applyNumberFormat="1" applyFont="1" applyBorder="1" applyAlignment="1">
      <alignment horizontal="center"/>
    </xf>
    <xf numFmtId="165" fontId="19" fillId="0" borderId="17" xfId="0" applyFont="1" applyBorder="1" applyAlignment="1">
      <alignment horizontal="center"/>
    </xf>
    <xf numFmtId="3" fontId="19" fillId="0" borderId="0" xfId="0" applyNumberFormat="1" applyFont="1" applyAlignment="1">
      <alignment horizontal="center"/>
    </xf>
    <xf numFmtId="165" fontId="19" fillId="0" borderId="19" xfId="0" applyFont="1" applyBorder="1" applyAlignment="1">
      <alignment horizontal="center"/>
    </xf>
    <xf numFmtId="165" fontId="19" fillId="0" borderId="0" xfId="0" applyFont="1" applyAlignment="1">
      <alignment horizontal="center" vertical="center"/>
    </xf>
    <xf numFmtId="165" fontId="19" fillId="0" borderId="0" xfId="0" applyFont="1" applyAlignment="1">
      <alignment vertical="center"/>
    </xf>
    <xf numFmtId="3" fontId="19" fillId="0" borderId="0" xfId="0" applyNumberFormat="1" applyFont="1" applyAlignment="1">
      <alignment horizontal="center" vertical="center"/>
    </xf>
    <xf numFmtId="165" fontId="20" fillId="2" borderId="20" xfId="0" applyFont="1" applyFill="1" applyBorder="1"/>
    <xf numFmtId="165" fontId="20" fillId="2" borderId="11" xfId="0" applyFont="1" applyFill="1" applyBorder="1"/>
    <xf numFmtId="165" fontId="19" fillId="2" borderId="11" xfId="0" applyFont="1" applyFill="1" applyBorder="1"/>
    <xf numFmtId="165" fontId="19" fillId="0" borderId="21" xfId="0" applyFont="1" applyBorder="1"/>
    <xf numFmtId="165" fontId="19" fillId="0" borderId="22" xfId="0" applyFont="1" applyBorder="1"/>
    <xf numFmtId="3" fontId="19" fillId="0" borderId="22" xfId="0" applyNumberFormat="1" applyFont="1" applyBorder="1" applyAlignment="1">
      <alignment horizontal="center"/>
    </xf>
    <xf numFmtId="165" fontId="19" fillId="0" borderId="25" xfId="0" applyFont="1" applyBorder="1" applyAlignment="1">
      <alignment horizontal="center"/>
    </xf>
    <xf numFmtId="165" fontId="21" fillId="2" borderId="9" xfId="0" applyFont="1" applyFill="1" applyBorder="1" applyAlignment="1">
      <alignment horizontal="center" vertical="center"/>
    </xf>
    <xf numFmtId="165" fontId="21" fillId="2" borderId="11" xfId="0" applyFont="1" applyFill="1" applyBorder="1" applyAlignment="1">
      <alignment horizontal="center" vertical="center"/>
    </xf>
    <xf numFmtId="165" fontId="21" fillId="2" borderId="4" xfId="0" applyFont="1" applyFill="1" applyBorder="1" applyAlignment="1">
      <alignment horizontal="center" vertical="center"/>
    </xf>
    <xf numFmtId="165" fontId="21" fillId="2" borderId="10" xfId="0" applyFont="1" applyFill="1" applyBorder="1" applyAlignment="1">
      <alignment horizontal="center" vertical="center"/>
    </xf>
    <xf numFmtId="165" fontId="21" fillId="3" borderId="2" xfId="0" applyFont="1" applyFill="1" applyBorder="1" applyAlignment="1">
      <alignment horizontal="center" vertical="center"/>
    </xf>
    <xf numFmtId="165" fontId="22" fillId="0" borderId="0" xfId="0" applyFont="1" applyAlignment="1">
      <alignment horizontal="center" vertical="center"/>
    </xf>
    <xf numFmtId="165" fontId="19" fillId="0" borderId="1" xfId="0" applyFont="1" applyBorder="1"/>
    <xf numFmtId="165" fontId="19" fillId="0" borderId="6" xfId="0" applyFont="1" applyBorder="1"/>
    <xf numFmtId="165" fontId="19" fillId="0" borderId="3" xfId="0" applyFont="1" applyBorder="1"/>
    <xf numFmtId="165" fontId="19" fillId="0" borderId="4" xfId="0" applyFont="1" applyBorder="1"/>
    <xf numFmtId="165" fontId="19" fillId="0" borderId="5" xfId="0" applyFont="1" applyBorder="1"/>
    <xf numFmtId="165" fontId="19" fillId="0" borderId="7" xfId="0" applyFont="1" applyBorder="1"/>
    <xf numFmtId="165" fontId="20" fillId="0" borderId="0" xfId="0" applyFont="1" applyAlignment="1">
      <alignment horizontal="left" vertical="center" wrapText="1"/>
    </xf>
    <xf numFmtId="165" fontId="20" fillId="0" borderId="6" xfId="0" applyFont="1" applyBorder="1" applyAlignment="1">
      <alignment horizontal="left" vertical="center" wrapText="1"/>
    </xf>
    <xf numFmtId="165" fontId="21" fillId="0" borderId="1" xfId="0" applyFont="1" applyBorder="1"/>
    <xf numFmtId="165" fontId="21" fillId="0" borderId="0" xfId="0" applyFont="1" applyAlignment="1">
      <alignment wrapText="1"/>
    </xf>
    <xf numFmtId="165" fontId="23" fillId="0" borderId="6" xfId="0" applyFont="1" applyBorder="1" applyAlignment="1">
      <alignment horizontal="right"/>
    </xf>
    <xf numFmtId="165" fontId="22" fillId="0" borderId="0" xfId="0" applyFont="1" applyAlignment="1">
      <alignment vertical="top" wrapText="1"/>
    </xf>
    <xf numFmtId="0" fontId="24" fillId="0" borderId="2" xfId="0" applyNumberFormat="1" applyFont="1" applyBorder="1" applyAlignment="1">
      <alignment horizontal="center" vertical="center" wrapText="1"/>
    </xf>
    <xf numFmtId="165" fontId="24" fillId="0" borderId="2" xfId="34" applyNumberFormat="1" applyFont="1" applyFill="1" applyBorder="1" applyAlignment="1">
      <alignment horizontal="center" vertical="center"/>
    </xf>
    <xf numFmtId="165" fontId="24" fillId="0" borderId="2" xfId="0" applyFont="1" applyBorder="1" applyAlignment="1">
      <alignment horizontal="center" vertical="center"/>
    </xf>
    <xf numFmtId="165" fontId="18" fillId="0" borderId="1" xfId="0" applyFont="1" applyBorder="1"/>
    <xf numFmtId="165" fontId="18" fillId="0" borderId="6" xfId="0" applyFont="1" applyBorder="1"/>
    <xf numFmtId="1" fontId="18" fillId="0" borderId="0" xfId="0" applyNumberFormat="1" applyFont="1"/>
    <xf numFmtId="165" fontId="18" fillId="0" borderId="7" xfId="0" applyFont="1" applyBorder="1"/>
    <xf numFmtId="165" fontId="18" fillId="0" borderId="1" xfId="0" applyFont="1" applyBorder="1" applyAlignment="1">
      <alignment vertical="center"/>
    </xf>
    <xf numFmtId="165" fontId="22" fillId="0" borderId="2" xfId="0" applyFont="1" applyBorder="1" applyAlignment="1">
      <alignment horizontal="center" vertical="center" wrapText="1"/>
    </xf>
    <xf numFmtId="165" fontId="22" fillId="0" borderId="1" xfId="0" applyFont="1" applyBorder="1" applyAlignment="1">
      <alignment vertical="top" wrapText="1"/>
    </xf>
    <xf numFmtId="165" fontId="21" fillId="0" borderId="1" xfId="0" applyFont="1" applyBorder="1" applyAlignment="1">
      <alignment vertical="top"/>
    </xf>
    <xf numFmtId="165" fontId="22" fillId="0" borderId="0" xfId="0" applyFont="1" applyAlignment="1">
      <alignment vertical="top"/>
    </xf>
    <xf numFmtId="165" fontId="24" fillId="0" borderId="9" xfId="0" applyFont="1" applyBorder="1" applyAlignment="1">
      <alignment horizontal="left" vertical="center"/>
    </xf>
    <xf numFmtId="165" fontId="24" fillId="0" borderId="11" xfId="0" applyFont="1" applyBorder="1" applyAlignment="1">
      <alignment horizontal="center" vertical="center" wrapText="1"/>
    </xf>
    <xf numFmtId="165" fontId="24" fillId="0" borderId="10" xfId="0" applyFont="1" applyBorder="1" applyAlignment="1">
      <alignment horizontal="center" vertical="center" wrapText="1"/>
    </xf>
    <xf numFmtId="0" fontId="18" fillId="0" borderId="2" xfId="0" applyNumberFormat="1" applyFont="1" applyBorder="1" applyAlignment="1">
      <alignment horizontal="left" vertical="center" wrapText="1"/>
    </xf>
    <xf numFmtId="165" fontId="20" fillId="2" borderId="16" xfId="0" applyFont="1" applyFill="1" applyBorder="1"/>
    <xf numFmtId="49" fontId="19" fillId="0" borderId="0" xfId="0" applyNumberFormat="1" applyFont="1"/>
    <xf numFmtId="0" fontId="18" fillId="0" borderId="2" xfId="0" applyNumberFormat="1" applyFont="1" applyBorder="1" applyAlignment="1">
      <alignment horizontal="left" vertical="top" wrapText="1"/>
    </xf>
    <xf numFmtId="0" fontId="24" fillId="0" borderId="11" xfId="0" applyNumberFormat="1" applyFont="1" applyBorder="1" applyAlignment="1">
      <alignment horizontal="center" vertical="center" wrapText="1"/>
    </xf>
    <xf numFmtId="0" fontId="18" fillId="0" borderId="11" xfId="0" applyNumberFormat="1" applyFont="1" applyBorder="1" applyAlignment="1">
      <alignment horizontal="left" vertical="center" wrapText="1"/>
    </xf>
    <xf numFmtId="166" fontId="18" fillId="0" borderId="9" xfId="37" applyNumberFormat="1" applyFont="1" applyBorder="1" applyAlignment="1">
      <alignment horizontal="center" vertical="center" wrapText="1"/>
    </xf>
    <xf numFmtId="166" fontId="3" fillId="3" borderId="2" xfId="37" applyNumberFormat="1" applyFont="1" applyFill="1" applyBorder="1" applyAlignment="1">
      <alignment horizontal="center"/>
    </xf>
    <xf numFmtId="167" fontId="19" fillId="0" borderId="0" xfId="0" applyNumberFormat="1" applyFont="1"/>
    <xf numFmtId="167" fontId="19" fillId="0" borderId="16" xfId="0" applyNumberFormat="1" applyFont="1" applyBorder="1" applyAlignment="1">
      <alignment horizontal="center"/>
    </xf>
    <xf numFmtId="167" fontId="19" fillId="0" borderId="0" xfId="0" applyNumberFormat="1" applyFont="1" applyAlignment="1">
      <alignment horizontal="center"/>
    </xf>
    <xf numFmtId="167" fontId="19" fillId="0" borderId="22" xfId="0" applyNumberFormat="1" applyFont="1" applyBorder="1" applyAlignment="1">
      <alignment horizontal="center"/>
    </xf>
    <xf numFmtId="167" fontId="21" fillId="2" borderId="11" xfId="0" applyNumberFormat="1" applyFont="1" applyFill="1" applyBorder="1" applyAlignment="1">
      <alignment horizontal="center" vertical="center"/>
    </xf>
    <xf numFmtId="167" fontId="19" fillId="0" borderId="4" xfId="0" applyNumberFormat="1" applyFont="1" applyBorder="1"/>
    <xf numFmtId="167" fontId="18" fillId="0" borderId="0" xfId="0" applyNumberFormat="1" applyFont="1"/>
    <xf numFmtId="167" fontId="20" fillId="0" borderId="0" xfId="0" applyNumberFormat="1" applyFont="1" applyAlignment="1">
      <alignment horizontal="left" vertical="center" wrapText="1"/>
    </xf>
    <xf numFmtId="167" fontId="21" fillId="0" borderId="0" xfId="0" applyNumberFormat="1" applyFont="1" applyAlignment="1">
      <alignment wrapText="1"/>
    </xf>
    <xf numFmtId="167" fontId="22" fillId="0" borderId="0" xfId="0" applyNumberFormat="1" applyFont="1" applyAlignment="1">
      <alignment vertical="top" wrapText="1"/>
    </xf>
    <xf numFmtId="168" fontId="18" fillId="0" borderId="2" xfId="0" applyNumberFormat="1" applyFont="1" applyBorder="1" applyAlignment="1">
      <alignment horizontal="center" vertical="center"/>
    </xf>
    <xf numFmtId="165" fontId="19" fillId="0" borderId="0" xfId="0" applyFont="1" applyAlignment="1">
      <alignment horizontal="left" vertical="center" wrapText="1"/>
    </xf>
    <xf numFmtId="17" fontId="21" fillId="0" borderId="1" xfId="0" applyNumberFormat="1" applyFont="1" applyBorder="1" applyAlignment="1">
      <alignment horizontal="left" vertical="center"/>
    </xf>
    <xf numFmtId="165" fontId="26" fillId="0" borderId="1" xfId="0" applyFont="1" applyBorder="1" applyAlignment="1">
      <alignment horizontal="left" vertical="center" wrapText="1"/>
    </xf>
    <xf numFmtId="0" fontId="18" fillId="5" borderId="2" xfId="0" applyNumberFormat="1" applyFont="1" applyFill="1" applyBorder="1" applyAlignment="1">
      <alignment horizontal="left" vertical="center" wrapText="1"/>
    </xf>
    <xf numFmtId="0" fontId="18" fillId="5" borderId="11" xfId="0" applyNumberFormat="1" applyFont="1" applyFill="1" applyBorder="1" applyAlignment="1">
      <alignment horizontal="left" vertical="center" wrapText="1"/>
    </xf>
    <xf numFmtId="166" fontId="18" fillId="6" borderId="9" xfId="37" applyNumberFormat="1" applyFont="1" applyFill="1" applyBorder="1" applyAlignment="1">
      <alignment horizontal="center" vertical="center" wrapText="1"/>
    </xf>
    <xf numFmtId="14" fontId="19" fillId="0" borderId="0" xfId="0" applyNumberFormat="1" applyFont="1" applyAlignment="1">
      <alignment horizontal="left"/>
    </xf>
    <xf numFmtId="169" fontId="10" fillId="7" borderId="2" xfId="0" applyNumberFormat="1" applyFont="1" applyFill="1" applyBorder="1" applyAlignment="1">
      <alignment horizontal="left" vertical="center" wrapText="1"/>
    </xf>
    <xf numFmtId="170" fontId="10" fillId="7" borderId="2" xfId="0" applyNumberFormat="1" applyFont="1" applyFill="1" applyBorder="1" applyAlignment="1">
      <alignment horizontal="left" vertical="center" wrapText="1"/>
    </xf>
    <xf numFmtId="171" fontId="10" fillId="7" borderId="2" xfId="0" applyNumberFormat="1" applyFont="1" applyFill="1" applyBorder="1" applyAlignment="1">
      <alignment horizontal="left" vertical="center" wrapText="1"/>
    </xf>
    <xf numFmtId="165" fontId="7" fillId="0" borderId="2" xfId="0" applyFont="1" applyBorder="1" applyAlignment="1">
      <alignment horizontal="left" vertical="center"/>
    </xf>
    <xf numFmtId="165" fontId="0" fillId="4" borderId="10" xfId="0" applyFill="1" applyBorder="1" applyAlignment="1">
      <alignment horizontal="left" vertical="center"/>
    </xf>
    <xf numFmtId="170" fontId="0" fillId="0" borderId="2" xfId="0" applyNumberFormat="1" applyBorder="1" applyAlignment="1">
      <alignment horizontal="left" vertical="center"/>
    </xf>
    <xf numFmtId="171" fontId="0" fillId="4" borderId="2" xfId="0" applyNumberFormat="1" applyFill="1" applyBorder="1" applyAlignment="1">
      <alignment horizontal="left" vertical="center"/>
    </xf>
    <xf numFmtId="170" fontId="0" fillId="4" borderId="10" xfId="0" applyNumberFormat="1" applyFill="1" applyBorder="1" applyAlignment="1">
      <alignment horizontal="left" vertical="center"/>
    </xf>
    <xf numFmtId="170" fontId="0" fillId="4" borderId="2" xfId="0" applyNumberFormat="1" applyFill="1" applyBorder="1" applyAlignment="1">
      <alignment horizontal="left" vertical="center"/>
    </xf>
    <xf numFmtId="165" fontId="0" fillId="0" borderId="2" xfId="0" applyBorder="1" applyAlignment="1">
      <alignment horizontal="left" vertical="center"/>
    </xf>
    <xf numFmtId="169" fontId="0" fillId="0" borderId="2" xfId="0" applyNumberFormat="1" applyBorder="1" applyAlignment="1">
      <alignment horizontal="left" vertical="center"/>
    </xf>
    <xf numFmtId="170" fontId="10" fillId="8" borderId="2" xfId="0" applyNumberFormat="1" applyFont="1" applyFill="1" applyBorder="1" applyAlignment="1">
      <alignment horizontal="left" vertical="center"/>
    </xf>
    <xf numFmtId="171" fontId="10" fillId="8" borderId="2" xfId="0" applyNumberFormat="1" applyFont="1" applyFill="1" applyBorder="1" applyAlignment="1">
      <alignment horizontal="left" vertical="center"/>
    </xf>
    <xf numFmtId="170" fontId="0" fillId="7" borderId="2" xfId="0" applyNumberFormat="1" applyFill="1" applyBorder="1" applyAlignment="1">
      <alignment horizontal="left" vertical="center"/>
    </xf>
    <xf numFmtId="171" fontId="0" fillId="0" borderId="2" xfId="0" applyNumberFormat="1" applyBorder="1" applyAlignment="1">
      <alignment horizontal="left" vertical="center"/>
    </xf>
    <xf numFmtId="165" fontId="20" fillId="3" borderId="26" xfId="0" applyFont="1" applyFill="1" applyBorder="1" applyAlignment="1">
      <alignment horizontal="center" vertical="center"/>
    </xf>
    <xf numFmtId="165" fontId="20" fillId="3" borderId="16" xfId="0" applyFont="1" applyFill="1" applyBorder="1" applyAlignment="1">
      <alignment horizontal="center" vertical="center"/>
    </xf>
    <xf numFmtId="165" fontId="20" fillId="3" borderId="17" xfId="0" applyFont="1" applyFill="1" applyBorder="1" applyAlignment="1">
      <alignment horizontal="center" vertical="center"/>
    </xf>
    <xf numFmtId="165" fontId="20" fillId="3" borderId="21" xfId="0" applyFont="1" applyFill="1" applyBorder="1" applyAlignment="1">
      <alignment horizontal="center" vertical="center"/>
    </xf>
    <xf numFmtId="165" fontId="20" fillId="3" borderId="22" xfId="0" applyFont="1" applyFill="1" applyBorder="1" applyAlignment="1">
      <alignment horizontal="center" vertical="center"/>
    </xf>
    <xf numFmtId="165" fontId="20" fillId="3" borderId="25" xfId="0" applyFont="1" applyFill="1" applyBorder="1" applyAlignment="1">
      <alignment horizontal="center" vertical="center"/>
    </xf>
    <xf numFmtId="165" fontId="20" fillId="0" borderId="26" xfId="0" applyFont="1" applyBorder="1" applyAlignment="1">
      <alignment horizontal="center" vertical="center"/>
    </xf>
    <xf numFmtId="165" fontId="20" fillId="0" borderId="16" xfId="0" applyFont="1" applyBorder="1" applyAlignment="1">
      <alignment horizontal="center" vertical="center"/>
    </xf>
    <xf numFmtId="165" fontId="20" fillId="0" borderId="17" xfId="0" applyFont="1" applyBorder="1" applyAlignment="1">
      <alignment horizontal="center" vertical="center"/>
    </xf>
    <xf numFmtId="165" fontId="20" fillId="0" borderId="21" xfId="0" applyFont="1" applyBorder="1" applyAlignment="1">
      <alignment horizontal="center" vertical="center"/>
    </xf>
    <xf numFmtId="165" fontId="20" fillId="0" borderId="22" xfId="0" applyFont="1" applyBorder="1" applyAlignment="1">
      <alignment horizontal="center" vertical="center"/>
    </xf>
    <xf numFmtId="165" fontId="20" fillId="0" borderId="25" xfId="0" applyFont="1" applyBorder="1" applyAlignment="1">
      <alignment horizontal="center" vertical="center"/>
    </xf>
    <xf numFmtId="165" fontId="21" fillId="2" borderId="11" xfId="0" applyFont="1" applyFill="1" applyBorder="1" applyAlignment="1">
      <alignment horizontal="center" vertical="center"/>
    </xf>
    <xf numFmtId="165" fontId="3" fillId="3" borderId="9" xfId="0" applyFont="1" applyFill="1" applyBorder="1" applyAlignment="1">
      <alignment horizontal="right" wrapText="1"/>
    </xf>
    <xf numFmtId="165" fontId="3" fillId="3" borderId="11" xfId="0" applyFont="1" applyFill="1" applyBorder="1" applyAlignment="1">
      <alignment horizontal="right" wrapText="1"/>
    </xf>
    <xf numFmtId="165" fontId="3" fillId="3" borderId="10" xfId="0" applyFont="1" applyFill="1" applyBorder="1" applyAlignment="1">
      <alignment horizontal="right" wrapText="1"/>
    </xf>
    <xf numFmtId="165" fontId="25" fillId="3" borderId="2" xfId="0" applyFont="1" applyFill="1" applyBorder="1" applyAlignment="1">
      <alignment horizontal="center"/>
    </xf>
    <xf numFmtId="49" fontId="24" fillId="0" borderId="3" xfId="0" quotePrefix="1" applyNumberFormat="1" applyFont="1" applyBorder="1" applyAlignment="1">
      <alignment horizontal="center" vertical="center" wrapText="1"/>
    </xf>
    <xf numFmtId="49" fontId="24" fillId="0" borderId="1" xfId="0" quotePrefix="1" applyNumberFormat="1" applyFont="1" applyBorder="1" applyAlignment="1">
      <alignment horizontal="center" vertical="center" wrapText="1"/>
    </xf>
    <xf numFmtId="165" fontId="20" fillId="2" borderId="9" xfId="0" applyFont="1" applyFill="1" applyBorder="1" applyAlignment="1">
      <alignment horizontal="center"/>
    </xf>
    <xf numFmtId="165" fontId="20" fillId="2" borderId="11" xfId="0" applyFont="1" applyFill="1" applyBorder="1" applyAlignment="1">
      <alignment horizontal="center"/>
    </xf>
    <xf numFmtId="165" fontId="20" fillId="2" borderId="10" xfId="0" applyFont="1" applyFill="1" applyBorder="1" applyAlignment="1">
      <alignment horizontal="center"/>
    </xf>
    <xf numFmtId="165" fontId="18" fillId="0" borderId="4" xfId="0" applyFont="1" applyBorder="1" applyAlignment="1">
      <alignment horizontal="center"/>
    </xf>
    <xf numFmtId="165" fontId="18" fillId="0" borderId="0" xfId="0" applyFont="1" applyAlignment="1">
      <alignment horizontal="center"/>
    </xf>
    <xf numFmtId="165" fontId="19" fillId="2" borderId="14" xfId="0" applyFont="1" applyFill="1" applyBorder="1" applyAlignment="1">
      <alignment horizontal="center" vertical="center"/>
    </xf>
    <xf numFmtId="165" fontId="19" fillId="2" borderId="15" xfId="0" applyFont="1" applyFill="1" applyBorder="1" applyAlignment="1">
      <alignment horizontal="center" vertical="center"/>
    </xf>
    <xf numFmtId="165" fontId="19" fillId="2" borderId="1" xfId="0" applyFont="1" applyFill="1" applyBorder="1" applyAlignment="1">
      <alignment horizontal="center" vertical="center"/>
    </xf>
    <xf numFmtId="165" fontId="19" fillId="2" borderId="6" xfId="0" applyFont="1" applyFill="1" applyBorder="1" applyAlignment="1">
      <alignment horizontal="center" vertical="center"/>
    </xf>
    <xf numFmtId="14" fontId="19" fillId="0" borderId="16" xfId="0" applyNumberFormat="1" applyFont="1" applyBorder="1" applyAlignment="1">
      <alignment horizontal="center" vertical="center"/>
    </xf>
    <xf numFmtId="14" fontId="19" fillId="0" borderId="15" xfId="0" applyNumberFormat="1" applyFont="1" applyBorder="1" applyAlignment="1">
      <alignment horizontal="center" vertical="center"/>
    </xf>
    <xf numFmtId="14" fontId="19" fillId="0" borderId="0" xfId="0" applyNumberFormat="1" applyFont="1" applyAlignment="1">
      <alignment horizontal="center" vertical="center"/>
    </xf>
    <xf numFmtId="14" fontId="19" fillId="0" borderId="6" xfId="0" applyNumberFormat="1" applyFont="1" applyBorder="1" applyAlignment="1">
      <alignment horizontal="center" vertical="center"/>
    </xf>
    <xf numFmtId="165" fontId="19" fillId="0" borderId="0" xfId="0" applyFont="1" applyAlignment="1">
      <alignment horizontal="center" vertical="center"/>
    </xf>
    <xf numFmtId="165" fontId="19" fillId="0" borderId="6" xfId="0" applyFont="1" applyBorder="1" applyAlignment="1">
      <alignment horizontal="center" vertical="center"/>
    </xf>
    <xf numFmtId="165" fontId="19" fillId="2" borderId="23" xfId="0" applyFont="1" applyFill="1" applyBorder="1" applyAlignment="1">
      <alignment horizontal="center" vertical="center"/>
    </xf>
    <xf numFmtId="165" fontId="19" fillId="2" borderId="24" xfId="0" applyFont="1" applyFill="1" applyBorder="1" applyAlignment="1">
      <alignment horizontal="center" vertical="center"/>
    </xf>
    <xf numFmtId="17" fontId="19" fillId="0" borderId="1" xfId="0" applyNumberFormat="1" applyFont="1" applyBorder="1" applyAlignment="1">
      <alignment horizontal="center" vertical="center" wrapText="1"/>
    </xf>
    <xf numFmtId="165" fontId="19" fillId="0" borderId="0" xfId="0" applyFont="1" applyAlignment="1">
      <alignment horizontal="center" vertical="center" wrapText="1"/>
    </xf>
    <xf numFmtId="165" fontId="19" fillId="0" borderId="6" xfId="0" applyFont="1" applyBorder="1" applyAlignment="1">
      <alignment horizontal="center" vertical="center" wrapText="1"/>
    </xf>
    <xf numFmtId="165" fontId="19" fillId="0" borderId="23" xfId="0" applyFont="1" applyBorder="1" applyAlignment="1">
      <alignment horizontal="center" vertical="center" wrapText="1"/>
    </xf>
    <xf numFmtId="165" fontId="19" fillId="0" borderId="22" xfId="0" applyFont="1" applyBorder="1" applyAlignment="1">
      <alignment horizontal="center" vertical="center" wrapText="1"/>
    </xf>
    <xf numFmtId="165" fontId="19" fillId="0" borderId="24" xfId="0" applyFont="1" applyBorder="1" applyAlignment="1">
      <alignment horizontal="center" vertical="center" wrapText="1"/>
    </xf>
    <xf numFmtId="165" fontId="19" fillId="0" borderId="1" xfId="0" applyFont="1" applyBorder="1" applyAlignment="1">
      <alignment horizontal="left" vertical="center" wrapText="1"/>
    </xf>
    <xf numFmtId="165" fontId="19" fillId="0" borderId="0" xfId="0" applyFont="1" applyAlignment="1">
      <alignment horizontal="left" vertical="center" wrapText="1"/>
    </xf>
    <xf numFmtId="165" fontId="20" fillId="0" borderId="3" xfId="0" applyFont="1" applyBorder="1" applyAlignment="1">
      <alignment horizontal="left" vertical="center" wrapText="1"/>
    </xf>
    <xf numFmtId="165" fontId="20" fillId="0" borderId="4" xfId="0" applyFont="1" applyBorder="1" applyAlignment="1">
      <alignment horizontal="left" vertical="center" wrapText="1"/>
    </xf>
    <xf numFmtId="165" fontId="20" fillId="0" borderId="5" xfId="0" applyFont="1" applyBorder="1" applyAlignment="1">
      <alignment horizontal="left" vertical="center" wrapText="1"/>
    </xf>
    <xf numFmtId="165" fontId="3" fillId="2" borderId="9" xfId="0" applyFont="1" applyFill="1" applyBorder="1" applyAlignment="1">
      <alignment horizontal="center"/>
    </xf>
    <xf numFmtId="165" fontId="3" fillId="2" borderId="11" xfId="0" applyFont="1" applyFill="1" applyBorder="1" applyAlignment="1">
      <alignment horizontal="center"/>
    </xf>
    <xf numFmtId="165" fontId="3" fillId="2" borderId="10" xfId="0" applyFont="1" applyFill="1" applyBorder="1" applyAlignment="1">
      <alignment horizontal="center"/>
    </xf>
    <xf numFmtId="165" fontId="16" fillId="0" borderId="9" xfId="0" applyFont="1" applyBorder="1" applyAlignment="1">
      <alignment horizontal="center" vertical="center" wrapText="1"/>
    </xf>
    <xf numFmtId="165" fontId="16" fillId="0" borderId="11" xfId="0" applyFont="1" applyBorder="1" applyAlignment="1">
      <alignment horizontal="center" vertical="center" wrapText="1"/>
    </xf>
    <xf numFmtId="165" fontId="16" fillId="0" borderId="10" xfId="0" applyFont="1" applyBorder="1" applyAlignment="1">
      <alignment horizontal="center" vertical="center" wrapText="1"/>
    </xf>
    <xf numFmtId="165" fontId="17" fillId="0" borderId="9" xfId="0" applyFont="1" applyBorder="1" applyAlignment="1">
      <alignment horizontal="center" vertical="center" wrapText="1"/>
    </xf>
    <xf numFmtId="165" fontId="17" fillId="0" borderId="11" xfId="0" applyFont="1" applyBorder="1" applyAlignment="1">
      <alignment horizontal="center" vertical="center" wrapText="1"/>
    </xf>
    <xf numFmtId="165" fontId="17" fillId="0" borderId="10" xfId="0" applyFont="1" applyBorder="1" applyAlignment="1">
      <alignment horizontal="center" vertical="center" wrapText="1"/>
    </xf>
    <xf numFmtId="165" fontId="11" fillId="2" borderId="4" xfId="0" applyFont="1" applyFill="1" applyBorder="1" applyAlignment="1">
      <alignment horizontal="center" vertical="center" wrapText="1"/>
    </xf>
    <xf numFmtId="0" fontId="0" fillId="4" borderId="10" xfId="0" applyNumberFormat="1" applyFill="1" applyBorder="1" applyAlignment="1">
      <alignment horizontal="left" vertical="center"/>
    </xf>
    <xf numFmtId="0" fontId="0" fillId="7" borderId="2" xfId="0" applyNumberFormat="1" applyFill="1" applyBorder="1" applyAlignment="1">
      <alignment horizontal="left" vertical="center"/>
    </xf>
    <xf numFmtId="0" fontId="27" fillId="7" borderId="10" xfId="0" applyNumberFormat="1" applyFont="1" applyFill="1" applyBorder="1" applyAlignment="1">
      <alignment horizontal="left" vertical="center"/>
    </xf>
  </cellXfs>
  <cellStyles count="38">
    <cellStyle name="0,0_x000d__x000a_NA_x000d__x000a_" xfId="5" xr:uid="{00000000-0005-0000-0000-000000000000}"/>
    <cellStyle name="Moeda" xfId="34" builtinId="4"/>
    <cellStyle name="Normal" xfId="0" builtinId="0"/>
    <cellStyle name="Normal 2" xfId="13" xr:uid="{00000000-0005-0000-0000-000001000000}"/>
    <cellStyle name="Normal 2 2" xfId="25" xr:uid="{00000000-0005-0000-0000-000002000000}"/>
    <cellStyle name="Normal 2 3" xfId="29" xr:uid="{00000000-0005-0000-0000-000003000000}"/>
    <cellStyle name="Normal 3" xfId="35" xr:uid="{00000000-0005-0000-0000-000004000000}"/>
    <cellStyle name="Normal 5" xfId="36" xr:uid="{5F29328D-3E17-45CA-B478-B04D3C640171}"/>
    <cellStyle name="Porcentagem 2" xfId="32" xr:uid="{00000000-0005-0000-0000-000005000000}"/>
    <cellStyle name="Vírgula" xfId="37" builtinId="3"/>
    <cellStyle name="Vírgula 2" xfId="33" xr:uid="{00000000-0005-0000-0000-000006000000}"/>
    <cellStyle name="常规 10" xfId="31" xr:uid="{00000000-0005-0000-0000-000008000000}"/>
    <cellStyle name="常规 14" xfId="15" xr:uid="{00000000-0005-0000-0000-000009000000}"/>
    <cellStyle name="常规 2" xfId="9" xr:uid="{00000000-0005-0000-0000-00000A000000}"/>
    <cellStyle name="常规 2 2" xfId="7" xr:uid="{00000000-0005-0000-0000-00000B000000}"/>
    <cellStyle name="常规 2 2 2" xfId="17" xr:uid="{00000000-0005-0000-0000-00000C000000}"/>
    <cellStyle name="常规 2 3" xfId="19" xr:uid="{00000000-0005-0000-0000-00000D000000}"/>
    <cellStyle name="常规 2 4" xfId="21" xr:uid="{00000000-0005-0000-0000-00000E000000}"/>
    <cellStyle name="常规 2 5" xfId="14" xr:uid="{00000000-0005-0000-0000-00000F000000}"/>
    <cellStyle name="常规 22" xfId="6" xr:uid="{00000000-0005-0000-0000-000010000000}"/>
    <cellStyle name="常规 22 5" xfId="11" xr:uid="{00000000-0005-0000-0000-000011000000}"/>
    <cellStyle name="常规 27" xfId="28" xr:uid="{00000000-0005-0000-0000-000012000000}"/>
    <cellStyle name="常规 3" xfId="12" xr:uid="{00000000-0005-0000-0000-000013000000}"/>
    <cellStyle name="常规 3 2" xfId="16" xr:uid="{00000000-0005-0000-0000-000014000000}"/>
    <cellStyle name="常规 35" xfId="1" xr:uid="{00000000-0005-0000-0000-000015000000}"/>
    <cellStyle name="常规 4" xfId="10" xr:uid="{00000000-0005-0000-0000-000016000000}"/>
    <cellStyle name="常规 4 2" xfId="18" xr:uid="{00000000-0005-0000-0000-000017000000}"/>
    <cellStyle name="常规 5" xfId="8" xr:uid="{00000000-0005-0000-0000-000018000000}"/>
    <cellStyle name="常规 5 2" xfId="20" xr:uid="{00000000-0005-0000-0000-000019000000}"/>
    <cellStyle name="常规 54" xfId="22" xr:uid="{00000000-0005-0000-0000-00001A000000}"/>
    <cellStyle name="常规 56" xfId="3" xr:uid="{00000000-0005-0000-0000-00001B000000}"/>
    <cellStyle name="常规 56 2" xfId="23" xr:uid="{00000000-0005-0000-0000-00001C000000}"/>
    <cellStyle name="常规 56 3" xfId="26" xr:uid="{00000000-0005-0000-0000-00001D000000}"/>
    <cellStyle name="常规 57" xfId="4" xr:uid="{00000000-0005-0000-0000-00001E000000}"/>
    <cellStyle name="常规 57 2" xfId="24" xr:uid="{00000000-0005-0000-0000-00001F000000}"/>
    <cellStyle name="常规 57 3" xfId="27" xr:uid="{00000000-0005-0000-0000-000020000000}"/>
    <cellStyle name="常规 6" xfId="2" xr:uid="{00000000-0005-0000-0000-000021000000}"/>
    <cellStyle name="常规 9" xfId="30" xr:uid="{00000000-0005-0000-0000-000022000000}"/>
  </cellStyles>
  <dxfs count="15">
    <dxf>
      <fill>
        <patternFill>
          <bgColor theme="9" tint="-0.24994659260841701"/>
        </patternFill>
      </fill>
    </dxf>
    <dxf>
      <font>
        <color rgb="FF9C0006"/>
      </font>
      <fill>
        <patternFill>
          <bgColor rgb="FFFFC7CE"/>
        </patternFill>
      </fill>
    </dxf>
    <dxf>
      <fill>
        <patternFill>
          <bgColor theme="9"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12</xdr:col>
      <xdr:colOff>257175</xdr:colOff>
      <xdr:row>1</xdr:row>
      <xdr:rowOff>9525</xdr:rowOff>
    </xdr:from>
    <xdr:to>
      <xdr:col>14</xdr:col>
      <xdr:colOff>866775</xdr:colOff>
      <xdr:row>12</xdr:row>
      <xdr:rowOff>101903</xdr:rowOff>
    </xdr:to>
    <xdr:pic>
      <xdr:nvPicPr>
        <xdr:cNvPr id="2" name="Imagem 1" descr="Eletra-Logo_04.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48850" y="219075"/>
          <a:ext cx="3190875" cy="2778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581025</xdr:colOff>
      <xdr:row>214</xdr:row>
      <xdr:rowOff>123825</xdr:rowOff>
    </xdr:from>
    <xdr:ext cx="184731" cy="264560"/>
    <xdr:sp macro="" textlink="">
      <xdr:nvSpPr>
        <xdr:cNvPr id="3" name="CaixaDeTexto 2">
          <a:extLst>
            <a:ext uri="{FF2B5EF4-FFF2-40B4-BE49-F238E27FC236}">
              <a16:creationId xmlns:a16="http://schemas.microsoft.com/office/drawing/2014/main" id="{00000000-0008-0000-0000-000003000000}"/>
            </a:ext>
          </a:extLst>
        </xdr:cNvPr>
        <xdr:cNvSpPr txBox="1"/>
      </xdr:nvSpPr>
      <xdr:spPr>
        <a:xfrm>
          <a:off x="581025" y="14731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10</xdr:col>
      <xdr:colOff>220549</xdr:colOff>
      <xdr:row>225</xdr:row>
      <xdr:rowOff>123825</xdr:rowOff>
    </xdr:from>
    <xdr:ext cx="184731" cy="264560"/>
    <xdr:sp macro="" textlink="">
      <xdr:nvSpPr>
        <xdr:cNvPr id="4" name="CaixaDeTexto 3">
          <a:extLst>
            <a:ext uri="{FF2B5EF4-FFF2-40B4-BE49-F238E27FC236}">
              <a16:creationId xmlns:a16="http://schemas.microsoft.com/office/drawing/2014/main" id="{00000000-0008-0000-0000-000004000000}"/>
            </a:ext>
          </a:extLst>
        </xdr:cNvPr>
        <xdr:cNvSpPr txBox="1"/>
      </xdr:nvSpPr>
      <xdr:spPr>
        <a:xfrm>
          <a:off x="8126299" y="14920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0</xdr:col>
      <xdr:colOff>581025</xdr:colOff>
      <xdr:row>214</xdr:row>
      <xdr:rowOff>123825</xdr:rowOff>
    </xdr:from>
    <xdr:ext cx="184731" cy="264560"/>
    <xdr:sp macro="" textlink="">
      <xdr:nvSpPr>
        <xdr:cNvPr id="5" name="CaixaDeTexto 4">
          <a:extLst>
            <a:ext uri="{FF2B5EF4-FFF2-40B4-BE49-F238E27FC236}">
              <a16:creationId xmlns:a16="http://schemas.microsoft.com/office/drawing/2014/main" id="{00000000-0008-0000-0000-000005000000}"/>
            </a:ext>
          </a:extLst>
        </xdr:cNvPr>
        <xdr:cNvSpPr txBox="1"/>
      </xdr:nvSpPr>
      <xdr:spPr>
        <a:xfrm>
          <a:off x="581025" y="14731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10</xdr:col>
      <xdr:colOff>220549</xdr:colOff>
      <xdr:row>225</xdr:row>
      <xdr:rowOff>123825</xdr:rowOff>
    </xdr:from>
    <xdr:ext cx="184731" cy="264560"/>
    <xdr:sp macro="" textlink="">
      <xdr:nvSpPr>
        <xdr:cNvPr id="6" name="CaixaDeTexto 5">
          <a:extLst>
            <a:ext uri="{FF2B5EF4-FFF2-40B4-BE49-F238E27FC236}">
              <a16:creationId xmlns:a16="http://schemas.microsoft.com/office/drawing/2014/main" id="{00000000-0008-0000-0000-000006000000}"/>
            </a:ext>
          </a:extLst>
        </xdr:cNvPr>
        <xdr:cNvSpPr txBox="1"/>
      </xdr:nvSpPr>
      <xdr:spPr>
        <a:xfrm>
          <a:off x="8126299" y="14920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9</xdr:col>
      <xdr:colOff>211025</xdr:colOff>
      <xdr:row>214</xdr:row>
      <xdr:rowOff>123825</xdr:rowOff>
    </xdr:from>
    <xdr:ext cx="184730" cy="436786"/>
    <xdr:sp macro="" textlink="">
      <xdr:nvSpPr>
        <xdr:cNvPr id="7" name="CaixaDeTexto 6">
          <a:extLst>
            <a:ext uri="{FF2B5EF4-FFF2-40B4-BE49-F238E27FC236}">
              <a16:creationId xmlns:a16="http://schemas.microsoft.com/office/drawing/2014/main" id="{00000000-0008-0000-0000-000007000000}"/>
            </a:ext>
          </a:extLst>
        </xdr:cNvPr>
        <xdr:cNvSpPr txBox="1"/>
      </xdr:nvSpPr>
      <xdr:spPr>
        <a:xfrm>
          <a:off x="7507175" y="147313650"/>
          <a:ext cx="18473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a:p>
          <a:pPr algn="ctr"/>
          <a:endParaRPr lang="pt-BR" sz="1100"/>
        </a:p>
      </xdr:txBody>
    </xdr:sp>
    <xdr:clientData/>
  </xdr:oneCellAnchor>
  <xdr:oneCellAnchor>
    <xdr:from>
      <xdr:col>10</xdr:col>
      <xdr:colOff>220549</xdr:colOff>
      <xdr:row>225</xdr:row>
      <xdr:rowOff>123825</xdr:rowOff>
    </xdr:from>
    <xdr:ext cx="184731" cy="264560"/>
    <xdr:sp macro="" textlink="">
      <xdr:nvSpPr>
        <xdr:cNvPr id="8" name="CaixaDeTexto 7">
          <a:extLst>
            <a:ext uri="{FF2B5EF4-FFF2-40B4-BE49-F238E27FC236}">
              <a16:creationId xmlns:a16="http://schemas.microsoft.com/office/drawing/2014/main" id="{00000000-0008-0000-0000-000008000000}"/>
            </a:ext>
          </a:extLst>
        </xdr:cNvPr>
        <xdr:cNvSpPr txBox="1"/>
      </xdr:nvSpPr>
      <xdr:spPr>
        <a:xfrm>
          <a:off x="8126299" y="14920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9</xdr:col>
      <xdr:colOff>211025</xdr:colOff>
      <xdr:row>214</xdr:row>
      <xdr:rowOff>123825</xdr:rowOff>
    </xdr:from>
    <xdr:ext cx="184730" cy="436786"/>
    <xdr:sp macro="" textlink="">
      <xdr:nvSpPr>
        <xdr:cNvPr id="9" name="CaixaDeTexto 8">
          <a:extLst>
            <a:ext uri="{FF2B5EF4-FFF2-40B4-BE49-F238E27FC236}">
              <a16:creationId xmlns:a16="http://schemas.microsoft.com/office/drawing/2014/main" id="{00000000-0008-0000-0000-000009000000}"/>
            </a:ext>
          </a:extLst>
        </xdr:cNvPr>
        <xdr:cNvSpPr txBox="1"/>
      </xdr:nvSpPr>
      <xdr:spPr>
        <a:xfrm>
          <a:off x="7507175" y="147313650"/>
          <a:ext cx="18473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a:p>
          <a:pPr algn="ctr"/>
          <a:endParaRPr lang="pt-BR" sz="1100"/>
        </a:p>
      </xdr:txBody>
    </xdr:sp>
    <xdr:clientData/>
  </xdr:oneCellAnchor>
  <xdr:oneCellAnchor>
    <xdr:from>
      <xdr:col>0</xdr:col>
      <xdr:colOff>581025</xdr:colOff>
      <xdr:row>214</xdr:row>
      <xdr:rowOff>123825</xdr:rowOff>
    </xdr:from>
    <xdr:ext cx="184731" cy="264560"/>
    <xdr:sp macro="" textlink="">
      <xdr:nvSpPr>
        <xdr:cNvPr id="10" name="CaixaDeTexto 9">
          <a:extLst>
            <a:ext uri="{FF2B5EF4-FFF2-40B4-BE49-F238E27FC236}">
              <a16:creationId xmlns:a16="http://schemas.microsoft.com/office/drawing/2014/main" id="{00000000-0008-0000-0000-00000A000000}"/>
            </a:ext>
          </a:extLst>
        </xdr:cNvPr>
        <xdr:cNvSpPr txBox="1"/>
      </xdr:nvSpPr>
      <xdr:spPr>
        <a:xfrm>
          <a:off x="581025" y="14731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10</xdr:col>
      <xdr:colOff>220549</xdr:colOff>
      <xdr:row>225</xdr:row>
      <xdr:rowOff>123825</xdr:rowOff>
    </xdr:from>
    <xdr:ext cx="184731" cy="264560"/>
    <xdr:sp macro="" textlink="">
      <xdr:nvSpPr>
        <xdr:cNvPr id="11" name="CaixaDeTexto 10">
          <a:extLst>
            <a:ext uri="{FF2B5EF4-FFF2-40B4-BE49-F238E27FC236}">
              <a16:creationId xmlns:a16="http://schemas.microsoft.com/office/drawing/2014/main" id="{00000000-0008-0000-0000-00000B000000}"/>
            </a:ext>
          </a:extLst>
        </xdr:cNvPr>
        <xdr:cNvSpPr txBox="1"/>
      </xdr:nvSpPr>
      <xdr:spPr>
        <a:xfrm>
          <a:off x="8126299" y="14920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9</xdr:col>
      <xdr:colOff>211025</xdr:colOff>
      <xdr:row>214</xdr:row>
      <xdr:rowOff>123825</xdr:rowOff>
    </xdr:from>
    <xdr:ext cx="184730" cy="436786"/>
    <xdr:sp macro="" textlink="">
      <xdr:nvSpPr>
        <xdr:cNvPr id="12" name="CaixaDeTexto 11">
          <a:extLst>
            <a:ext uri="{FF2B5EF4-FFF2-40B4-BE49-F238E27FC236}">
              <a16:creationId xmlns:a16="http://schemas.microsoft.com/office/drawing/2014/main" id="{00000000-0008-0000-0000-00000C000000}"/>
            </a:ext>
          </a:extLst>
        </xdr:cNvPr>
        <xdr:cNvSpPr txBox="1"/>
      </xdr:nvSpPr>
      <xdr:spPr>
        <a:xfrm>
          <a:off x="7507175" y="147313650"/>
          <a:ext cx="18473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a:p>
          <a:pPr algn="ctr"/>
          <a:endParaRPr lang="pt-BR" sz="1100"/>
        </a:p>
      </xdr:txBody>
    </xdr:sp>
    <xdr:clientData/>
  </xdr:oneCellAnchor>
  <xdr:oneCellAnchor>
    <xdr:from>
      <xdr:col>0</xdr:col>
      <xdr:colOff>581025</xdr:colOff>
      <xdr:row>214</xdr:row>
      <xdr:rowOff>123825</xdr:rowOff>
    </xdr:from>
    <xdr:ext cx="184731" cy="264560"/>
    <xdr:sp macro="" textlink="">
      <xdr:nvSpPr>
        <xdr:cNvPr id="13" name="CaixaDeTexto 12">
          <a:extLst>
            <a:ext uri="{FF2B5EF4-FFF2-40B4-BE49-F238E27FC236}">
              <a16:creationId xmlns:a16="http://schemas.microsoft.com/office/drawing/2014/main" id="{00000000-0008-0000-0000-00000D000000}"/>
            </a:ext>
          </a:extLst>
        </xdr:cNvPr>
        <xdr:cNvSpPr txBox="1"/>
      </xdr:nvSpPr>
      <xdr:spPr>
        <a:xfrm>
          <a:off x="581025" y="14731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10</xdr:col>
      <xdr:colOff>220549</xdr:colOff>
      <xdr:row>225</xdr:row>
      <xdr:rowOff>123825</xdr:rowOff>
    </xdr:from>
    <xdr:ext cx="184731" cy="264560"/>
    <xdr:sp macro="" textlink="">
      <xdr:nvSpPr>
        <xdr:cNvPr id="14" name="CaixaDeTexto 13">
          <a:extLst>
            <a:ext uri="{FF2B5EF4-FFF2-40B4-BE49-F238E27FC236}">
              <a16:creationId xmlns:a16="http://schemas.microsoft.com/office/drawing/2014/main" id="{00000000-0008-0000-0000-00000E000000}"/>
            </a:ext>
          </a:extLst>
        </xdr:cNvPr>
        <xdr:cNvSpPr txBox="1"/>
      </xdr:nvSpPr>
      <xdr:spPr>
        <a:xfrm>
          <a:off x="8126299" y="14920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0</xdr:col>
      <xdr:colOff>581025</xdr:colOff>
      <xdr:row>214</xdr:row>
      <xdr:rowOff>123825</xdr:rowOff>
    </xdr:from>
    <xdr:ext cx="184731" cy="264560"/>
    <xdr:sp macro="" textlink="">
      <xdr:nvSpPr>
        <xdr:cNvPr id="15" name="CaixaDeTexto 14">
          <a:extLst>
            <a:ext uri="{FF2B5EF4-FFF2-40B4-BE49-F238E27FC236}">
              <a16:creationId xmlns:a16="http://schemas.microsoft.com/office/drawing/2014/main" id="{00000000-0008-0000-0000-00000F000000}"/>
            </a:ext>
          </a:extLst>
        </xdr:cNvPr>
        <xdr:cNvSpPr txBox="1"/>
      </xdr:nvSpPr>
      <xdr:spPr>
        <a:xfrm>
          <a:off x="581025" y="14731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10</xdr:col>
      <xdr:colOff>220549</xdr:colOff>
      <xdr:row>225</xdr:row>
      <xdr:rowOff>123825</xdr:rowOff>
    </xdr:from>
    <xdr:ext cx="184731" cy="264560"/>
    <xdr:sp macro="" textlink="">
      <xdr:nvSpPr>
        <xdr:cNvPr id="16" name="CaixaDeTexto 15">
          <a:extLst>
            <a:ext uri="{FF2B5EF4-FFF2-40B4-BE49-F238E27FC236}">
              <a16:creationId xmlns:a16="http://schemas.microsoft.com/office/drawing/2014/main" id="{00000000-0008-0000-0000-000010000000}"/>
            </a:ext>
          </a:extLst>
        </xdr:cNvPr>
        <xdr:cNvSpPr txBox="1"/>
      </xdr:nvSpPr>
      <xdr:spPr>
        <a:xfrm>
          <a:off x="8126299" y="14920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0</xdr:col>
      <xdr:colOff>581025</xdr:colOff>
      <xdr:row>214</xdr:row>
      <xdr:rowOff>123825</xdr:rowOff>
    </xdr:from>
    <xdr:ext cx="184731" cy="264560"/>
    <xdr:sp macro="" textlink="">
      <xdr:nvSpPr>
        <xdr:cNvPr id="17" name="CaixaDeTexto 16">
          <a:extLst>
            <a:ext uri="{FF2B5EF4-FFF2-40B4-BE49-F238E27FC236}">
              <a16:creationId xmlns:a16="http://schemas.microsoft.com/office/drawing/2014/main" id="{00000000-0008-0000-0000-000011000000}"/>
            </a:ext>
          </a:extLst>
        </xdr:cNvPr>
        <xdr:cNvSpPr txBox="1"/>
      </xdr:nvSpPr>
      <xdr:spPr>
        <a:xfrm>
          <a:off x="581025" y="14731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10</xdr:col>
      <xdr:colOff>220549</xdr:colOff>
      <xdr:row>225</xdr:row>
      <xdr:rowOff>123825</xdr:rowOff>
    </xdr:from>
    <xdr:ext cx="184731" cy="264560"/>
    <xdr:sp macro="" textlink="">
      <xdr:nvSpPr>
        <xdr:cNvPr id="18" name="CaixaDeTexto 17">
          <a:extLst>
            <a:ext uri="{FF2B5EF4-FFF2-40B4-BE49-F238E27FC236}">
              <a16:creationId xmlns:a16="http://schemas.microsoft.com/office/drawing/2014/main" id="{00000000-0008-0000-0000-000012000000}"/>
            </a:ext>
          </a:extLst>
        </xdr:cNvPr>
        <xdr:cNvSpPr txBox="1"/>
      </xdr:nvSpPr>
      <xdr:spPr>
        <a:xfrm>
          <a:off x="8126299" y="14920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0</xdr:col>
      <xdr:colOff>581025</xdr:colOff>
      <xdr:row>214</xdr:row>
      <xdr:rowOff>123825</xdr:rowOff>
    </xdr:from>
    <xdr:ext cx="184731" cy="264560"/>
    <xdr:sp macro="" textlink="">
      <xdr:nvSpPr>
        <xdr:cNvPr id="19" name="CaixaDeTexto 18">
          <a:extLst>
            <a:ext uri="{FF2B5EF4-FFF2-40B4-BE49-F238E27FC236}">
              <a16:creationId xmlns:a16="http://schemas.microsoft.com/office/drawing/2014/main" id="{00000000-0008-0000-0000-000013000000}"/>
            </a:ext>
          </a:extLst>
        </xdr:cNvPr>
        <xdr:cNvSpPr txBox="1"/>
      </xdr:nvSpPr>
      <xdr:spPr>
        <a:xfrm>
          <a:off x="581025" y="14731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10</xdr:col>
      <xdr:colOff>220549</xdr:colOff>
      <xdr:row>225</xdr:row>
      <xdr:rowOff>123825</xdr:rowOff>
    </xdr:from>
    <xdr:ext cx="184731" cy="264560"/>
    <xdr:sp macro="" textlink="">
      <xdr:nvSpPr>
        <xdr:cNvPr id="20" name="CaixaDeTexto 19">
          <a:extLst>
            <a:ext uri="{FF2B5EF4-FFF2-40B4-BE49-F238E27FC236}">
              <a16:creationId xmlns:a16="http://schemas.microsoft.com/office/drawing/2014/main" id="{00000000-0008-0000-0000-000014000000}"/>
            </a:ext>
          </a:extLst>
        </xdr:cNvPr>
        <xdr:cNvSpPr txBox="1"/>
      </xdr:nvSpPr>
      <xdr:spPr>
        <a:xfrm>
          <a:off x="8126299" y="14920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0</xdr:col>
      <xdr:colOff>581025</xdr:colOff>
      <xdr:row>214</xdr:row>
      <xdr:rowOff>123825</xdr:rowOff>
    </xdr:from>
    <xdr:ext cx="184731" cy="264560"/>
    <xdr:sp macro="" textlink="">
      <xdr:nvSpPr>
        <xdr:cNvPr id="21" name="CaixaDeTexto 20">
          <a:extLst>
            <a:ext uri="{FF2B5EF4-FFF2-40B4-BE49-F238E27FC236}">
              <a16:creationId xmlns:a16="http://schemas.microsoft.com/office/drawing/2014/main" id="{00000000-0008-0000-0000-000015000000}"/>
            </a:ext>
          </a:extLst>
        </xdr:cNvPr>
        <xdr:cNvSpPr txBox="1"/>
      </xdr:nvSpPr>
      <xdr:spPr>
        <a:xfrm>
          <a:off x="581025" y="14731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0</xdr:col>
      <xdr:colOff>581025</xdr:colOff>
      <xdr:row>214</xdr:row>
      <xdr:rowOff>123825</xdr:rowOff>
    </xdr:from>
    <xdr:ext cx="184731" cy="264560"/>
    <xdr:sp macro="" textlink="">
      <xdr:nvSpPr>
        <xdr:cNvPr id="22" name="CaixaDeTexto 21">
          <a:extLst>
            <a:ext uri="{FF2B5EF4-FFF2-40B4-BE49-F238E27FC236}">
              <a16:creationId xmlns:a16="http://schemas.microsoft.com/office/drawing/2014/main" id="{00000000-0008-0000-0000-000016000000}"/>
            </a:ext>
          </a:extLst>
        </xdr:cNvPr>
        <xdr:cNvSpPr txBox="1"/>
      </xdr:nvSpPr>
      <xdr:spPr>
        <a:xfrm>
          <a:off x="581025" y="147313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12</xdr:col>
      <xdr:colOff>211025</xdr:colOff>
      <xdr:row>214</xdr:row>
      <xdr:rowOff>123825</xdr:rowOff>
    </xdr:from>
    <xdr:ext cx="184730" cy="436786"/>
    <xdr:sp macro="" textlink="">
      <xdr:nvSpPr>
        <xdr:cNvPr id="24" name="CaixaDeTexto 23">
          <a:extLst>
            <a:ext uri="{FF2B5EF4-FFF2-40B4-BE49-F238E27FC236}">
              <a16:creationId xmlns:a16="http://schemas.microsoft.com/office/drawing/2014/main" id="{00000000-0008-0000-0000-000018000000}"/>
            </a:ext>
          </a:extLst>
        </xdr:cNvPr>
        <xdr:cNvSpPr txBox="1"/>
      </xdr:nvSpPr>
      <xdr:spPr>
        <a:xfrm>
          <a:off x="8954975" y="147313650"/>
          <a:ext cx="18473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a:p>
          <a:pPr algn="ctr"/>
          <a:endParaRPr lang="pt-BR" sz="1100"/>
        </a:p>
      </xdr:txBody>
    </xdr:sp>
    <xdr:clientData/>
  </xdr:oneCellAnchor>
  <xdr:oneCellAnchor>
    <xdr:from>
      <xdr:col>0</xdr:col>
      <xdr:colOff>581025</xdr:colOff>
      <xdr:row>228</xdr:row>
      <xdr:rowOff>0</xdr:rowOff>
    </xdr:from>
    <xdr:ext cx="184731" cy="264560"/>
    <xdr:sp macro="" textlink="">
      <xdr:nvSpPr>
        <xdr:cNvPr id="25" name="CaixaDeTexto 24">
          <a:extLst>
            <a:ext uri="{FF2B5EF4-FFF2-40B4-BE49-F238E27FC236}">
              <a16:creationId xmlns:a16="http://schemas.microsoft.com/office/drawing/2014/main" id="{00000000-0008-0000-0000-000019000000}"/>
            </a:ext>
          </a:extLst>
        </xdr:cNvPr>
        <xdr:cNvSpPr txBox="1"/>
      </xdr:nvSpPr>
      <xdr:spPr>
        <a:xfrm>
          <a:off x="581025" y="14993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13</xdr:col>
      <xdr:colOff>220549</xdr:colOff>
      <xdr:row>228</xdr:row>
      <xdr:rowOff>0</xdr:rowOff>
    </xdr:from>
    <xdr:ext cx="184731" cy="264560"/>
    <xdr:sp macro="" textlink="">
      <xdr:nvSpPr>
        <xdr:cNvPr id="26" name="CaixaDeTexto 25">
          <a:extLst>
            <a:ext uri="{FF2B5EF4-FFF2-40B4-BE49-F238E27FC236}">
              <a16:creationId xmlns:a16="http://schemas.microsoft.com/office/drawing/2014/main" id="{00000000-0008-0000-0000-00001A000000}"/>
            </a:ext>
          </a:extLst>
        </xdr:cNvPr>
        <xdr:cNvSpPr txBox="1"/>
      </xdr:nvSpPr>
      <xdr:spPr>
        <a:xfrm>
          <a:off x="10069399" y="14993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13</xdr:col>
      <xdr:colOff>211025</xdr:colOff>
      <xdr:row>228</xdr:row>
      <xdr:rowOff>0</xdr:rowOff>
    </xdr:from>
    <xdr:ext cx="184730" cy="436786"/>
    <xdr:sp macro="" textlink="">
      <xdr:nvSpPr>
        <xdr:cNvPr id="27" name="CaixaDeTexto 26">
          <a:extLst>
            <a:ext uri="{FF2B5EF4-FFF2-40B4-BE49-F238E27FC236}">
              <a16:creationId xmlns:a16="http://schemas.microsoft.com/office/drawing/2014/main" id="{00000000-0008-0000-0000-00001B000000}"/>
            </a:ext>
          </a:extLst>
        </xdr:cNvPr>
        <xdr:cNvSpPr txBox="1"/>
      </xdr:nvSpPr>
      <xdr:spPr>
        <a:xfrm>
          <a:off x="10059875" y="149933025"/>
          <a:ext cx="18473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a:p>
          <a:pPr algn="ctr"/>
          <a:endParaRPr lang="pt-BR" sz="1100"/>
        </a:p>
      </xdr:txBody>
    </xdr:sp>
    <xdr:clientData/>
  </xdr:oneCellAnchor>
  <xdr:oneCellAnchor>
    <xdr:from>
      <xdr:col>0</xdr:col>
      <xdr:colOff>581025</xdr:colOff>
      <xdr:row>228</xdr:row>
      <xdr:rowOff>0</xdr:rowOff>
    </xdr:from>
    <xdr:ext cx="184731" cy="264560"/>
    <xdr:sp macro="" textlink="">
      <xdr:nvSpPr>
        <xdr:cNvPr id="28" name="CaixaDeTexto 27">
          <a:extLst>
            <a:ext uri="{FF2B5EF4-FFF2-40B4-BE49-F238E27FC236}">
              <a16:creationId xmlns:a16="http://schemas.microsoft.com/office/drawing/2014/main" id="{00000000-0008-0000-0000-00001C000000}"/>
            </a:ext>
          </a:extLst>
        </xdr:cNvPr>
        <xdr:cNvSpPr txBox="1"/>
      </xdr:nvSpPr>
      <xdr:spPr>
        <a:xfrm>
          <a:off x="581025" y="14993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oneCellAnchor>
    <xdr:from>
      <xdr:col>13</xdr:col>
      <xdr:colOff>220549</xdr:colOff>
      <xdr:row>228</xdr:row>
      <xdr:rowOff>0</xdr:rowOff>
    </xdr:from>
    <xdr:ext cx="184731" cy="264560"/>
    <xdr:sp macro="" textlink="">
      <xdr:nvSpPr>
        <xdr:cNvPr id="29" name="CaixaDeTexto 28">
          <a:extLst>
            <a:ext uri="{FF2B5EF4-FFF2-40B4-BE49-F238E27FC236}">
              <a16:creationId xmlns:a16="http://schemas.microsoft.com/office/drawing/2014/main" id="{00000000-0008-0000-0000-00001D000000}"/>
            </a:ext>
          </a:extLst>
        </xdr:cNvPr>
        <xdr:cNvSpPr txBox="1"/>
      </xdr:nvSpPr>
      <xdr:spPr>
        <a:xfrm>
          <a:off x="10069399" y="14993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13</xdr:col>
      <xdr:colOff>211025</xdr:colOff>
      <xdr:row>228</xdr:row>
      <xdr:rowOff>0</xdr:rowOff>
    </xdr:from>
    <xdr:ext cx="184730" cy="436786"/>
    <xdr:sp macro="" textlink="">
      <xdr:nvSpPr>
        <xdr:cNvPr id="30" name="CaixaDeTexto 29">
          <a:extLst>
            <a:ext uri="{FF2B5EF4-FFF2-40B4-BE49-F238E27FC236}">
              <a16:creationId xmlns:a16="http://schemas.microsoft.com/office/drawing/2014/main" id="{00000000-0008-0000-0000-00001E000000}"/>
            </a:ext>
          </a:extLst>
        </xdr:cNvPr>
        <xdr:cNvSpPr txBox="1"/>
      </xdr:nvSpPr>
      <xdr:spPr>
        <a:xfrm>
          <a:off x="10059875" y="149933025"/>
          <a:ext cx="18473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a:p>
          <a:pPr algn="ctr"/>
          <a:endParaRPr lang="pt-BR" sz="1100"/>
        </a:p>
      </xdr:txBody>
    </xdr:sp>
    <xdr:clientData/>
  </xdr:oneCellAnchor>
  <xdr:oneCellAnchor>
    <xdr:from>
      <xdr:col>10</xdr:col>
      <xdr:colOff>220549</xdr:colOff>
      <xdr:row>223</xdr:row>
      <xdr:rowOff>123825</xdr:rowOff>
    </xdr:from>
    <xdr:ext cx="184731" cy="264560"/>
    <xdr:sp macro="" textlink="">
      <xdr:nvSpPr>
        <xdr:cNvPr id="31" name="CaixaDeTexto 30">
          <a:extLst>
            <a:ext uri="{FF2B5EF4-FFF2-40B4-BE49-F238E27FC236}">
              <a16:creationId xmlns:a16="http://schemas.microsoft.com/office/drawing/2014/main" id="{00000000-0008-0000-0000-00001F000000}"/>
            </a:ext>
          </a:extLst>
        </xdr:cNvPr>
        <xdr:cNvSpPr txBox="1"/>
      </xdr:nvSpPr>
      <xdr:spPr>
        <a:xfrm>
          <a:off x="8126299" y="14878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223</xdr:row>
      <xdr:rowOff>123825</xdr:rowOff>
    </xdr:from>
    <xdr:ext cx="184731" cy="264560"/>
    <xdr:sp macro="" textlink="">
      <xdr:nvSpPr>
        <xdr:cNvPr id="32" name="CaixaDeTexto 31">
          <a:extLst>
            <a:ext uri="{FF2B5EF4-FFF2-40B4-BE49-F238E27FC236}">
              <a16:creationId xmlns:a16="http://schemas.microsoft.com/office/drawing/2014/main" id="{00000000-0008-0000-0000-000020000000}"/>
            </a:ext>
          </a:extLst>
        </xdr:cNvPr>
        <xdr:cNvSpPr txBox="1"/>
      </xdr:nvSpPr>
      <xdr:spPr>
        <a:xfrm>
          <a:off x="8126299" y="14878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223</xdr:row>
      <xdr:rowOff>123825</xdr:rowOff>
    </xdr:from>
    <xdr:ext cx="184731" cy="264560"/>
    <xdr:sp macro="" textlink="">
      <xdr:nvSpPr>
        <xdr:cNvPr id="33" name="CaixaDeTexto 32">
          <a:extLst>
            <a:ext uri="{FF2B5EF4-FFF2-40B4-BE49-F238E27FC236}">
              <a16:creationId xmlns:a16="http://schemas.microsoft.com/office/drawing/2014/main" id="{00000000-0008-0000-0000-000021000000}"/>
            </a:ext>
          </a:extLst>
        </xdr:cNvPr>
        <xdr:cNvSpPr txBox="1"/>
      </xdr:nvSpPr>
      <xdr:spPr>
        <a:xfrm>
          <a:off x="8126299" y="14878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223</xdr:row>
      <xdr:rowOff>123825</xdr:rowOff>
    </xdr:from>
    <xdr:ext cx="184731" cy="264560"/>
    <xdr:sp macro="" textlink="">
      <xdr:nvSpPr>
        <xdr:cNvPr id="34" name="CaixaDeTexto 33">
          <a:extLst>
            <a:ext uri="{FF2B5EF4-FFF2-40B4-BE49-F238E27FC236}">
              <a16:creationId xmlns:a16="http://schemas.microsoft.com/office/drawing/2014/main" id="{00000000-0008-0000-0000-000022000000}"/>
            </a:ext>
          </a:extLst>
        </xdr:cNvPr>
        <xdr:cNvSpPr txBox="1"/>
      </xdr:nvSpPr>
      <xdr:spPr>
        <a:xfrm>
          <a:off x="8126299" y="14878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223</xdr:row>
      <xdr:rowOff>123825</xdr:rowOff>
    </xdr:from>
    <xdr:ext cx="184731" cy="264560"/>
    <xdr:sp macro="" textlink="">
      <xdr:nvSpPr>
        <xdr:cNvPr id="35" name="CaixaDeTexto 34">
          <a:extLst>
            <a:ext uri="{FF2B5EF4-FFF2-40B4-BE49-F238E27FC236}">
              <a16:creationId xmlns:a16="http://schemas.microsoft.com/office/drawing/2014/main" id="{00000000-0008-0000-0000-000023000000}"/>
            </a:ext>
          </a:extLst>
        </xdr:cNvPr>
        <xdr:cNvSpPr txBox="1"/>
      </xdr:nvSpPr>
      <xdr:spPr>
        <a:xfrm>
          <a:off x="8126299" y="14878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223</xdr:row>
      <xdr:rowOff>123825</xdr:rowOff>
    </xdr:from>
    <xdr:ext cx="184731" cy="264560"/>
    <xdr:sp macro="" textlink="">
      <xdr:nvSpPr>
        <xdr:cNvPr id="36" name="CaixaDeTexto 35">
          <a:extLst>
            <a:ext uri="{FF2B5EF4-FFF2-40B4-BE49-F238E27FC236}">
              <a16:creationId xmlns:a16="http://schemas.microsoft.com/office/drawing/2014/main" id="{00000000-0008-0000-0000-000024000000}"/>
            </a:ext>
          </a:extLst>
        </xdr:cNvPr>
        <xdr:cNvSpPr txBox="1"/>
      </xdr:nvSpPr>
      <xdr:spPr>
        <a:xfrm>
          <a:off x="8126299" y="14878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223</xdr:row>
      <xdr:rowOff>123825</xdr:rowOff>
    </xdr:from>
    <xdr:ext cx="184731" cy="264560"/>
    <xdr:sp macro="" textlink="">
      <xdr:nvSpPr>
        <xdr:cNvPr id="37" name="CaixaDeTexto 36">
          <a:extLst>
            <a:ext uri="{FF2B5EF4-FFF2-40B4-BE49-F238E27FC236}">
              <a16:creationId xmlns:a16="http://schemas.microsoft.com/office/drawing/2014/main" id="{00000000-0008-0000-0000-000025000000}"/>
            </a:ext>
          </a:extLst>
        </xdr:cNvPr>
        <xdr:cNvSpPr txBox="1"/>
      </xdr:nvSpPr>
      <xdr:spPr>
        <a:xfrm>
          <a:off x="8126299" y="14878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223</xdr:row>
      <xdr:rowOff>123825</xdr:rowOff>
    </xdr:from>
    <xdr:ext cx="184731" cy="264560"/>
    <xdr:sp macro="" textlink="">
      <xdr:nvSpPr>
        <xdr:cNvPr id="38" name="CaixaDeTexto 37">
          <a:extLst>
            <a:ext uri="{FF2B5EF4-FFF2-40B4-BE49-F238E27FC236}">
              <a16:creationId xmlns:a16="http://schemas.microsoft.com/office/drawing/2014/main" id="{00000000-0008-0000-0000-000026000000}"/>
            </a:ext>
          </a:extLst>
        </xdr:cNvPr>
        <xdr:cNvSpPr txBox="1"/>
      </xdr:nvSpPr>
      <xdr:spPr>
        <a:xfrm>
          <a:off x="8126299" y="14878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13</xdr:col>
      <xdr:colOff>220549</xdr:colOff>
      <xdr:row>228</xdr:row>
      <xdr:rowOff>0</xdr:rowOff>
    </xdr:from>
    <xdr:ext cx="184731" cy="264560"/>
    <xdr:sp macro="" textlink="">
      <xdr:nvSpPr>
        <xdr:cNvPr id="39" name="CaixaDeTexto 38">
          <a:extLst>
            <a:ext uri="{FF2B5EF4-FFF2-40B4-BE49-F238E27FC236}">
              <a16:creationId xmlns:a16="http://schemas.microsoft.com/office/drawing/2014/main" id="{5B85E4C2-1B47-4169-AA96-D9BF71CFBF97}"/>
            </a:ext>
          </a:extLst>
        </xdr:cNvPr>
        <xdr:cNvSpPr txBox="1"/>
      </xdr:nvSpPr>
      <xdr:spPr>
        <a:xfrm>
          <a:off x="10069399" y="14993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13</xdr:col>
      <xdr:colOff>211025</xdr:colOff>
      <xdr:row>228</xdr:row>
      <xdr:rowOff>0</xdr:rowOff>
    </xdr:from>
    <xdr:ext cx="184730" cy="436786"/>
    <xdr:sp macro="" textlink="">
      <xdr:nvSpPr>
        <xdr:cNvPr id="40" name="CaixaDeTexto 39">
          <a:extLst>
            <a:ext uri="{FF2B5EF4-FFF2-40B4-BE49-F238E27FC236}">
              <a16:creationId xmlns:a16="http://schemas.microsoft.com/office/drawing/2014/main" id="{448F0D78-92D8-4ABD-AB18-5F98DC020B1D}"/>
            </a:ext>
          </a:extLst>
        </xdr:cNvPr>
        <xdr:cNvSpPr txBox="1"/>
      </xdr:nvSpPr>
      <xdr:spPr>
        <a:xfrm>
          <a:off x="10059875" y="149933025"/>
          <a:ext cx="18473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a:p>
          <a:pPr algn="ctr"/>
          <a:endParaRPr lang="pt-BR" sz="1100"/>
        </a:p>
      </xdr:txBody>
    </xdr:sp>
    <xdr:clientData/>
  </xdr:oneCellAnchor>
  <xdr:oneCellAnchor>
    <xdr:from>
      <xdr:col>6</xdr:col>
      <xdr:colOff>220549</xdr:colOff>
      <xdr:row>228</xdr:row>
      <xdr:rowOff>0</xdr:rowOff>
    </xdr:from>
    <xdr:ext cx="184731" cy="264560"/>
    <xdr:sp macro="" textlink="">
      <xdr:nvSpPr>
        <xdr:cNvPr id="41" name="CaixaDeTexto 40">
          <a:extLst>
            <a:ext uri="{FF2B5EF4-FFF2-40B4-BE49-F238E27FC236}">
              <a16:creationId xmlns:a16="http://schemas.microsoft.com/office/drawing/2014/main" id="{3F7B949B-4C20-4FA9-8813-AD16176E9A54}"/>
            </a:ext>
          </a:extLst>
        </xdr:cNvPr>
        <xdr:cNvSpPr txBox="1"/>
      </xdr:nvSpPr>
      <xdr:spPr>
        <a:xfrm>
          <a:off x="6106999" y="14993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13</xdr:col>
      <xdr:colOff>220549</xdr:colOff>
      <xdr:row>228</xdr:row>
      <xdr:rowOff>0</xdr:rowOff>
    </xdr:from>
    <xdr:ext cx="184731" cy="264560"/>
    <xdr:sp macro="" textlink="">
      <xdr:nvSpPr>
        <xdr:cNvPr id="42" name="CaixaDeTexto 41">
          <a:extLst>
            <a:ext uri="{FF2B5EF4-FFF2-40B4-BE49-F238E27FC236}">
              <a16:creationId xmlns:a16="http://schemas.microsoft.com/office/drawing/2014/main" id="{67F1F571-C026-4B31-939E-4D55ED122687}"/>
            </a:ext>
          </a:extLst>
        </xdr:cNvPr>
        <xdr:cNvSpPr txBox="1"/>
      </xdr:nvSpPr>
      <xdr:spPr>
        <a:xfrm>
          <a:off x="10069399" y="14993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13</xdr:col>
      <xdr:colOff>211025</xdr:colOff>
      <xdr:row>228</xdr:row>
      <xdr:rowOff>0</xdr:rowOff>
    </xdr:from>
    <xdr:ext cx="184730" cy="436786"/>
    <xdr:sp macro="" textlink="">
      <xdr:nvSpPr>
        <xdr:cNvPr id="43" name="CaixaDeTexto 42">
          <a:extLst>
            <a:ext uri="{FF2B5EF4-FFF2-40B4-BE49-F238E27FC236}">
              <a16:creationId xmlns:a16="http://schemas.microsoft.com/office/drawing/2014/main" id="{765900DE-C507-4A2A-A82B-9C22C6608E62}"/>
            </a:ext>
          </a:extLst>
        </xdr:cNvPr>
        <xdr:cNvSpPr txBox="1"/>
      </xdr:nvSpPr>
      <xdr:spPr>
        <a:xfrm>
          <a:off x="10059875" y="149933025"/>
          <a:ext cx="18473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a:p>
          <a:pPr algn="ctr"/>
          <a:endParaRPr lang="pt-BR" sz="1100"/>
        </a:p>
      </xdr:txBody>
    </xdr:sp>
    <xdr:clientData/>
  </xdr:oneCellAnchor>
  <xdr:oneCellAnchor>
    <xdr:from>
      <xdr:col>6</xdr:col>
      <xdr:colOff>220549</xdr:colOff>
      <xdr:row>228</xdr:row>
      <xdr:rowOff>0</xdr:rowOff>
    </xdr:from>
    <xdr:ext cx="184731" cy="264560"/>
    <xdr:sp macro="" textlink="">
      <xdr:nvSpPr>
        <xdr:cNvPr id="44" name="CaixaDeTexto 43">
          <a:extLst>
            <a:ext uri="{FF2B5EF4-FFF2-40B4-BE49-F238E27FC236}">
              <a16:creationId xmlns:a16="http://schemas.microsoft.com/office/drawing/2014/main" id="{A8080AF2-B683-43C2-ABB7-C857FDA33A1B}"/>
            </a:ext>
          </a:extLst>
        </xdr:cNvPr>
        <xdr:cNvSpPr txBox="1"/>
      </xdr:nvSpPr>
      <xdr:spPr>
        <a:xfrm>
          <a:off x="6106999" y="14993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50" name="CaixaDeTexto 30">
          <a:extLst>
            <a:ext uri="{FF2B5EF4-FFF2-40B4-BE49-F238E27FC236}">
              <a16:creationId xmlns:a16="http://schemas.microsoft.com/office/drawing/2014/main" id="{B33F4DA9-66F1-4D7E-987B-0ADC58082EF6}"/>
            </a:ext>
          </a:extLst>
        </xdr:cNvPr>
        <xdr:cNvSpPr txBox="1"/>
      </xdr:nvSpPr>
      <xdr:spPr>
        <a:xfrm>
          <a:off x="8847478" y="5335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51" name="CaixaDeTexto 31">
          <a:extLst>
            <a:ext uri="{FF2B5EF4-FFF2-40B4-BE49-F238E27FC236}">
              <a16:creationId xmlns:a16="http://schemas.microsoft.com/office/drawing/2014/main" id="{53C44E69-256C-4D39-97D8-F87A430721D2}"/>
            </a:ext>
          </a:extLst>
        </xdr:cNvPr>
        <xdr:cNvSpPr txBox="1"/>
      </xdr:nvSpPr>
      <xdr:spPr>
        <a:xfrm>
          <a:off x="8847478" y="5335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52" name="CaixaDeTexto 32">
          <a:extLst>
            <a:ext uri="{FF2B5EF4-FFF2-40B4-BE49-F238E27FC236}">
              <a16:creationId xmlns:a16="http://schemas.microsoft.com/office/drawing/2014/main" id="{61E1F0E3-0ABB-4596-A1B2-B6A1FC3BD9AA}"/>
            </a:ext>
          </a:extLst>
        </xdr:cNvPr>
        <xdr:cNvSpPr txBox="1"/>
      </xdr:nvSpPr>
      <xdr:spPr>
        <a:xfrm>
          <a:off x="8847478" y="5335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53" name="CaixaDeTexto 33">
          <a:extLst>
            <a:ext uri="{FF2B5EF4-FFF2-40B4-BE49-F238E27FC236}">
              <a16:creationId xmlns:a16="http://schemas.microsoft.com/office/drawing/2014/main" id="{6CA71FFD-050E-4CEA-8E39-121027C2E274}"/>
            </a:ext>
          </a:extLst>
        </xdr:cNvPr>
        <xdr:cNvSpPr txBox="1"/>
      </xdr:nvSpPr>
      <xdr:spPr>
        <a:xfrm>
          <a:off x="8847478" y="5335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54" name="CaixaDeTexto 34">
          <a:extLst>
            <a:ext uri="{FF2B5EF4-FFF2-40B4-BE49-F238E27FC236}">
              <a16:creationId xmlns:a16="http://schemas.microsoft.com/office/drawing/2014/main" id="{820B729B-FE5D-4483-9722-5CEB5A0408C0}"/>
            </a:ext>
          </a:extLst>
        </xdr:cNvPr>
        <xdr:cNvSpPr txBox="1"/>
      </xdr:nvSpPr>
      <xdr:spPr>
        <a:xfrm>
          <a:off x="8847478" y="5335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55" name="CaixaDeTexto 35">
          <a:extLst>
            <a:ext uri="{FF2B5EF4-FFF2-40B4-BE49-F238E27FC236}">
              <a16:creationId xmlns:a16="http://schemas.microsoft.com/office/drawing/2014/main" id="{D1D0458B-1E68-4D4F-8E5A-7CFE051A9C78}"/>
            </a:ext>
          </a:extLst>
        </xdr:cNvPr>
        <xdr:cNvSpPr txBox="1"/>
      </xdr:nvSpPr>
      <xdr:spPr>
        <a:xfrm>
          <a:off x="8847478" y="5335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56" name="CaixaDeTexto 36">
          <a:extLst>
            <a:ext uri="{FF2B5EF4-FFF2-40B4-BE49-F238E27FC236}">
              <a16:creationId xmlns:a16="http://schemas.microsoft.com/office/drawing/2014/main" id="{EB1EBB71-1872-4EE1-B4B1-FC86AC335575}"/>
            </a:ext>
          </a:extLst>
        </xdr:cNvPr>
        <xdr:cNvSpPr txBox="1"/>
      </xdr:nvSpPr>
      <xdr:spPr>
        <a:xfrm>
          <a:off x="8847478" y="5335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57" name="CaixaDeTexto 37">
          <a:extLst>
            <a:ext uri="{FF2B5EF4-FFF2-40B4-BE49-F238E27FC236}">
              <a16:creationId xmlns:a16="http://schemas.microsoft.com/office/drawing/2014/main" id="{3E8CB655-D5A9-4A73-B609-7738D5214DCD}"/>
            </a:ext>
          </a:extLst>
        </xdr:cNvPr>
        <xdr:cNvSpPr txBox="1"/>
      </xdr:nvSpPr>
      <xdr:spPr>
        <a:xfrm>
          <a:off x="8847478" y="5335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59" name="CaixaDeTexto 30">
          <a:extLst>
            <a:ext uri="{FF2B5EF4-FFF2-40B4-BE49-F238E27FC236}">
              <a16:creationId xmlns:a16="http://schemas.microsoft.com/office/drawing/2014/main" id="{45C6F90A-91ED-42BF-9895-757D4E290DDC}"/>
            </a:ext>
          </a:extLst>
        </xdr:cNvPr>
        <xdr:cNvSpPr txBox="1"/>
      </xdr:nvSpPr>
      <xdr:spPr>
        <a:xfrm>
          <a:off x="8316799" y="6995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60" name="CaixaDeTexto 31">
          <a:extLst>
            <a:ext uri="{FF2B5EF4-FFF2-40B4-BE49-F238E27FC236}">
              <a16:creationId xmlns:a16="http://schemas.microsoft.com/office/drawing/2014/main" id="{0E57E5CB-482F-497E-BBB3-DC9A2F0B229A}"/>
            </a:ext>
          </a:extLst>
        </xdr:cNvPr>
        <xdr:cNvSpPr txBox="1"/>
      </xdr:nvSpPr>
      <xdr:spPr>
        <a:xfrm>
          <a:off x="8316799" y="6995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61" name="CaixaDeTexto 32">
          <a:extLst>
            <a:ext uri="{FF2B5EF4-FFF2-40B4-BE49-F238E27FC236}">
              <a16:creationId xmlns:a16="http://schemas.microsoft.com/office/drawing/2014/main" id="{37AAEE1C-F9F2-4D17-A0AD-2A9824EC1039}"/>
            </a:ext>
          </a:extLst>
        </xdr:cNvPr>
        <xdr:cNvSpPr txBox="1"/>
      </xdr:nvSpPr>
      <xdr:spPr>
        <a:xfrm>
          <a:off x="8316799" y="6995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62" name="CaixaDeTexto 33">
          <a:extLst>
            <a:ext uri="{FF2B5EF4-FFF2-40B4-BE49-F238E27FC236}">
              <a16:creationId xmlns:a16="http://schemas.microsoft.com/office/drawing/2014/main" id="{4DE29F35-26E0-4BFD-B739-0D416B9B3C13}"/>
            </a:ext>
          </a:extLst>
        </xdr:cNvPr>
        <xdr:cNvSpPr txBox="1"/>
      </xdr:nvSpPr>
      <xdr:spPr>
        <a:xfrm>
          <a:off x="8316799" y="6995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63" name="CaixaDeTexto 34">
          <a:extLst>
            <a:ext uri="{FF2B5EF4-FFF2-40B4-BE49-F238E27FC236}">
              <a16:creationId xmlns:a16="http://schemas.microsoft.com/office/drawing/2014/main" id="{CC79AF6F-8B39-49EA-B27F-1BA13BA80E68}"/>
            </a:ext>
          </a:extLst>
        </xdr:cNvPr>
        <xdr:cNvSpPr txBox="1"/>
      </xdr:nvSpPr>
      <xdr:spPr>
        <a:xfrm>
          <a:off x="8316799" y="6995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64" name="CaixaDeTexto 35">
          <a:extLst>
            <a:ext uri="{FF2B5EF4-FFF2-40B4-BE49-F238E27FC236}">
              <a16:creationId xmlns:a16="http://schemas.microsoft.com/office/drawing/2014/main" id="{0F47100F-6011-46CB-A835-34F4C52DE19D}"/>
            </a:ext>
          </a:extLst>
        </xdr:cNvPr>
        <xdr:cNvSpPr txBox="1"/>
      </xdr:nvSpPr>
      <xdr:spPr>
        <a:xfrm>
          <a:off x="8316799" y="6995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65" name="CaixaDeTexto 36">
          <a:extLst>
            <a:ext uri="{FF2B5EF4-FFF2-40B4-BE49-F238E27FC236}">
              <a16:creationId xmlns:a16="http://schemas.microsoft.com/office/drawing/2014/main" id="{499FAE50-D30B-4D01-A269-CF7F710C8727}"/>
            </a:ext>
          </a:extLst>
        </xdr:cNvPr>
        <xdr:cNvSpPr txBox="1"/>
      </xdr:nvSpPr>
      <xdr:spPr>
        <a:xfrm>
          <a:off x="8316799" y="6995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10</xdr:col>
      <xdr:colOff>220549</xdr:colOff>
      <xdr:row>227</xdr:row>
      <xdr:rowOff>0</xdr:rowOff>
    </xdr:from>
    <xdr:ext cx="184731" cy="264560"/>
    <xdr:sp macro="" textlink="">
      <xdr:nvSpPr>
        <xdr:cNvPr id="66" name="CaixaDeTexto 37">
          <a:extLst>
            <a:ext uri="{FF2B5EF4-FFF2-40B4-BE49-F238E27FC236}">
              <a16:creationId xmlns:a16="http://schemas.microsoft.com/office/drawing/2014/main" id="{B065B821-3C04-4F4B-91E8-1B3189719D93}"/>
            </a:ext>
          </a:extLst>
        </xdr:cNvPr>
        <xdr:cNvSpPr txBox="1"/>
      </xdr:nvSpPr>
      <xdr:spPr>
        <a:xfrm>
          <a:off x="8316799" y="6995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pt-BR" sz="1100"/>
        </a:p>
      </xdr:txBody>
    </xdr:sp>
    <xdr:clientData/>
  </xdr:oneCellAnchor>
  <xdr:oneCellAnchor>
    <xdr:from>
      <xdr:col>0</xdr:col>
      <xdr:colOff>571500</xdr:colOff>
      <xdr:row>236</xdr:row>
      <xdr:rowOff>0</xdr:rowOff>
    </xdr:from>
    <xdr:ext cx="184731" cy="264560"/>
    <xdr:sp macro="" textlink="">
      <xdr:nvSpPr>
        <xdr:cNvPr id="23" name="CaixaDeTexto 2">
          <a:extLst>
            <a:ext uri="{FF2B5EF4-FFF2-40B4-BE49-F238E27FC236}">
              <a16:creationId xmlns:a16="http://schemas.microsoft.com/office/drawing/2014/main" id="{98939DD7-7228-4038-8AB9-0E95A99DE81C}"/>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236</xdr:row>
      <xdr:rowOff>0</xdr:rowOff>
    </xdr:from>
    <xdr:ext cx="184731" cy="264560"/>
    <xdr:sp macro="" textlink="">
      <xdr:nvSpPr>
        <xdr:cNvPr id="45" name="CaixaDeTexto 4">
          <a:extLst>
            <a:ext uri="{FF2B5EF4-FFF2-40B4-BE49-F238E27FC236}">
              <a16:creationId xmlns:a16="http://schemas.microsoft.com/office/drawing/2014/main" id="{7BC14185-DD5C-4F66-8DE6-DE0B77D55949}"/>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236</xdr:row>
      <xdr:rowOff>0</xdr:rowOff>
    </xdr:from>
    <xdr:ext cx="184731" cy="264560"/>
    <xdr:sp macro="" textlink="">
      <xdr:nvSpPr>
        <xdr:cNvPr id="46" name="CaixaDeTexto 9">
          <a:extLst>
            <a:ext uri="{FF2B5EF4-FFF2-40B4-BE49-F238E27FC236}">
              <a16:creationId xmlns:a16="http://schemas.microsoft.com/office/drawing/2014/main" id="{4A07BA11-79AD-4A6D-B632-E791EECE9AC0}"/>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236</xdr:row>
      <xdr:rowOff>0</xdr:rowOff>
    </xdr:from>
    <xdr:ext cx="184731" cy="264560"/>
    <xdr:sp macro="" textlink="">
      <xdr:nvSpPr>
        <xdr:cNvPr id="47" name="CaixaDeTexto 12">
          <a:extLst>
            <a:ext uri="{FF2B5EF4-FFF2-40B4-BE49-F238E27FC236}">
              <a16:creationId xmlns:a16="http://schemas.microsoft.com/office/drawing/2014/main" id="{48B1F091-4A7E-4C36-BF11-3A825D11107E}"/>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236</xdr:row>
      <xdr:rowOff>0</xdr:rowOff>
    </xdr:from>
    <xdr:ext cx="184731" cy="264560"/>
    <xdr:sp macro="" textlink="">
      <xdr:nvSpPr>
        <xdr:cNvPr id="48" name="CaixaDeTexto 14">
          <a:extLst>
            <a:ext uri="{FF2B5EF4-FFF2-40B4-BE49-F238E27FC236}">
              <a16:creationId xmlns:a16="http://schemas.microsoft.com/office/drawing/2014/main" id="{BE0CF418-D1AF-4375-BB91-1F5DEF82272C}"/>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236</xdr:row>
      <xdr:rowOff>0</xdr:rowOff>
    </xdr:from>
    <xdr:ext cx="184731" cy="264560"/>
    <xdr:sp macro="" textlink="">
      <xdr:nvSpPr>
        <xdr:cNvPr id="49" name="CaixaDeTexto 16">
          <a:extLst>
            <a:ext uri="{FF2B5EF4-FFF2-40B4-BE49-F238E27FC236}">
              <a16:creationId xmlns:a16="http://schemas.microsoft.com/office/drawing/2014/main" id="{C2059A44-389E-4AA9-BB5F-CF15ED7A2A29}"/>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236</xdr:row>
      <xdr:rowOff>0</xdr:rowOff>
    </xdr:from>
    <xdr:ext cx="184731" cy="264560"/>
    <xdr:sp macro="" textlink="">
      <xdr:nvSpPr>
        <xdr:cNvPr id="58" name="CaixaDeTexto 18">
          <a:extLst>
            <a:ext uri="{FF2B5EF4-FFF2-40B4-BE49-F238E27FC236}">
              <a16:creationId xmlns:a16="http://schemas.microsoft.com/office/drawing/2014/main" id="{21AEE859-78C2-4DB1-B24B-64522393A661}"/>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236</xdr:row>
      <xdr:rowOff>0</xdr:rowOff>
    </xdr:from>
    <xdr:ext cx="184731" cy="264560"/>
    <xdr:sp macro="" textlink="">
      <xdr:nvSpPr>
        <xdr:cNvPr id="67" name="CaixaDeTexto 20">
          <a:extLst>
            <a:ext uri="{FF2B5EF4-FFF2-40B4-BE49-F238E27FC236}">
              <a16:creationId xmlns:a16="http://schemas.microsoft.com/office/drawing/2014/main" id="{73B8F1BA-DE27-4D1D-9EB0-A4CE90E8B7AB}"/>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236</xdr:row>
      <xdr:rowOff>0</xdr:rowOff>
    </xdr:from>
    <xdr:ext cx="184731" cy="264560"/>
    <xdr:sp macro="" textlink="">
      <xdr:nvSpPr>
        <xdr:cNvPr id="68" name="CaixaDeTexto 21">
          <a:extLst>
            <a:ext uri="{FF2B5EF4-FFF2-40B4-BE49-F238E27FC236}">
              <a16:creationId xmlns:a16="http://schemas.microsoft.com/office/drawing/2014/main" id="{EBA2B3DD-7DCC-4345-9DA6-70A464367A52}"/>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236</xdr:row>
      <xdr:rowOff>0</xdr:rowOff>
    </xdr:from>
    <xdr:ext cx="184731" cy="264560"/>
    <xdr:sp macro="" textlink="">
      <xdr:nvSpPr>
        <xdr:cNvPr id="69" name="CaixaDeTexto 24">
          <a:extLst>
            <a:ext uri="{FF2B5EF4-FFF2-40B4-BE49-F238E27FC236}">
              <a16:creationId xmlns:a16="http://schemas.microsoft.com/office/drawing/2014/main" id="{6C14956D-C834-434F-BD94-49A7CA291D07}"/>
            </a:ext>
          </a:extLst>
        </xdr:cNvPr>
        <xdr:cNvSpPr txBox="1"/>
      </xdr:nvSpPr>
      <xdr:spPr>
        <a:xfrm>
          <a:off x="57150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0" name="CaixaDeTexto 2">
          <a:extLst>
            <a:ext uri="{FF2B5EF4-FFF2-40B4-BE49-F238E27FC236}">
              <a16:creationId xmlns:a16="http://schemas.microsoft.com/office/drawing/2014/main" id="{A3CC9CFD-223F-4632-9150-A53B911FE4E8}"/>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1" name="CaixaDeTexto 4">
          <a:extLst>
            <a:ext uri="{FF2B5EF4-FFF2-40B4-BE49-F238E27FC236}">
              <a16:creationId xmlns:a16="http://schemas.microsoft.com/office/drawing/2014/main" id="{D96F2E39-8BA3-4217-A7FB-EF25D7E0C72F}"/>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2" name="CaixaDeTexto 9">
          <a:extLst>
            <a:ext uri="{FF2B5EF4-FFF2-40B4-BE49-F238E27FC236}">
              <a16:creationId xmlns:a16="http://schemas.microsoft.com/office/drawing/2014/main" id="{D20B09B5-6BAA-4F0F-84AE-201B45CC84C3}"/>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3" name="CaixaDeTexto 12">
          <a:extLst>
            <a:ext uri="{FF2B5EF4-FFF2-40B4-BE49-F238E27FC236}">
              <a16:creationId xmlns:a16="http://schemas.microsoft.com/office/drawing/2014/main" id="{61C32FDE-1EC6-42D9-81F3-DBFC2354B3A7}"/>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4" name="CaixaDeTexto 14">
          <a:extLst>
            <a:ext uri="{FF2B5EF4-FFF2-40B4-BE49-F238E27FC236}">
              <a16:creationId xmlns:a16="http://schemas.microsoft.com/office/drawing/2014/main" id="{F51370C8-546E-477E-895C-CC3C58A21BE6}"/>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5" name="CaixaDeTexto 16">
          <a:extLst>
            <a:ext uri="{FF2B5EF4-FFF2-40B4-BE49-F238E27FC236}">
              <a16:creationId xmlns:a16="http://schemas.microsoft.com/office/drawing/2014/main" id="{A4AB2C84-D6D5-4AD2-8BB7-90730D26C49D}"/>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6" name="CaixaDeTexto 18">
          <a:extLst>
            <a:ext uri="{FF2B5EF4-FFF2-40B4-BE49-F238E27FC236}">
              <a16:creationId xmlns:a16="http://schemas.microsoft.com/office/drawing/2014/main" id="{52F9269D-B00F-426F-9D3F-4F4CFAC11BCE}"/>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7" name="CaixaDeTexto 20">
          <a:extLst>
            <a:ext uri="{FF2B5EF4-FFF2-40B4-BE49-F238E27FC236}">
              <a16:creationId xmlns:a16="http://schemas.microsoft.com/office/drawing/2014/main" id="{05D625BE-8EEF-42ED-8B47-7028C2C7CEAC}"/>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8" name="CaixaDeTexto 21">
          <a:extLst>
            <a:ext uri="{FF2B5EF4-FFF2-40B4-BE49-F238E27FC236}">
              <a16:creationId xmlns:a16="http://schemas.microsoft.com/office/drawing/2014/main" id="{D46F53B7-15DB-428F-A465-A4FA85C2D16A}"/>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245</xdr:row>
      <xdr:rowOff>0</xdr:rowOff>
    </xdr:from>
    <xdr:ext cx="184731" cy="273683"/>
    <xdr:sp macro="" textlink="">
      <xdr:nvSpPr>
        <xdr:cNvPr id="79" name="CaixaDeTexto 24">
          <a:extLst>
            <a:ext uri="{FF2B5EF4-FFF2-40B4-BE49-F238E27FC236}">
              <a16:creationId xmlns:a16="http://schemas.microsoft.com/office/drawing/2014/main" id="{76F1014C-5618-4BD9-A9B2-F187081F77BB}"/>
            </a:ext>
          </a:extLst>
        </xdr:cNvPr>
        <xdr:cNvSpPr txBox="1"/>
      </xdr:nvSpPr>
      <xdr:spPr>
        <a:xfrm>
          <a:off x="565150" y="2209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0" name="CaixaDeTexto 2">
          <a:extLst>
            <a:ext uri="{FF2B5EF4-FFF2-40B4-BE49-F238E27FC236}">
              <a16:creationId xmlns:a16="http://schemas.microsoft.com/office/drawing/2014/main" id="{3195DF08-E139-43C0-9950-E5AFE8BDE7D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1" name="CaixaDeTexto 4">
          <a:extLst>
            <a:ext uri="{FF2B5EF4-FFF2-40B4-BE49-F238E27FC236}">
              <a16:creationId xmlns:a16="http://schemas.microsoft.com/office/drawing/2014/main" id="{436F5AF1-F7B1-4AEB-9445-129302B0A80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2" name="CaixaDeTexto 9">
          <a:extLst>
            <a:ext uri="{FF2B5EF4-FFF2-40B4-BE49-F238E27FC236}">
              <a16:creationId xmlns:a16="http://schemas.microsoft.com/office/drawing/2014/main" id="{1131DFDF-DAF0-47F9-B44D-04490937A88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3" name="CaixaDeTexto 12">
          <a:extLst>
            <a:ext uri="{FF2B5EF4-FFF2-40B4-BE49-F238E27FC236}">
              <a16:creationId xmlns:a16="http://schemas.microsoft.com/office/drawing/2014/main" id="{45456272-50C3-43C8-A511-768E353C70E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4" name="CaixaDeTexto 14">
          <a:extLst>
            <a:ext uri="{FF2B5EF4-FFF2-40B4-BE49-F238E27FC236}">
              <a16:creationId xmlns:a16="http://schemas.microsoft.com/office/drawing/2014/main" id="{484D34B6-B24F-463A-B83C-3CEEAD010AC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5" name="CaixaDeTexto 84">
          <a:extLst>
            <a:ext uri="{FF2B5EF4-FFF2-40B4-BE49-F238E27FC236}">
              <a16:creationId xmlns:a16="http://schemas.microsoft.com/office/drawing/2014/main" id="{80971CAC-84C9-4A66-B35C-3E370A91105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6" name="CaixaDeTexto 18">
          <a:extLst>
            <a:ext uri="{FF2B5EF4-FFF2-40B4-BE49-F238E27FC236}">
              <a16:creationId xmlns:a16="http://schemas.microsoft.com/office/drawing/2014/main" id="{E45FA14A-C13F-4F11-8929-17A44BE8AC1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7" name="CaixaDeTexto 20">
          <a:extLst>
            <a:ext uri="{FF2B5EF4-FFF2-40B4-BE49-F238E27FC236}">
              <a16:creationId xmlns:a16="http://schemas.microsoft.com/office/drawing/2014/main" id="{AEA7270E-205D-4AEB-9DF9-D14AE4C1745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8" name="CaixaDeTexto 2">
          <a:extLst>
            <a:ext uri="{FF2B5EF4-FFF2-40B4-BE49-F238E27FC236}">
              <a16:creationId xmlns:a16="http://schemas.microsoft.com/office/drawing/2014/main" id="{C9766027-C7AE-4A11-9928-A51A3E65A6C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89" name="CaixaDeTexto 4">
          <a:extLst>
            <a:ext uri="{FF2B5EF4-FFF2-40B4-BE49-F238E27FC236}">
              <a16:creationId xmlns:a16="http://schemas.microsoft.com/office/drawing/2014/main" id="{F2A26963-4204-4E0F-AEAC-DE9122BD1E0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0" name="CaixaDeTexto 9">
          <a:extLst>
            <a:ext uri="{FF2B5EF4-FFF2-40B4-BE49-F238E27FC236}">
              <a16:creationId xmlns:a16="http://schemas.microsoft.com/office/drawing/2014/main" id="{DB7E177E-566A-4981-B8EC-D5F2A15985A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1" name="CaixaDeTexto 12">
          <a:extLst>
            <a:ext uri="{FF2B5EF4-FFF2-40B4-BE49-F238E27FC236}">
              <a16:creationId xmlns:a16="http://schemas.microsoft.com/office/drawing/2014/main" id="{D5057664-06BF-4480-96EA-54F7D942E04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2" name="CaixaDeTexto 14">
          <a:extLst>
            <a:ext uri="{FF2B5EF4-FFF2-40B4-BE49-F238E27FC236}">
              <a16:creationId xmlns:a16="http://schemas.microsoft.com/office/drawing/2014/main" id="{362AF15C-3DFD-475B-9B1B-4B9479561EA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3" name="CaixaDeTexto 16">
          <a:extLst>
            <a:ext uri="{FF2B5EF4-FFF2-40B4-BE49-F238E27FC236}">
              <a16:creationId xmlns:a16="http://schemas.microsoft.com/office/drawing/2014/main" id="{66CDA45C-F93B-4DE5-8C9D-8DB69A330FD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4" name="CaixaDeTexto 18">
          <a:extLst>
            <a:ext uri="{FF2B5EF4-FFF2-40B4-BE49-F238E27FC236}">
              <a16:creationId xmlns:a16="http://schemas.microsoft.com/office/drawing/2014/main" id="{E0508C44-87A7-45C5-850A-9A2FF21F70E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5" name="CaixaDeTexto 20">
          <a:extLst>
            <a:ext uri="{FF2B5EF4-FFF2-40B4-BE49-F238E27FC236}">
              <a16:creationId xmlns:a16="http://schemas.microsoft.com/office/drawing/2014/main" id="{25BCBCB8-BBAF-4795-9A11-2F819CE93FA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6" name="CaixaDeTexto 21">
          <a:extLst>
            <a:ext uri="{FF2B5EF4-FFF2-40B4-BE49-F238E27FC236}">
              <a16:creationId xmlns:a16="http://schemas.microsoft.com/office/drawing/2014/main" id="{002B9C56-E1E8-4E13-A133-95D233B9BED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7" name="CaixaDeTexto 24">
          <a:extLst>
            <a:ext uri="{FF2B5EF4-FFF2-40B4-BE49-F238E27FC236}">
              <a16:creationId xmlns:a16="http://schemas.microsoft.com/office/drawing/2014/main" id="{E24638CF-71D7-4DDB-8290-BD60169BFD1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8" name="CaixaDeTexto 2">
          <a:extLst>
            <a:ext uri="{FF2B5EF4-FFF2-40B4-BE49-F238E27FC236}">
              <a16:creationId xmlns:a16="http://schemas.microsoft.com/office/drawing/2014/main" id="{E687555F-C140-423F-911E-9AC35D036E6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99" name="CaixaDeTexto 4">
          <a:extLst>
            <a:ext uri="{FF2B5EF4-FFF2-40B4-BE49-F238E27FC236}">
              <a16:creationId xmlns:a16="http://schemas.microsoft.com/office/drawing/2014/main" id="{F6C26282-D580-4CB4-A755-A5A27E0633B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0" name="CaixaDeTexto 9">
          <a:extLst>
            <a:ext uri="{FF2B5EF4-FFF2-40B4-BE49-F238E27FC236}">
              <a16:creationId xmlns:a16="http://schemas.microsoft.com/office/drawing/2014/main" id="{841FED0D-426C-49B7-8648-DF9E603B1D4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1" name="CaixaDeTexto 12">
          <a:extLst>
            <a:ext uri="{FF2B5EF4-FFF2-40B4-BE49-F238E27FC236}">
              <a16:creationId xmlns:a16="http://schemas.microsoft.com/office/drawing/2014/main" id="{412C5719-9201-4463-8F0C-4167D03792D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2" name="CaixaDeTexto 14">
          <a:extLst>
            <a:ext uri="{FF2B5EF4-FFF2-40B4-BE49-F238E27FC236}">
              <a16:creationId xmlns:a16="http://schemas.microsoft.com/office/drawing/2014/main" id="{935294C7-A926-4A27-B12C-BCC4BC28CEA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3" name="CaixaDeTexto 16">
          <a:extLst>
            <a:ext uri="{FF2B5EF4-FFF2-40B4-BE49-F238E27FC236}">
              <a16:creationId xmlns:a16="http://schemas.microsoft.com/office/drawing/2014/main" id="{7DE6E599-C256-4FB6-A094-4490745F268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4" name="CaixaDeTexto 18">
          <a:extLst>
            <a:ext uri="{FF2B5EF4-FFF2-40B4-BE49-F238E27FC236}">
              <a16:creationId xmlns:a16="http://schemas.microsoft.com/office/drawing/2014/main" id="{FA4073B8-7C61-4812-9FD3-2969B878759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5" name="CaixaDeTexto 20">
          <a:extLst>
            <a:ext uri="{FF2B5EF4-FFF2-40B4-BE49-F238E27FC236}">
              <a16:creationId xmlns:a16="http://schemas.microsoft.com/office/drawing/2014/main" id="{87E86E77-B22D-41B7-8FAF-D1DE4D3F873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6" name="CaixaDeTexto 21">
          <a:extLst>
            <a:ext uri="{FF2B5EF4-FFF2-40B4-BE49-F238E27FC236}">
              <a16:creationId xmlns:a16="http://schemas.microsoft.com/office/drawing/2014/main" id="{ADE1596B-5362-47EA-9C04-60D06D2B8FC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7" name="CaixaDeTexto 24">
          <a:extLst>
            <a:ext uri="{FF2B5EF4-FFF2-40B4-BE49-F238E27FC236}">
              <a16:creationId xmlns:a16="http://schemas.microsoft.com/office/drawing/2014/main" id="{ED507985-EDFC-49B1-AEC5-4E2032FB78D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8" name="CaixaDeTexto 2">
          <a:extLst>
            <a:ext uri="{FF2B5EF4-FFF2-40B4-BE49-F238E27FC236}">
              <a16:creationId xmlns:a16="http://schemas.microsoft.com/office/drawing/2014/main" id="{D905CEEB-14BB-4E64-BB07-F81FF950CCD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09" name="CaixaDeTexto 4">
          <a:extLst>
            <a:ext uri="{FF2B5EF4-FFF2-40B4-BE49-F238E27FC236}">
              <a16:creationId xmlns:a16="http://schemas.microsoft.com/office/drawing/2014/main" id="{B4D57004-16CF-4BA6-8DCA-AEF58FEF792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0" name="CaixaDeTexto 9">
          <a:extLst>
            <a:ext uri="{FF2B5EF4-FFF2-40B4-BE49-F238E27FC236}">
              <a16:creationId xmlns:a16="http://schemas.microsoft.com/office/drawing/2014/main" id="{BB2C1133-80FA-43E2-92B0-70469EE54F7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1" name="CaixaDeTexto 12">
          <a:extLst>
            <a:ext uri="{FF2B5EF4-FFF2-40B4-BE49-F238E27FC236}">
              <a16:creationId xmlns:a16="http://schemas.microsoft.com/office/drawing/2014/main" id="{22B08B83-4429-4A66-8909-59D237B4169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2" name="CaixaDeTexto 14">
          <a:extLst>
            <a:ext uri="{FF2B5EF4-FFF2-40B4-BE49-F238E27FC236}">
              <a16:creationId xmlns:a16="http://schemas.microsoft.com/office/drawing/2014/main" id="{A3BCC74A-7630-4591-B325-9E6107AA710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3" name="CaixaDeTexto 16">
          <a:extLst>
            <a:ext uri="{FF2B5EF4-FFF2-40B4-BE49-F238E27FC236}">
              <a16:creationId xmlns:a16="http://schemas.microsoft.com/office/drawing/2014/main" id="{B09E3B3C-F5E5-4B3B-B213-F05B67726BB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4" name="CaixaDeTexto 18">
          <a:extLst>
            <a:ext uri="{FF2B5EF4-FFF2-40B4-BE49-F238E27FC236}">
              <a16:creationId xmlns:a16="http://schemas.microsoft.com/office/drawing/2014/main" id="{75DED06A-8BAB-4FEC-A38D-C518A0D2082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5" name="CaixaDeTexto 20">
          <a:extLst>
            <a:ext uri="{FF2B5EF4-FFF2-40B4-BE49-F238E27FC236}">
              <a16:creationId xmlns:a16="http://schemas.microsoft.com/office/drawing/2014/main" id="{115657AD-80AF-4297-B940-040B113FB2A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6" name="CaixaDeTexto 21">
          <a:extLst>
            <a:ext uri="{FF2B5EF4-FFF2-40B4-BE49-F238E27FC236}">
              <a16:creationId xmlns:a16="http://schemas.microsoft.com/office/drawing/2014/main" id="{9628BD7C-9D0F-4E86-A5C9-2BDA60E51B5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7" name="CaixaDeTexto 24">
          <a:extLst>
            <a:ext uri="{FF2B5EF4-FFF2-40B4-BE49-F238E27FC236}">
              <a16:creationId xmlns:a16="http://schemas.microsoft.com/office/drawing/2014/main" id="{34E21181-E205-4392-96FA-081ADC87092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8" name="CaixaDeTexto 2">
          <a:extLst>
            <a:ext uri="{FF2B5EF4-FFF2-40B4-BE49-F238E27FC236}">
              <a16:creationId xmlns:a16="http://schemas.microsoft.com/office/drawing/2014/main" id="{ABE631F1-8036-4DC0-A34E-084C0938AA1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19" name="CaixaDeTexto 4">
          <a:extLst>
            <a:ext uri="{FF2B5EF4-FFF2-40B4-BE49-F238E27FC236}">
              <a16:creationId xmlns:a16="http://schemas.microsoft.com/office/drawing/2014/main" id="{56270521-A997-451D-B845-B3C2A13D6DC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0" name="CaixaDeTexto 9">
          <a:extLst>
            <a:ext uri="{FF2B5EF4-FFF2-40B4-BE49-F238E27FC236}">
              <a16:creationId xmlns:a16="http://schemas.microsoft.com/office/drawing/2014/main" id="{9DEE6184-CDF6-4223-99DB-BE85BC23997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1" name="CaixaDeTexto 12">
          <a:extLst>
            <a:ext uri="{FF2B5EF4-FFF2-40B4-BE49-F238E27FC236}">
              <a16:creationId xmlns:a16="http://schemas.microsoft.com/office/drawing/2014/main" id="{7AF39C02-2945-48C5-9FB2-C5A83399654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2" name="CaixaDeTexto 14">
          <a:extLst>
            <a:ext uri="{FF2B5EF4-FFF2-40B4-BE49-F238E27FC236}">
              <a16:creationId xmlns:a16="http://schemas.microsoft.com/office/drawing/2014/main" id="{6627D131-97E8-4364-B3CF-FE27F9A10E9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3" name="CaixaDeTexto 16">
          <a:extLst>
            <a:ext uri="{FF2B5EF4-FFF2-40B4-BE49-F238E27FC236}">
              <a16:creationId xmlns:a16="http://schemas.microsoft.com/office/drawing/2014/main" id="{363517CF-22A0-49E4-B3D5-AA140E99A9C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4" name="CaixaDeTexto 18">
          <a:extLst>
            <a:ext uri="{FF2B5EF4-FFF2-40B4-BE49-F238E27FC236}">
              <a16:creationId xmlns:a16="http://schemas.microsoft.com/office/drawing/2014/main" id="{FF2F9233-298F-454B-B85E-C7068B3916B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5" name="CaixaDeTexto 20">
          <a:extLst>
            <a:ext uri="{FF2B5EF4-FFF2-40B4-BE49-F238E27FC236}">
              <a16:creationId xmlns:a16="http://schemas.microsoft.com/office/drawing/2014/main" id="{643D7683-3D42-445C-AE81-CE471B28E21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6" name="CaixaDeTexto 21">
          <a:extLst>
            <a:ext uri="{FF2B5EF4-FFF2-40B4-BE49-F238E27FC236}">
              <a16:creationId xmlns:a16="http://schemas.microsoft.com/office/drawing/2014/main" id="{4E6AAAFE-99C1-42B1-BAD3-22749690E73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7" name="CaixaDeTexto 24">
          <a:extLst>
            <a:ext uri="{FF2B5EF4-FFF2-40B4-BE49-F238E27FC236}">
              <a16:creationId xmlns:a16="http://schemas.microsoft.com/office/drawing/2014/main" id="{D3B34837-F745-4CBA-969D-4CE30BB8305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8" name="CaixaDeTexto 2">
          <a:extLst>
            <a:ext uri="{FF2B5EF4-FFF2-40B4-BE49-F238E27FC236}">
              <a16:creationId xmlns:a16="http://schemas.microsoft.com/office/drawing/2014/main" id="{B256EA65-A896-4382-8C30-4425E7F7FBC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29" name="CaixaDeTexto 4">
          <a:extLst>
            <a:ext uri="{FF2B5EF4-FFF2-40B4-BE49-F238E27FC236}">
              <a16:creationId xmlns:a16="http://schemas.microsoft.com/office/drawing/2014/main" id="{DA87668B-D24A-4581-B7FC-7F65B7659FE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0" name="CaixaDeTexto 9">
          <a:extLst>
            <a:ext uri="{FF2B5EF4-FFF2-40B4-BE49-F238E27FC236}">
              <a16:creationId xmlns:a16="http://schemas.microsoft.com/office/drawing/2014/main" id="{07D3BF1B-1133-42EF-A509-F01BFE4725E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1" name="CaixaDeTexto 12">
          <a:extLst>
            <a:ext uri="{FF2B5EF4-FFF2-40B4-BE49-F238E27FC236}">
              <a16:creationId xmlns:a16="http://schemas.microsoft.com/office/drawing/2014/main" id="{580B32D8-349C-438C-B7B1-70C391E977C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2" name="CaixaDeTexto 14">
          <a:extLst>
            <a:ext uri="{FF2B5EF4-FFF2-40B4-BE49-F238E27FC236}">
              <a16:creationId xmlns:a16="http://schemas.microsoft.com/office/drawing/2014/main" id="{4112597D-7A70-4733-BB55-087E928F8BC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3" name="CaixaDeTexto 16">
          <a:extLst>
            <a:ext uri="{FF2B5EF4-FFF2-40B4-BE49-F238E27FC236}">
              <a16:creationId xmlns:a16="http://schemas.microsoft.com/office/drawing/2014/main" id="{75EDD9FC-2E64-46EB-87BE-AFA35B12331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4" name="CaixaDeTexto 18">
          <a:extLst>
            <a:ext uri="{FF2B5EF4-FFF2-40B4-BE49-F238E27FC236}">
              <a16:creationId xmlns:a16="http://schemas.microsoft.com/office/drawing/2014/main" id="{35431258-10FF-4418-88E6-D0F9B264F19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5" name="CaixaDeTexto 20">
          <a:extLst>
            <a:ext uri="{FF2B5EF4-FFF2-40B4-BE49-F238E27FC236}">
              <a16:creationId xmlns:a16="http://schemas.microsoft.com/office/drawing/2014/main" id="{A75F8502-D31F-4D0D-A86C-38B50E874E7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6" name="CaixaDeTexto 21">
          <a:extLst>
            <a:ext uri="{FF2B5EF4-FFF2-40B4-BE49-F238E27FC236}">
              <a16:creationId xmlns:a16="http://schemas.microsoft.com/office/drawing/2014/main" id="{656267D1-638D-46D1-9C87-B65F8D0A751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7" name="CaixaDeTexto 24">
          <a:extLst>
            <a:ext uri="{FF2B5EF4-FFF2-40B4-BE49-F238E27FC236}">
              <a16:creationId xmlns:a16="http://schemas.microsoft.com/office/drawing/2014/main" id="{EB85C349-27D3-431C-AD28-DABC588937C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8" name="CaixaDeTexto 2">
          <a:extLst>
            <a:ext uri="{FF2B5EF4-FFF2-40B4-BE49-F238E27FC236}">
              <a16:creationId xmlns:a16="http://schemas.microsoft.com/office/drawing/2014/main" id="{729ECE96-963F-4066-911E-8767A864644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39" name="CaixaDeTexto 4">
          <a:extLst>
            <a:ext uri="{FF2B5EF4-FFF2-40B4-BE49-F238E27FC236}">
              <a16:creationId xmlns:a16="http://schemas.microsoft.com/office/drawing/2014/main" id="{EB2D5DDC-3615-40CB-8DBC-49D02EB7E19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0" name="CaixaDeTexto 9">
          <a:extLst>
            <a:ext uri="{FF2B5EF4-FFF2-40B4-BE49-F238E27FC236}">
              <a16:creationId xmlns:a16="http://schemas.microsoft.com/office/drawing/2014/main" id="{E3E510F4-4DE5-43C7-94CA-19197821BCA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1" name="CaixaDeTexto 12">
          <a:extLst>
            <a:ext uri="{FF2B5EF4-FFF2-40B4-BE49-F238E27FC236}">
              <a16:creationId xmlns:a16="http://schemas.microsoft.com/office/drawing/2014/main" id="{1068C7F3-AA4F-4B73-913B-7EAC3D31027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2" name="CaixaDeTexto 14">
          <a:extLst>
            <a:ext uri="{FF2B5EF4-FFF2-40B4-BE49-F238E27FC236}">
              <a16:creationId xmlns:a16="http://schemas.microsoft.com/office/drawing/2014/main" id="{A8CB9FC8-36D5-4317-88A0-C63B42ED0F4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3" name="CaixaDeTexto 16">
          <a:extLst>
            <a:ext uri="{FF2B5EF4-FFF2-40B4-BE49-F238E27FC236}">
              <a16:creationId xmlns:a16="http://schemas.microsoft.com/office/drawing/2014/main" id="{21508452-920F-40A5-88CA-8B2EB817850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4" name="CaixaDeTexto 18">
          <a:extLst>
            <a:ext uri="{FF2B5EF4-FFF2-40B4-BE49-F238E27FC236}">
              <a16:creationId xmlns:a16="http://schemas.microsoft.com/office/drawing/2014/main" id="{8925D94A-BB73-473A-9E58-8CF8ED12ECC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5" name="CaixaDeTexto 20">
          <a:extLst>
            <a:ext uri="{FF2B5EF4-FFF2-40B4-BE49-F238E27FC236}">
              <a16:creationId xmlns:a16="http://schemas.microsoft.com/office/drawing/2014/main" id="{10407825-415E-4A9C-8F79-FD350666B6B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6" name="CaixaDeTexto 21">
          <a:extLst>
            <a:ext uri="{FF2B5EF4-FFF2-40B4-BE49-F238E27FC236}">
              <a16:creationId xmlns:a16="http://schemas.microsoft.com/office/drawing/2014/main" id="{C3AE72F5-2A51-497A-A07E-AF8A6B52703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7" name="CaixaDeTexto 24">
          <a:extLst>
            <a:ext uri="{FF2B5EF4-FFF2-40B4-BE49-F238E27FC236}">
              <a16:creationId xmlns:a16="http://schemas.microsoft.com/office/drawing/2014/main" id="{F3D202C6-D0C7-4FA7-9BE2-8EB99D79F1C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8" name="CaixaDeTexto 2">
          <a:extLst>
            <a:ext uri="{FF2B5EF4-FFF2-40B4-BE49-F238E27FC236}">
              <a16:creationId xmlns:a16="http://schemas.microsoft.com/office/drawing/2014/main" id="{3A1F36E7-4911-45EF-9C61-76AB8A3DE50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49" name="CaixaDeTexto 4">
          <a:extLst>
            <a:ext uri="{FF2B5EF4-FFF2-40B4-BE49-F238E27FC236}">
              <a16:creationId xmlns:a16="http://schemas.microsoft.com/office/drawing/2014/main" id="{BFC8EBF5-5095-4C04-AE4D-80E89CC203B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0" name="CaixaDeTexto 9">
          <a:extLst>
            <a:ext uri="{FF2B5EF4-FFF2-40B4-BE49-F238E27FC236}">
              <a16:creationId xmlns:a16="http://schemas.microsoft.com/office/drawing/2014/main" id="{1BF9DB67-C8AB-4C11-84F0-9827135DEF9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1" name="CaixaDeTexto 12">
          <a:extLst>
            <a:ext uri="{FF2B5EF4-FFF2-40B4-BE49-F238E27FC236}">
              <a16:creationId xmlns:a16="http://schemas.microsoft.com/office/drawing/2014/main" id="{6EF8D7F7-610C-4953-BBC4-E240E331F1A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2" name="CaixaDeTexto 14">
          <a:extLst>
            <a:ext uri="{FF2B5EF4-FFF2-40B4-BE49-F238E27FC236}">
              <a16:creationId xmlns:a16="http://schemas.microsoft.com/office/drawing/2014/main" id="{D17EF8C9-8A1A-42F8-AB88-BCE26D30EF7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3" name="CaixaDeTexto 16">
          <a:extLst>
            <a:ext uri="{FF2B5EF4-FFF2-40B4-BE49-F238E27FC236}">
              <a16:creationId xmlns:a16="http://schemas.microsoft.com/office/drawing/2014/main" id="{5A172206-E5F7-4B1A-B3D2-226F4DD78EE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4" name="CaixaDeTexto 18">
          <a:extLst>
            <a:ext uri="{FF2B5EF4-FFF2-40B4-BE49-F238E27FC236}">
              <a16:creationId xmlns:a16="http://schemas.microsoft.com/office/drawing/2014/main" id="{3E5D363A-B326-4BFC-A6E0-7BCEA04DDBF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5" name="CaixaDeTexto 20">
          <a:extLst>
            <a:ext uri="{FF2B5EF4-FFF2-40B4-BE49-F238E27FC236}">
              <a16:creationId xmlns:a16="http://schemas.microsoft.com/office/drawing/2014/main" id="{16121BE3-07D8-42D4-950B-9815EFA807C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6" name="CaixaDeTexto 21">
          <a:extLst>
            <a:ext uri="{FF2B5EF4-FFF2-40B4-BE49-F238E27FC236}">
              <a16:creationId xmlns:a16="http://schemas.microsoft.com/office/drawing/2014/main" id="{3B95FC47-D61C-4FC7-B3B0-C23E4F5F03E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7" name="CaixaDeTexto 24">
          <a:extLst>
            <a:ext uri="{FF2B5EF4-FFF2-40B4-BE49-F238E27FC236}">
              <a16:creationId xmlns:a16="http://schemas.microsoft.com/office/drawing/2014/main" id="{D258F84F-FC06-4038-8B2E-789C0D2E561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8" name="CaixaDeTexto 2">
          <a:extLst>
            <a:ext uri="{FF2B5EF4-FFF2-40B4-BE49-F238E27FC236}">
              <a16:creationId xmlns:a16="http://schemas.microsoft.com/office/drawing/2014/main" id="{1555AD77-3E9C-4CEB-A608-7A46937632C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59" name="CaixaDeTexto 4">
          <a:extLst>
            <a:ext uri="{FF2B5EF4-FFF2-40B4-BE49-F238E27FC236}">
              <a16:creationId xmlns:a16="http://schemas.microsoft.com/office/drawing/2014/main" id="{FC90723A-1831-4020-AB91-ACF812D614F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0" name="CaixaDeTexto 9">
          <a:extLst>
            <a:ext uri="{FF2B5EF4-FFF2-40B4-BE49-F238E27FC236}">
              <a16:creationId xmlns:a16="http://schemas.microsoft.com/office/drawing/2014/main" id="{95151F7D-C4E1-463A-8049-EC90FED91AF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1" name="CaixaDeTexto 12">
          <a:extLst>
            <a:ext uri="{FF2B5EF4-FFF2-40B4-BE49-F238E27FC236}">
              <a16:creationId xmlns:a16="http://schemas.microsoft.com/office/drawing/2014/main" id="{61F9B3DB-FAE2-4159-A67F-62E49D4D55A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2" name="CaixaDeTexto 14">
          <a:extLst>
            <a:ext uri="{FF2B5EF4-FFF2-40B4-BE49-F238E27FC236}">
              <a16:creationId xmlns:a16="http://schemas.microsoft.com/office/drawing/2014/main" id="{F6F3620B-446B-405F-85A9-51DB7960E03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3" name="CaixaDeTexto 16">
          <a:extLst>
            <a:ext uri="{FF2B5EF4-FFF2-40B4-BE49-F238E27FC236}">
              <a16:creationId xmlns:a16="http://schemas.microsoft.com/office/drawing/2014/main" id="{E9D17BBD-D77F-4EC4-AE8B-C270EC65058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4" name="CaixaDeTexto 18">
          <a:extLst>
            <a:ext uri="{FF2B5EF4-FFF2-40B4-BE49-F238E27FC236}">
              <a16:creationId xmlns:a16="http://schemas.microsoft.com/office/drawing/2014/main" id="{E2DE505A-12C6-43C1-8B40-1E06D359CF9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5" name="CaixaDeTexto 20">
          <a:extLst>
            <a:ext uri="{FF2B5EF4-FFF2-40B4-BE49-F238E27FC236}">
              <a16:creationId xmlns:a16="http://schemas.microsoft.com/office/drawing/2014/main" id="{8E1F183D-8B30-465A-B495-7C4DF88030B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6" name="CaixaDeTexto 21">
          <a:extLst>
            <a:ext uri="{FF2B5EF4-FFF2-40B4-BE49-F238E27FC236}">
              <a16:creationId xmlns:a16="http://schemas.microsoft.com/office/drawing/2014/main" id="{CF4C8B15-EF0F-4EA4-9E88-E7A6AF89615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7" name="CaixaDeTexto 24">
          <a:extLst>
            <a:ext uri="{FF2B5EF4-FFF2-40B4-BE49-F238E27FC236}">
              <a16:creationId xmlns:a16="http://schemas.microsoft.com/office/drawing/2014/main" id="{D496A61B-ABF8-482E-86CF-140295FD09F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8" name="CaixaDeTexto 2">
          <a:extLst>
            <a:ext uri="{FF2B5EF4-FFF2-40B4-BE49-F238E27FC236}">
              <a16:creationId xmlns:a16="http://schemas.microsoft.com/office/drawing/2014/main" id="{85FE4023-7B8C-41CD-B7B6-F1BDCDAC263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69" name="CaixaDeTexto 4">
          <a:extLst>
            <a:ext uri="{FF2B5EF4-FFF2-40B4-BE49-F238E27FC236}">
              <a16:creationId xmlns:a16="http://schemas.microsoft.com/office/drawing/2014/main" id="{6D5EDEAF-F612-4011-85E8-8B7CA88AE29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0" name="CaixaDeTexto 9">
          <a:extLst>
            <a:ext uri="{FF2B5EF4-FFF2-40B4-BE49-F238E27FC236}">
              <a16:creationId xmlns:a16="http://schemas.microsoft.com/office/drawing/2014/main" id="{CE0F3FD9-AD03-48ED-AB25-71E04F7EE43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1" name="CaixaDeTexto 12">
          <a:extLst>
            <a:ext uri="{FF2B5EF4-FFF2-40B4-BE49-F238E27FC236}">
              <a16:creationId xmlns:a16="http://schemas.microsoft.com/office/drawing/2014/main" id="{4E4819AC-56D3-4BA9-B647-4FA069B18F5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2" name="CaixaDeTexto 14">
          <a:extLst>
            <a:ext uri="{FF2B5EF4-FFF2-40B4-BE49-F238E27FC236}">
              <a16:creationId xmlns:a16="http://schemas.microsoft.com/office/drawing/2014/main" id="{B83CF503-13AF-4B91-868E-636CB463C84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3" name="CaixaDeTexto 16">
          <a:extLst>
            <a:ext uri="{FF2B5EF4-FFF2-40B4-BE49-F238E27FC236}">
              <a16:creationId xmlns:a16="http://schemas.microsoft.com/office/drawing/2014/main" id="{E6D19ADA-5B19-41E0-9FFF-8300D0B10D8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4" name="CaixaDeTexto 18">
          <a:extLst>
            <a:ext uri="{FF2B5EF4-FFF2-40B4-BE49-F238E27FC236}">
              <a16:creationId xmlns:a16="http://schemas.microsoft.com/office/drawing/2014/main" id="{A1CDE87C-5144-4BF2-A14B-32B492D9247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5" name="CaixaDeTexto 20">
          <a:extLst>
            <a:ext uri="{FF2B5EF4-FFF2-40B4-BE49-F238E27FC236}">
              <a16:creationId xmlns:a16="http://schemas.microsoft.com/office/drawing/2014/main" id="{ED550FF8-EE3C-4748-837E-E5B7F511EDA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6" name="CaixaDeTexto 21">
          <a:extLst>
            <a:ext uri="{FF2B5EF4-FFF2-40B4-BE49-F238E27FC236}">
              <a16:creationId xmlns:a16="http://schemas.microsoft.com/office/drawing/2014/main" id="{080C4B14-1A74-47FC-B81A-2D8902421F1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7" name="CaixaDeTexto 24">
          <a:extLst>
            <a:ext uri="{FF2B5EF4-FFF2-40B4-BE49-F238E27FC236}">
              <a16:creationId xmlns:a16="http://schemas.microsoft.com/office/drawing/2014/main" id="{AD4A458D-58B3-4ADF-B7D0-F4814866997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8" name="CaixaDeTexto 2">
          <a:extLst>
            <a:ext uri="{FF2B5EF4-FFF2-40B4-BE49-F238E27FC236}">
              <a16:creationId xmlns:a16="http://schemas.microsoft.com/office/drawing/2014/main" id="{44742DB6-C7D2-49F8-9309-C496E3DB915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79" name="CaixaDeTexto 4">
          <a:extLst>
            <a:ext uri="{FF2B5EF4-FFF2-40B4-BE49-F238E27FC236}">
              <a16:creationId xmlns:a16="http://schemas.microsoft.com/office/drawing/2014/main" id="{703DAFC4-8508-406D-A229-B2044F3717F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0" name="CaixaDeTexto 9">
          <a:extLst>
            <a:ext uri="{FF2B5EF4-FFF2-40B4-BE49-F238E27FC236}">
              <a16:creationId xmlns:a16="http://schemas.microsoft.com/office/drawing/2014/main" id="{7E03D77F-E75E-493F-BEF5-0855BF6B8A0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1" name="CaixaDeTexto 12">
          <a:extLst>
            <a:ext uri="{FF2B5EF4-FFF2-40B4-BE49-F238E27FC236}">
              <a16:creationId xmlns:a16="http://schemas.microsoft.com/office/drawing/2014/main" id="{64AAEDCD-1540-4E53-BFB5-ABD879EFECC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2" name="CaixaDeTexto 14">
          <a:extLst>
            <a:ext uri="{FF2B5EF4-FFF2-40B4-BE49-F238E27FC236}">
              <a16:creationId xmlns:a16="http://schemas.microsoft.com/office/drawing/2014/main" id="{C799F184-50C5-41BD-9607-F5DD8BC50CF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3" name="CaixaDeTexto 16">
          <a:extLst>
            <a:ext uri="{FF2B5EF4-FFF2-40B4-BE49-F238E27FC236}">
              <a16:creationId xmlns:a16="http://schemas.microsoft.com/office/drawing/2014/main" id="{2FFB81FA-A7FD-4272-ADD6-B4D60D0BB71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4" name="CaixaDeTexto 18">
          <a:extLst>
            <a:ext uri="{FF2B5EF4-FFF2-40B4-BE49-F238E27FC236}">
              <a16:creationId xmlns:a16="http://schemas.microsoft.com/office/drawing/2014/main" id="{CD190F38-0723-47BC-9FEA-93AFC011874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5" name="CaixaDeTexto 20">
          <a:extLst>
            <a:ext uri="{FF2B5EF4-FFF2-40B4-BE49-F238E27FC236}">
              <a16:creationId xmlns:a16="http://schemas.microsoft.com/office/drawing/2014/main" id="{7DAA5B20-B8D1-4FEF-9AD8-100AE0A031F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6" name="CaixaDeTexto 21">
          <a:extLst>
            <a:ext uri="{FF2B5EF4-FFF2-40B4-BE49-F238E27FC236}">
              <a16:creationId xmlns:a16="http://schemas.microsoft.com/office/drawing/2014/main" id="{E402EAC3-0B2D-4620-86AA-C0A4CE368CD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7" name="CaixaDeTexto 24">
          <a:extLst>
            <a:ext uri="{FF2B5EF4-FFF2-40B4-BE49-F238E27FC236}">
              <a16:creationId xmlns:a16="http://schemas.microsoft.com/office/drawing/2014/main" id="{AD918565-75D8-4BBC-963F-9FBFFB7038F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8" name="CaixaDeTexto 2">
          <a:extLst>
            <a:ext uri="{FF2B5EF4-FFF2-40B4-BE49-F238E27FC236}">
              <a16:creationId xmlns:a16="http://schemas.microsoft.com/office/drawing/2014/main" id="{BE6473FC-BDB8-4EDF-8D4C-C81E305685E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89" name="CaixaDeTexto 4">
          <a:extLst>
            <a:ext uri="{FF2B5EF4-FFF2-40B4-BE49-F238E27FC236}">
              <a16:creationId xmlns:a16="http://schemas.microsoft.com/office/drawing/2014/main" id="{973AA988-95ED-48D5-A5EA-5F9B0B660E1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0" name="CaixaDeTexto 9">
          <a:extLst>
            <a:ext uri="{FF2B5EF4-FFF2-40B4-BE49-F238E27FC236}">
              <a16:creationId xmlns:a16="http://schemas.microsoft.com/office/drawing/2014/main" id="{DDAA4C38-6CD8-45A8-9288-09D3286BEF1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1" name="CaixaDeTexto 12">
          <a:extLst>
            <a:ext uri="{FF2B5EF4-FFF2-40B4-BE49-F238E27FC236}">
              <a16:creationId xmlns:a16="http://schemas.microsoft.com/office/drawing/2014/main" id="{44CC960A-E12A-4A48-8A61-E87914E9545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2" name="CaixaDeTexto 14">
          <a:extLst>
            <a:ext uri="{FF2B5EF4-FFF2-40B4-BE49-F238E27FC236}">
              <a16:creationId xmlns:a16="http://schemas.microsoft.com/office/drawing/2014/main" id="{8B5E5B4C-AF3B-48E4-BBBF-BC918E0A8E2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3" name="CaixaDeTexto 16">
          <a:extLst>
            <a:ext uri="{FF2B5EF4-FFF2-40B4-BE49-F238E27FC236}">
              <a16:creationId xmlns:a16="http://schemas.microsoft.com/office/drawing/2014/main" id="{5BEC859B-87CA-43D1-B464-03CD4EAD3DB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4" name="CaixaDeTexto 18">
          <a:extLst>
            <a:ext uri="{FF2B5EF4-FFF2-40B4-BE49-F238E27FC236}">
              <a16:creationId xmlns:a16="http://schemas.microsoft.com/office/drawing/2014/main" id="{DB522B64-4E69-4366-AEC3-6232CFDD0AA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5" name="CaixaDeTexto 20">
          <a:extLst>
            <a:ext uri="{FF2B5EF4-FFF2-40B4-BE49-F238E27FC236}">
              <a16:creationId xmlns:a16="http://schemas.microsoft.com/office/drawing/2014/main" id="{D5EC5616-7A69-4AB4-8511-F7C56EA6772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6" name="CaixaDeTexto 21">
          <a:extLst>
            <a:ext uri="{FF2B5EF4-FFF2-40B4-BE49-F238E27FC236}">
              <a16:creationId xmlns:a16="http://schemas.microsoft.com/office/drawing/2014/main" id="{C6D359E0-D872-43A1-AB81-1B4A12B5AD9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7" name="CaixaDeTexto 24">
          <a:extLst>
            <a:ext uri="{FF2B5EF4-FFF2-40B4-BE49-F238E27FC236}">
              <a16:creationId xmlns:a16="http://schemas.microsoft.com/office/drawing/2014/main" id="{A3DE8F01-E48E-4F10-A26E-829069BD78B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8" name="CaixaDeTexto 2">
          <a:extLst>
            <a:ext uri="{FF2B5EF4-FFF2-40B4-BE49-F238E27FC236}">
              <a16:creationId xmlns:a16="http://schemas.microsoft.com/office/drawing/2014/main" id="{ECD07235-17F8-4E38-B99D-8CEC5317F43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199" name="CaixaDeTexto 4">
          <a:extLst>
            <a:ext uri="{FF2B5EF4-FFF2-40B4-BE49-F238E27FC236}">
              <a16:creationId xmlns:a16="http://schemas.microsoft.com/office/drawing/2014/main" id="{DBEDC993-E92E-4AB4-AC56-B46A11C3B4E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0" name="CaixaDeTexto 9">
          <a:extLst>
            <a:ext uri="{FF2B5EF4-FFF2-40B4-BE49-F238E27FC236}">
              <a16:creationId xmlns:a16="http://schemas.microsoft.com/office/drawing/2014/main" id="{E9910B84-3DE0-4CD0-A9AF-70AC2A07511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1" name="CaixaDeTexto 12">
          <a:extLst>
            <a:ext uri="{FF2B5EF4-FFF2-40B4-BE49-F238E27FC236}">
              <a16:creationId xmlns:a16="http://schemas.microsoft.com/office/drawing/2014/main" id="{49C83265-1DB0-45BD-B2C4-756BDE7EB35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2" name="CaixaDeTexto 14">
          <a:extLst>
            <a:ext uri="{FF2B5EF4-FFF2-40B4-BE49-F238E27FC236}">
              <a16:creationId xmlns:a16="http://schemas.microsoft.com/office/drawing/2014/main" id="{E95AA302-44B1-426D-9162-F3A1F7FA90D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3" name="CaixaDeTexto 16">
          <a:extLst>
            <a:ext uri="{FF2B5EF4-FFF2-40B4-BE49-F238E27FC236}">
              <a16:creationId xmlns:a16="http://schemas.microsoft.com/office/drawing/2014/main" id="{57844D0F-FCB5-4858-BDD4-B1BB7424057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4" name="CaixaDeTexto 18">
          <a:extLst>
            <a:ext uri="{FF2B5EF4-FFF2-40B4-BE49-F238E27FC236}">
              <a16:creationId xmlns:a16="http://schemas.microsoft.com/office/drawing/2014/main" id="{86F98ADE-B72C-4B97-B7A5-7BE1C700F8F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5" name="CaixaDeTexto 20">
          <a:extLst>
            <a:ext uri="{FF2B5EF4-FFF2-40B4-BE49-F238E27FC236}">
              <a16:creationId xmlns:a16="http://schemas.microsoft.com/office/drawing/2014/main" id="{F59A4779-8889-4476-A030-C0B96901A56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6" name="CaixaDeTexto 21">
          <a:extLst>
            <a:ext uri="{FF2B5EF4-FFF2-40B4-BE49-F238E27FC236}">
              <a16:creationId xmlns:a16="http://schemas.microsoft.com/office/drawing/2014/main" id="{5E8E824F-4194-47EB-A7B3-BD853FE8EAD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7" name="CaixaDeTexto 24">
          <a:extLst>
            <a:ext uri="{FF2B5EF4-FFF2-40B4-BE49-F238E27FC236}">
              <a16:creationId xmlns:a16="http://schemas.microsoft.com/office/drawing/2014/main" id="{6FF482C5-8B8F-4730-B276-BB4E68D8719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8" name="CaixaDeTexto 2">
          <a:extLst>
            <a:ext uri="{FF2B5EF4-FFF2-40B4-BE49-F238E27FC236}">
              <a16:creationId xmlns:a16="http://schemas.microsoft.com/office/drawing/2014/main" id="{18A53EDC-32F6-494A-A5B4-941C876407D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09" name="CaixaDeTexto 4">
          <a:extLst>
            <a:ext uri="{FF2B5EF4-FFF2-40B4-BE49-F238E27FC236}">
              <a16:creationId xmlns:a16="http://schemas.microsoft.com/office/drawing/2014/main" id="{F82AB27F-C63B-4F14-916A-22CCD9ADF51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0" name="CaixaDeTexto 9">
          <a:extLst>
            <a:ext uri="{FF2B5EF4-FFF2-40B4-BE49-F238E27FC236}">
              <a16:creationId xmlns:a16="http://schemas.microsoft.com/office/drawing/2014/main" id="{50C9EB05-DE48-40E7-B437-E5E7EF07228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1" name="CaixaDeTexto 12">
          <a:extLst>
            <a:ext uri="{FF2B5EF4-FFF2-40B4-BE49-F238E27FC236}">
              <a16:creationId xmlns:a16="http://schemas.microsoft.com/office/drawing/2014/main" id="{5837CE43-50A5-4E71-90DC-301BEAF8F85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2" name="CaixaDeTexto 14">
          <a:extLst>
            <a:ext uri="{FF2B5EF4-FFF2-40B4-BE49-F238E27FC236}">
              <a16:creationId xmlns:a16="http://schemas.microsoft.com/office/drawing/2014/main" id="{E59796B6-81A8-438E-A196-C4FF20344FC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3" name="CaixaDeTexto 16">
          <a:extLst>
            <a:ext uri="{FF2B5EF4-FFF2-40B4-BE49-F238E27FC236}">
              <a16:creationId xmlns:a16="http://schemas.microsoft.com/office/drawing/2014/main" id="{4C19E88B-395B-4C0B-A5E7-69E83ABCA82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4" name="CaixaDeTexto 18">
          <a:extLst>
            <a:ext uri="{FF2B5EF4-FFF2-40B4-BE49-F238E27FC236}">
              <a16:creationId xmlns:a16="http://schemas.microsoft.com/office/drawing/2014/main" id="{BEDB5849-88CF-414F-9424-B72996F65F0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5" name="CaixaDeTexto 20">
          <a:extLst>
            <a:ext uri="{FF2B5EF4-FFF2-40B4-BE49-F238E27FC236}">
              <a16:creationId xmlns:a16="http://schemas.microsoft.com/office/drawing/2014/main" id="{D5AC127F-FC60-4E72-8373-5576A7DE3C3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6" name="CaixaDeTexto 21">
          <a:extLst>
            <a:ext uri="{FF2B5EF4-FFF2-40B4-BE49-F238E27FC236}">
              <a16:creationId xmlns:a16="http://schemas.microsoft.com/office/drawing/2014/main" id="{BC6A5EB7-C2E8-42AF-93D3-19CCE0D9CAF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7" name="CaixaDeTexto 24">
          <a:extLst>
            <a:ext uri="{FF2B5EF4-FFF2-40B4-BE49-F238E27FC236}">
              <a16:creationId xmlns:a16="http://schemas.microsoft.com/office/drawing/2014/main" id="{FAC5699D-C794-4510-B2D9-2FB39AE3E1D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8" name="CaixaDeTexto 2">
          <a:extLst>
            <a:ext uri="{FF2B5EF4-FFF2-40B4-BE49-F238E27FC236}">
              <a16:creationId xmlns:a16="http://schemas.microsoft.com/office/drawing/2014/main" id="{C6812397-0EF3-4EA2-9BCC-602D578D66B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19" name="CaixaDeTexto 4">
          <a:extLst>
            <a:ext uri="{FF2B5EF4-FFF2-40B4-BE49-F238E27FC236}">
              <a16:creationId xmlns:a16="http://schemas.microsoft.com/office/drawing/2014/main" id="{D8AFBEC9-CC7D-41CE-9C73-9C08C4FECBF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0" name="CaixaDeTexto 9">
          <a:extLst>
            <a:ext uri="{FF2B5EF4-FFF2-40B4-BE49-F238E27FC236}">
              <a16:creationId xmlns:a16="http://schemas.microsoft.com/office/drawing/2014/main" id="{BABE2F0C-0833-404B-AE1A-8B6AEA82117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1" name="CaixaDeTexto 12">
          <a:extLst>
            <a:ext uri="{FF2B5EF4-FFF2-40B4-BE49-F238E27FC236}">
              <a16:creationId xmlns:a16="http://schemas.microsoft.com/office/drawing/2014/main" id="{BB38E710-7CC7-45C4-AC2E-69EC0536722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2" name="CaixaDeTexto 14">
          <a:extLst>
            <a:ext uri="{FF2B5EF4-FFF2-40B4-BE49-F238E27FC236}">
              <a16:creationId xmlns:a16="http://schemas.microsoft.com/office/drawing/2014/main" id="{5AAA1B83-9218-44FD-9886-5142021B6A0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3" name="CaixaDeTexto 16">
          <a:extLst>
            <a:ext uri="{FF2B5EF4-FFF2-40B4-BE49-F238E27FC236}">
              <a16:creationId xmlns:a16="http://schemas.microsoft.com/office/drawing/2014/main" id="{40BDFD9F-1770-4CE3-BC74-A0ECB79D681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4" name="CaixaDeTexto 18">
          <a:extLst>
            <a:ext uri="{FF2B5EF4-FFF2-40B4-BE49-F238E27FC236}">
              <a16:creationId xmlns:a16="http://schemas.microsoft.com/office/drawing/2014/main" id="{CC89BBCB-4BCE-4D58-89B5-291A8FCFB2E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5" name="CaixaDeTexto 20">
          <a:extLst>
            <a:ext uri="{FF2B5EF4-FFF2-40B4-BE49-F238E27FC236}">
              <a16:creationId xmlns:a16="http://schemas.microsoft.com/office/drawing/2014/main" id="{3DE24C2E-901F-4ABB-9183-F0BC86C6D29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6" name="CaixaDeTexto 21">
          <a:extLst>
            <a:ext uri="{FF2B5EF4-FFF2-40B4-BE49-F238E27FC236}">
              <a16:creationId xmlns:a16="http://schemas.microsoft.com/office/drawing/2014/main" id="{E0AFD5EC-D22F-4C5E-B0CB-A88B6797638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7" name="CaixaDeTexto 24">
          <a:extLst>
            <a:ext uri="{FF2B5EF4-FFF2-40B4-BE49-F238E27FC236}">
              <a16:creationId xmlns:a16="http://schemas.microsoft.com/office/drawing/2014/main" id="{439A4A5A-154E-4033-A0BE-E7DA35C51BC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8" name="CaixaDeTexto 2">
          <a:extLst>
            <a:ext uri="{FF2B5EF4-FFF2-40B4-BE49-F238E27FC236}">
              <a16:creationId xmlns:a16="http://schemas.microsoft.com/office/drawing/2014/main" id="{B155903F-2784-45F6-BE9E-FAF1F2B4DF0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29" name="CaixaDeTexto 4">
          <a:extLst>
            <a:ext uri="{FF2B5EF4-FFF2-40B4-BE49-F238E27FC236}">
              <a16:creationId xmlns:a16="http://schemas.microsoft.com/office/drawing/2014/main" id="{ECEBC80D-4256-4796-920A-0DBBA285C27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0" name="CaixaDeTexto 9">
          <a:extLst>
            <a:ext uri="{FF2B5EF4-FFF2-40B4-BE49-F238E27FC236}">
              <a16:creationId xmlns:a16="http://schemas.microsoft.com/office/drawing/2014/main" id="{07CEFB53-029E-4F63-9468-B88F7FA78D1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1" name="CaixaDeTexto 12">
          <a:extLst>
            <a:ext uri="{FF2B5EF4-FFF2-40B4-BE49-F238E27FC236}">
              <a16:creationId xmlns:a16="http://schemas.microsoft.com/office/drawing/2014/main" id="{05237C85-D071-484B-9BD2-40A0C6B84C4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2" name="CaixaDeTexto 14">
          <a:extLst>
            <a:ext uri="{FF2B5EF4-FFF2-40B4-BE49-F238E27FC236}">
              <a16:creationId xmlns:a16="http://schemas.microsoft.com/office/drawing/2014/main" id="{76948573-A84C-481E-8F77-259B454F627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3" name="CaixaDeTexto 16">
          <a:extLst>
            <a:ext uri="{FF2B5EF4-FFF2-40B4-BE49-F238E27FC236}">
              <a16:creationId xmlns:a16="http://schemas.microsoft.com/office/drawing/2014/main" id="{5E24D905-C911-442D-A257-45854E77237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4" name="CaixaDeTexto 18">
          <a:extLst>
            <a:ext uri="{FF2B5EF4-FFF2-40B4-BE49-F238E27FC236}">
              <a16:creationId xmlns:a16="http://schemas.microsoft.com/office/drawing/2014/main" id="{F08E5C71-A91E-4522-8619-5322DDE5ADB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5" name="CaixaDeTexto 20">
          <a:extLst>
            <a:ext uri="{FF2B5EF4-FFF2-40B4-BE49-F238E27FC236}">
              <a16:creationId xmlns:a16="http://schemas.microsoft.com/office/drawing/2014/main" id="{C067CC5D-B65B-444A-A2B3-23AC3E1DE3B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6" name="CaixaDeTexto 21">
          <a:extLst>
            <a:ext uri="{FF2B5EF4-FFF2-40B4-BE49-F238E27FC236}">
              <a16:creationId xmlns:a16="http://schemas.microsoft.com/office/drawing/2014/main" id="{6D26A78D-E558-414A-B240-7AE6D340F14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7" name="CaixaDeTexto 24">
          <a:extLst>
            <a:ext uri="{FF2B5EF4-FFF2-40B4-BE49-F238E27FC236}">
              <a16:creationId xmlns:a16="http://schemas.microsoft.com/office/drawing/2014/main" id="{E59B4012-805C-4103-9F56-F8EEB57EC2F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8" name="CaixaDeTexto 2">
          <a:extLst>
            <a:ext uri="{FF2B5EF4-FFF2-40B4-BE49-F238E27FC236}">
              <a16:creationId xmlns:a16="http://schemas.microsoft.com/office/drawing/2014/main" id="{B0434BA0-C187-4676-B828-8661C0F4CDA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39" name="CaixaDeTexto 4">
          <a:extLst>
            <a:ext uri="{FF2B5EF4-FFF2-40B4-BE49-F238E27FC236}">
              <a16:creationId xmlns:a16="http://schemas.microsoft.com/office/drawing/2014/main" id="{58A5E24A-4A12-4900-9CD8-83E65436093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40" name="CaixaDeTexto 9">
          <a:extLst>
            <a:ext uri="{FF2B5EF4-FFF2-40B4-BE49-F238E27FC236}">
              <a16:creationId xmlns:a16="http://schemas.microsoft.com/office/drawing/2014/main" id="{1977D361-02D1-434F-A2BA-880B6A75B85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41" name="CaixaDeTexto 12">
          <a:extLst>
            <a:ext uri="{FF2B5EF4-FFF2-40B4-BE49-F238E27FC236}">
              <a16:creationId xmlns:a16="http://schemas.microsoft.com/office/drawing/2014/main" id="{C6D4F293-00F9-40EF-ABFA-9786043AD66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42" name="CaixaDeTexto 14">
          <a:extLst>
            <a:ext uri="{FF2B5EF4-FFF2-40B4-BE49-F238E27FC236}">
              <a16:creationId xmlns:a16="http://schemas.microsoft.com/office/drawing/2014/main" id="{6B1126B0-9CA7-4ABA-B658-365D43C630C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43" name="CaixaDeTexto 16">
          <a:extLst>
            <a:ext uri="{FF2B5EF4-FFF2-40B4-BE49-F238E27FC236}">
              <a16:creationId xmlns:a16="http://schemas.microsoft.com/office/drawing/2014/main" id="{1A7F670E-8742-47EB-8356-14BBBBA2673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44" name="CaixaDeTexto 18">
          <a:extLst>
            <a:ext uri="{FF2B5EF4-FFF2-40B4-BE49-F238E27FC236}">
              <a16:creationId xmlns:a16="http://schemas.microsoft.com/office/drawing/2014/main" id="{B11D36C6-F67C-4593-8E4C-C5751293D9A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45" name="CaixaDeTexto 20">
          <a:extLst>
            <a:ext uri="{FF2B5EF4-FFF2-40B4-BE49-F238E27FC236}">
              <a16:creationId xmlns:a16="http://schemas.microsoft.com/office/drawing/2014/main" id="{0B6ED758-B860-464F-AF97-96BAAC90B05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246" name="CaixaDeTexto 21">
          <a:extLst>
            <a:ext uri="{FF2B5EF4-FFF2-40B4-BE49-F238E27FC236}">
              <a16:creationId xmlns:a16="http://schemas.microsoft.com/office/drawing/2014/main" id="{781501B8-94AE-46F1-A904-B63564D369B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47" name="CaixaDeTexto 2">
          <a:extLst>
            <a:ext uri="{FF2B5EF4-FFF2-40B4-BE49-F238E27FC236}">
              <a16:creationId xmlns:a16="http://schemas.microsoft.com/office/drawing/2014/main" id="{1C810CF1-B577-4CA4-AA28-8216A91BBE0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48" name="CaixaDeTexto 4">
          <a:extLst>
            <a:ext uri="{FF2B5EF4-FFF2-40B4-BE49-F238E27FC236}">
              <a16:creationId xmlns:a16="http://schemas.microsoft.com/office/drawing/2014/main" id="{64F0D6DB-1081-4FDA-90E0-E087072E94D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49" name="CaixaDeTexto 9">
          <a:extLst>
            <a:ext uri="{FF2B5EF4-FFF2-40B4-BE49-F238E27FC236}">
              <a16:creationId xmlns:a16="http://schemas.microsoft.com/office/drawing/2014/main" id="{66C88BA4-ED31-4149-9314-B96F032E10EC}"/>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0" name="CaixaDeTexto 12">
          <a:extLst>
            <a:ext uri="{FF2B5EF4-FFF2-40B4-BE49-F238E27FC236}">
              <a16:creationId xmlns:a16="http://schemas.microsoft.com/office/drawing/2014/main" id="{50FC7B69-A70E-4BB1-920B-D136E3D7D6E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1" name="CaixaDeTexto 14">
          <a:extLst>
            <a:ext uri="{FF2B5EF4-FFF2-40B4-BE49-F238E27FC236}">
              <a16:creationId xmlns:a16="http://schemas.microsoft.com/office/drawing/2014/main" id="{0360D22F-D11D-414F-8C8A-00A8253CE10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2" name="CaixaDeTexto 16">
          <a:extLst>
            <a:ext uri="{FF2B5EF4-FFF2-40B4-BE49-F238E27FC236}">
              <a16:creationId xmlns:a16="http://schemas.microsoft.com/office/drawing/2014/main" id="{5156AB2D-78D1-4922-8075-397EE547AA6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3" name="CaixaDeTexto 18">
          <a:extLst>
            <a:ext uri="{FF2B5EF4-FFF2-40B4-BE49-F238E27FC236}">
              <a16:creationId xmlns:a16="http://schemas.microsoft.com/office/drawing/2014/main" id="{72E7FF49-51F6-4E61-9D7A-8336FA6BD36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4" name="CaixaDeTexto 20">
          <a:extLst>
            <a:ext uri="{FF2B5EF4-FFF2-40B4-BE49-F238E27FC236}">
              <a16:creationId xmlns:a16="http://schemas.microsoft.com/office/drawing/2014/main" id="{55E3CEAF-31DA-492D-AE7B-B9B808D28DD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5" name="CaixaDeTexto 21">
          <a:extLst>
            <a:ext uri="{FF2B5EF4-FFF2-40B4-BE49-F238E27FC236}">
              <a16:creationId xmlns:a16="http://schemas.microsoft.com/office/drawing/2014/main" id="{517B85E3-CC7F-4D1F-85E4-716995AF37E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6" name="CaixaDeTexto 24">
          <a:extLst>
            <a:ext uri="{FF2B5EF4-FFF2-40B4-BE49-F238E27FC236}">
              <a16:creationId xmlns:a16="http://schemas.microsoft.com/office/drawing/2014/main" id="{97102F5F-0915-46DA-B440-837AF54DD0B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7" name="CaixaDeTexto 2">
          <a:extLst>
            <a:ext uri="{FF2B5EF4-FFF2-40B4-BE49-F238E27FC236}">
              <a16:creationId xmlns:a16="http://schemas.microsoft.com/office/drawing/2014/main" id="{22146C60-1F9C-442C-ABA1-F31B0FBCE72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8" name="CaixaDeTexto 4">
          <a:extLst>
            <a:ext uri="{FF2B5EF4-FFF2-40B4-BE49-F238E27FC236}">
              <a16:creationId xmlns:a16="http://schemas.microsoft.com/office/drawing/2014/main" id="{9685C623-C8DD-4857-B89D-18D0FC42580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59" name="CaixaDeTexto 9">
          <a:extLst>
            <a:ext uri="{FF2B5EF4-FFF2-40B4-BE49-F238E27FC236}">
              <a16:creationId xmlns:a16="http://schemas.microsoft.com/office/drawing/2014/main" id="{5A550518-07D9-4837-96F6-AE97DA127DD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0" name="CaixaDeTexto 12">
          <a:extLst>
            <a:ext uri="{FF2B5EF4-FFF2-40B4-BE49-F238E27FC236}">
              <a16:creationId xmlns:a16="http://schemas.microsoft.com/office/drawing/2014/main" id="{81D40D11-54AA-447B-B2E0-E2F67C41AD7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1" name="CaixaDeTexto 14">
          <a:extLst>
            <a:ext uri="{FF2B5EF4-FFF2-40B4-BE49-F238E27FC236}">
              <a16:creationId xmlns:a16="http://schemas.microsoft.com/office/drawing/2014/main" id="{2F9225A7-FC31-4BF2-8282-F5472EC0F87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2" name="CaixaDeTexto 16">
          <a:extLst>
            <a:ext uri="{FF2B5EF4-FFF2-40B4-BE49-F238E27FC236}">
              <a16:creationId xmlns:a16="http://schemas.microsoft.com/office/drawing/2014/main" id="{956FC537-69E9-4426-9032-8A18E76E8A8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3" name="CaixaDeTexto 18">
          <a:extLst>
            <a:ext uri="{FF2B5EF4-FFF2-40B4-BE49-F238E27FC236}">
              <a16:creationId xmlns:a16="http://schemas.microsoft.com/office/drawing/2014/main" id="{6A4B9A21-0595-465E-B6CE-482A9DBF4EF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4" name="CaixaDeTexto 20">
          <a:extLst>
            <a:ext uri="{FF2B5EF4-FFF2-40B4-BE49-F238E27FC236}">
              <a16:creationId xmlns:a16="http://schemas.microsoft.com/office/drawing/2014/main" id="{0ED9D450-18C7-406C-A27B-E776E673DD8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5" name="CaixaDeTexto 21">
          <a:extLst>
            <a:ext uri="{FF2B5EF4-FFF2-40B4-BE49-F238E27FC236}">
              <a16:creationId xmlns:a16="http://schemas.microsoft.com/office/drawing/2014/main" id="{6E2C5738-E3B2-4566-8621-10775875376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6" name="CaixaDeTexto 24">
          <a:extLst>
            <a:ext uri="{FF2B5EF4-FFF2-40B4-BE49-F238E27FC236}">
              <a16:creationId xmlns:a16="http://schemas.microsoft.com/office/drawing/2014/main" id="{D67CDAF1-486F-42D3-9140-08C97801DFF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7" name="CaixaDeTexto 2">
          <a:extLst>
            <a:ext uri="{FF2B5EF4-FFF2-40B4-BE49-F238E27FC236}">
              <a16:creationId xmlns:a16="http://schemas.microsoft.com/office/drawing/2014/main" id="{C0B159BA-B3BC-450F-A39F-E8134B14E0AC}"/>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8" name="CaixaDeTexto 4">
          <a:extLst>
            <a:ext uri="{FF2B5EF4-FFF2-40B4-BE49-F238E27FC236}">
              <a16:creationId xmlns:a16="http://schemas.microsoft.com/office/drawing/2014/main" id="{5C4A6A79-075F-414D-904C-2FDEE42A4DB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69" name="CaixaDeTexto 9">
          <a:extLst>
            <a:ext uri="{FF2B5EF4-FFF2-40B4-BE49-F238E27FC236}">
              <a16:creationId xmlns:a16="http://schemas.microsoft.com/office/drawing/2014/main" id="{09B29FBC-7949-46AA-AC14-8C665817AB16}"/>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0" name="CaixaDeTexto 12">
          <a:extLst>
            <a:ext uri="{FF2B5EF4-FFF2-40B4-BE49-F238E27FC236}">
              <a16:creationId xmlns:a16="http://schemas.microsoft.com/office/drawing/2014/main" id="{8EF5FF6B-8718-4B26-84C2-F74449EA01E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1" name="CaixaDeTexto 14">
          <a:extLst>
            <a:ext uri="{FF2B5EF4-FFF2-40B4-BE49-F238E27FC236}">
              <a16:creationId xmlns:a16="http://schemas.microsoft.com/office/drawing/2014/main" id="{7C42EE42-E6C8-4572-A1B7-F26DD4E234D3}"/>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2" name="CaixaDeTexto 16">
          <a:extLst>
            <a:ext uri="{FF2B5EF4-FFF2-40B4-BE49-F238E27FC236}">
              <a16:creationId xmlns:a16="http://schemas.microsoft.com/office/drawing/2014/main" id="{7914F6E7-C5C7-4101-A511-E7A132EBC98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3" name="CaixaDeTexto 18">
          <a:extLst>
            <a:ext uri="{FF2B5EF4-FFF2-40B4-BE49-F238E27FC236}">
              <a16:creationId xmlns:a16="http://schemas.microsoft.com/office/drawing/2014/main" id="{A8DA971D-F1D5-4671-A6DC-478BA23468A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4" name="CaixaDeTexto 20">
          <a:extLst>
            <a:ext uri="{FF2B5EF4-FFF2-40B4-BE49-F238E27FC236}">
              <a16:creationId xmlns:a16="http://schemas.microsoft.com/office/drawing/2014/main" id="{B29B098D-ABC9-4C12-916E-66E074AFC4D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5" name="CaixaDeTexto 21">
          <a:extLst>
            <a:ext uri="{FF2B5EF4-FFF2-40B4-BE49-F238E27FC236}">
              <a16:creationId xmlns:a16="http://schemas.microsoft.com/office/drawing/2014/main" id="{9F3D2D7D-CB49-4A6B-A762-5A9BD5FF4B56}"/>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6" name="CaixaDeTexto 24">
          <a:extLst>
            <a:ext uri="{FF2B5EF4-FFF2-40B4-BE49-F238E27FC236}">
              <a16:creationId xmlns:a16="http://schemas.microsoft.com/office/drawing/2014/main" id="{11565084-E354-48E2-A2AE-CFD443073C0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7" name="CaixaDeTexto 2">
          <a:extLst>
            <a:ext uri="{FF2B5EF4-FFF2-40B4-BE49-F238E27FC236}">
              <a16:creationId xmlns:a16="http://schemas.microsoft.com/office/drawing/2014/main" id="{DA8C4C98-F274-41BF-BA5C-C3759828984C}"/>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8" name="CaixaDeTexto 4">
          <a:extLst>
            <a:ext uri="{FF2B5EF4-FFF2-40B4-BE49-F238E27FC236}">
              <a16:creationId xmlns:a16="http://schemas.microsoft.com/office/drawing/2014/main" id="{ACF6E242-7C94-4010-B6A1-92A9BD8FF73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79" name="CaixaDeTexto 9">
          <a:extLst>
            <a:ext uri="{FF2B5EF4-FFF2-40B4-BE49-F238E27FC236}">
              <a16:creationId xmlns:a16="http://schemas.microsoft.com/office/drawing/2014/main" id="{F79C7CDC-6F25-4F7B-AC7F-88D04B4FF2FC}"/>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0" name="CaixaDeTexto 12">
          <a:extLst>
            <a:ext uri="{FF2B5EF4-FFF2-40B4-BE49-F238E27FC236}">
              <a16:creationId xmlns:a16="http://schemas.microsoft.com/office/drawing/2014/main" id="{5B4869BF-B044-432A-A9D9-B25FEC5AFC7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1" name="CaixaDeTexto 14">
          <a:extLst>
            <a:ext uri="{FF2B5EF4-FFF2-40B4-BE49-F238E27FC236}">
              <a16:creationId xmlns:a16="http://schemas.microsoft.com/office/drawing/2014/main" id="{6C00D06D-E9D5-4B30-AC15-CB1755425D0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2" name="CaixaDeTexto 16">
          <a:extLst>
            <a:ext uri="{FF2B5EF4-FFF2-40B4-BE49-F238E27FC236}">
              <a16:creationId xmlns:a16="http://schemas.microsoft.com/office/drawing/2014/main" id="{CA814B84-F4D3-4462-B952-124E8EA0F62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3" name="CaixaDeTexto 18">
          <a:extLst>
            <a:ext uri="{FF2B5EF4-FFF2-40B4-BE49-F238E27FC236}">
              <a16:creationId xmlns:a16="http://schemas.microsoft.com/office/drawing/2014/main" id="{CC98D91B-FB70-4FFC-AE4F-A0C61D90285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4" name="CaixaDeTexto 20">
          <a:extLst>
            <a:ext uri="{FF2B5EF4-FFF2-40B4-BE49-F238E27FC236}">
              <a16:creationId xmlns:a16="http://schemas.microsoft.com/office/drawing/2014/main" id="{C3A29992-88A1-4966-A684-4316D8AE13C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5" name="CaixaDeTexto 21">
          <a:extLst>
            <a:ext uri="{FF2B5EF4-FFF2-40B4-BE49-F238E27FC236}">
              <a16:creationId xmlns:a16="http://schemas.microsoft.com/office/drawing/2014/main" id="{A7B8069B-8512-4C89-9103-7A86DA975E1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6" name="CaixaDeTexto 24">
          <a:extLst>
            <a:ext uri="{FF2B5EF4-FFF2-40B4-BE49-F238E27FC236}">
              <a16:creationId xmlns:a16="http://schemas.microsoft.com/office/drawing/2014/main" id="{C338B4B4-4FE7-4340-9EBF-1834B161313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7" name="CaixaDeTexto 2">
          <a:extLst>
            <a:ext uri="{FF2B5EF4-FFF2-40B4-BE49-F238E27FC236}">
              <a16:creationId xmlns:a16="http://schemas.microsoft.com/office/drawing/2014/main" id="{5D953058-AE33-4C1C-BB6E-9F25F9FAD1B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8" name="CaixaDeTexto 4">
          <a:extLst>
            <a:ext uri="{FF2B5EF4-FFF2-40B4-BE49-F238E27FC236}">
              <a16:creationId xmlns:a16="http://schemas.microsoft.com/office/drawing/2014/main" id="{55AFDD76-C44C-4542-88A4-F79D106369D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89" name="CaixaDeTexto 9">
          <a:extLst>
            <a:ext uri="{FF2B5EF4-FFF2-40B4-BE49-F238E27FC236}">
              <a16:creationId xmlns:a16="http://schemas.microsoft.com/office/drawing/2014/main" id="{A019A432-5998-4F4D-8F5D-9AD6C376690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0" name="CaixaDeTexto 12">
          <a:extLst>
            <a:ext uri="{FF2B5EF4-FFF2-40B4-BE49-F238E27FC236}">
              <a16:creationId xmlns:a16="http://schemas.microsoft.com/office/drawing/2014/main" id="{30C574F7-3D1F-4DC7-A060-61516E952C6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1" name="CaixaDeTexto 14">
          <a:extLst>
            <a:ext uri="{FF2B5EF4-FFF2-40B4-BE49-F238E27FC236}">
              <a16:creationId xmlns:a16="http://schemas.microsoft.com/office/drawing/2014/main" id="{E1E5FADC-356A-470C-B451-F3E1BBE8298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2" name="CaixaDeTexto 16">
          <a:extLst>
            <a:ext uri="{FF2B5EF4-FFF2-40B4-BE49-F238E27FC236}">
              <a16:creationId xmlns:a16="http://schemas.microsoft.com/office/drawing/2014/main" id="{24DCE9CA-6694-4D99-B736-C49A07048EF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3" name="CaixaDeTexto 18">
          <a:extLst>
            <a:ext uri="{FF2B5EF4-FFF2-40B4-BE49-F238E27FC236}">
              <a16:creationId xmlns:a16="http://schemas.microsoft.com/office/drawing/2014/main" id="{2B260296-3A60-429C-9BC3-E237B1650A5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4" name="CaixaDeTexto 20">
          <a:extLst>
            <a:ext uri="{FF2B5EF4-FFF2-40B4-BE49-F238E27FC236}">
              <a16:creationId xmlns:a16="http://schemas.microsoft.com/office/drawing/2014/main" id="{E20DA79C-319D-497D-9F2D-2FC5403599BC}"/>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5" name="CaixaDeTexto 21">
          <a:extLst>
            <a:ext uri="{FF2B5EF4-FFF2-40B4-BE49-F238E27FC236}">
              <a16:creationId xmlns:a16="http://schemas.microsoft.com/office/drawing/2014/main" id="{43988D85-1336-4387-8C61-D8CCF3F9356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6" name="CaixaDeTexto 24">
          <a:extLst>
            <a:ext uri="{FF2B5EF4-FFF2-40B4-BE49-F238E27FC236}">
              <a16:creationId xmlns:a16="http://schemas.microsoft.com/office/drawing/2014/main" id="{F8552710-4AAB-4A2B-8251-41418AF40F96}"/>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7" name="CaixaDeTexto 2">
          <a:extLst>
            <a:ext uri="{FF2B5EF4-FFF2-40B4-BE49-F238E27FC236}">
              <a16:creationId xmlns:a16="http://schemas.microsoft.com/office/drawing/2014/main" id="{EADD83D1-3E04-4470-B6E2-56DDAE18ACC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8" name="CaixaDeTexto 4">
          <a:extLst>
            <a:ext uri="{FF2B5EF4-FFF2-40B4-BE49-F238E27FC236}">
              <a16:creationId xmlns:a16="http://schemas.microsoft.com/office/drawing/2014/main" id="{E831BB1E-EAEB-495B-8027-E30C0A1E316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299" name="CaixaDeTexto 9">
          <a:extLst>
            <a:ext uri="{FF2B5EF4-FFF2-40B4-BE49-F238E27FC236}">
              <a16:creationId xmlns:a16="http://schemas.microsoft.com/office/drawing/2014/main" id="{D2D7CC42-B35E-4587-A01E-DB2F5456608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0" name="CaixaDeTexto 12">
          <a:extLst>
            <a:ext uri="{FF2B5EF4-FFF2-40B4-BE49-F238E27FC236}">
              <a16:creationId xmlns:a16="http://schemas.microsoft.com/office/drawing/2014/main" id="{DF793641-CB3C-4B41-B950-2FF1E564310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1" name="CaixaDeTexto 14">
          <a:extLst>
            <a:ext uri="{FF2B5EF4-FFF2-40B4-BE49-F238E27FC236}">
              <a16:creationId xmlns:a16="http://schemas.microsoft.com/office/drawing/2014/main" id="{F4929E6F-4808-4EDF-BF15-1405628248D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2" name="CaixaDeTexto 16">
          <a:extLst>
            <a:ext uri="{FF2B5EF4-FFF2-40B4-BE49-F238E27FC236}">
              <a16:creationId xmlns:a16="http://schemas.microsoft.com/office/drawing/2014/main" id="{756E4120-6796-490D-98F1-31648501C33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3" name="CaixaDeTexto 18">
          <a:extLst>
            <a:ext uri="{FF2B5EF4-FFF2-40B4-BE49-F238E27FC236}">
              <a16:creationId xmlns:a16="http://schemas.microsoft.com/office/drawing/2014/main" id="{353D20C0-76AE-4FD7-85CE-4DEFDD47ABA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4" name="CaixaDeTexto 20">
          <a:extLst>
            <a:ext uri="{FF2B5EF4-FFF2-40B4-BE49-F238E27FC236}">
              <a16:creationId xmlns:a16="http://schemas.microsoft.com/office/drawing/2014/main" id="{16C9B594-2DC5-46BD-B526-610BD854305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5" name="CaixaDeTexto 21">
          <a:extLst>
            <a:ext uri="{FF2B5EF4-FFF2-40B4-BE49-F238E27FC236}">
              <a16:creationId xmlns:a16="http://schemas.microsoft.com/office/drawing/2014/main" id="{53CADEEB-9B47-452B-881C-33916E5F345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6" name="CaixaDeTexto 24">
          <a:extLst>
            <a:ext uri="{FF2B5EF4-FFF2-40B4-BE49-F238E27FC236}">
              <a16:creationId xmlns:a16="http://schemas.microsoft.com/office/drawing/2014/main" id="{C9D4715E-BDF5-4B4F-8C71-FDC90084F56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7" name="CaixaDeTexto 2">
          <a:extLst>
            <a:ext uri="{FF2B5EF4-FFF2-40B4-BE49-F238E27FC236}">
              <a16:creationId xmlns:a16="http://schemas.microsoft.com/office/drawing/2014/main" id="{B4BF844D-FC82-4535-9020-CF2E786004F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8" name="CaixaDeTexto 4">
          <a:extLst>
            <a:ext uri="{FF2B5EF4-FFF2-40B4-BE49-F238E27FC236}">
              <a16:creationId xmlns:a16="http://schemas.microsoft.com/office/drawing/2014/main" id="{D8A33A26-EAFD-4C7C-9BDD-3DCBF0678EE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09" name="CaixaDeTexto 9">
          <a:extLst>
            <a:ext uri="{FF2B5EF4-FFF2-40B4-BE49-F238E27FC236}">
              <a16:creationId xmlns:a16="http://schemas.microsoft.com/office/drawing/2014/main" id="{E0F164DD-7C2A-4292-8809-5DEABCE6A06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0" name="CaixaDeTexto 12">
          <a:extLst>
            <a:ext uri="{FF2B5EF4-FFF2-40B4-BE49-F238E27FC236}">
              <a16:creationId xmlns:a16="http://schemas.microsoft.com/office/drawing/2014/main" id="{CC9A63F8-15D1-4719-AC1D-04C570E08E4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1" name="CaixaDeTexto 14">
          <a:extLst>
            <a:ext uri="{FF2B5EF4-FFF2-40B4-BE49-F238E27FC236}">
              <a16:creationId xmlns:a16="http://schemas.microsoft.com/office/drawing/2014/main" id="{68473718-B9FE-439E-8824-CED8CDD49A4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2" name="CaixaDeTexto 16">
          <a:extLst>
            <a:ext uri="{FF2B5EF4-FFF2-40B4-BE49-F238E27FC236}">
              <a16:creationId xmlns:a16="http://schemas.microsoft.com/office/drawing/2014/main" id="{AB2D6DF4-8767-4B10-B7C2-FEA7B834A4E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3" name="CaixaDeTexto 18">
          <a:extLst>
            <a:ext uri="{FF2B5EF4-FFF2-40B4-BE49-F238E27FC236}">
              <a16:creationId xmlns:a16="http://schemas.microsoft.com/office/drawing/2014/main" id="{FD96034A-3D6A-4575-826D-2417AF425030}"/>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4" name="CaixaDeTexto 20">
          <a:extLst>
            <a:ext uri="{FF2B5EF4-FFF2-40B4-BE49-F238E27FC236}">
              <a16:creationId xmlns:a16="http://schemas.microsoft.com/office/drawing/2014/main" id="{D9D75519-2CE8-41F5-A3AE-F1B910DDB5C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5" name="CaixaDeTexto 21">
          <a:extLst>
            <a:ext uri="{FF2B5EF4-FFF2-40B4-BE49-F238E27FC236}">
              <a16:creationId xmlns:a16="http://schemas.microsoft.com/office/drawing/2014/main" id="{D3A8AF9B-7A62-42F7-AF91-5911CD4474C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6" name="CaixaDeTexto 24">
          <a:extLst>
            <a:ext uri="{FF2B5EF4-FFF2-40B4-BE49-F238E27FC236}">
              <a16:creationId xmlns:a16="http://schemas.microsoft.com/office/drawing/2014/main" id="{D5246E12-4DF2-45AE-91B6-8D54176D6C4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7" name="CaixaDeTexto 2">
          <a:extLst>
            <a:ext uri="{FF2B5EF4-FFF2-40B4-BE49-F238E27FC236}">
              <a16:creationId xmlns:a16="http://schemas.microsoft.com/office/drawing/2014/main" id="{61A3C7D2-D551-472A-9BFF-129B6B36DC6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8" name="CaixaDeTexto 4">
          <a:extLst>
            <a:ext uri="{FF2B5EF4-FFF2-40B4-BE49-F238E27FC236}">
              <a16:creationId xmlns:a16="http://schemas.microsoft.com/office/drawing/2014/main" id="{21813210-10EC-4E31-AF55-94CD02C0C81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19" name="CaixaDeTexto 9">
          <a:extLst>
            <a:ext uri="{FF2B5EF4-FFF2-40B4-BE49-F238E27FC236}">
              <a16:creationId xmlns:a16="http://schemas.microsoft.com/office/drawing/2014/main" id="{92575BD8-A535-4622-8146-7EB94F80C15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0" name="CaixaDeTexto 12">
          <a:extLst>
            <a:ext uri="{FF2B5EF4-FFF2-40B4-BE49-F238E27FC236}">
              <a16:creationId xmlns:a16="http://schemas.microsoft.com/office/drawing/2014/main" id="{07E675E8-E143-46C0-AA4C-8BA57797152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1" name="CaixaDeTexto 14">
          <a:extLst>
            <a:ext uri="{FF2B5EF4-FFF2-40B4-BE49-F238E27FC236}">
              <a16:creationId xmlns:a16="http://schemas.microsoft.com/office/drawing/2014/main" id="{6F573C80-95A1-4A04-B3E9-D89F8E1D963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2" name="CaixaDeTexto 16">
          <a:extLst>
            <a:ext uri="{FF2B5EF4-FFF2-40B4-BE49-F238E27FC236}">
              <a16:creationId xmlns:a16="http://schemas.microsoft.com/office/drawing/2014/main" id="{47DEAE9D-99CC-441E-B7BB-426CB90E1D7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3" name="CaixaDeTexto 18">
          <a:extLst>
            <a:ext uri="{FF2B5EF4-FFF2-40B4-BE49-F238E27FC236}">
              <a16:creationId xmlns:a16="http://schemas.microsoft.com/office/drawing/2014/main" id="{204109FC-7312-4D28-B5E2-FD3519B0EB2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4" name="CaixaDeTexto 20">
          <a:extLst>
            <a:ext uri="{FF2B5EF4-FFF2-40B4-BE49-F238E27FC236}">
              <a16:creationId xmlns:a16="http://schemas.microsoft.com/office/drawing/2014/main" id="{CE7D886D-0F20-49B6-B85B-591DD149C15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5" name="CaixaDeTexto 21">
          <a:extLst>
            <a:ext uri="{FF2B5EF4-FFF2-40B4-BE49-F238E27FC236}">
              <a16:creationId xmlns:a16="http://schemas.microsoft.com/office/drawing/2014/main" id="{CA6871B2-8159-408C-8B86-140D7C2F169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6" name="CaixaDeTexto 24">
          <a:extLst>
            <a:ext uri="{FF2B5EF4-FFF2-40B4-BE49-F238E27FC236}">
              <a16:creationId xmlns:a16="http://schemas.microsoft.com/office/drawing/2014/main" id="{82FA6230-8536-4281-8793-359397C51B3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7" name="CaixaDeTexto 2">
          <a:extLst>
            <a:ext uri="{FF2B5EF4-FFF2-40B4-BE49-F238E27FC236}">
              <a16:creationId xmlns:a16="http://schemas.microsoft.com/office/drawing/2014/main" id="{45E7ECAF-E207-4107-8E24-DA4B1E34B13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8" name="CaixaDeTexto 4">
          <a:extLst>
            <a:ext uri="{FF2B5EF4-FFF2-40B4-BE49-F238E27FC236}">
              <a16:creationId xmlns:a16="http://schemas.microsoft.com/office/drawing/2014/main" id="{5249A25D-695E-4A0C-9B7C-27C693320F2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29" name="CaixaDeTexto 9">
          <a:extLst>
            <a:ext uri="{FF2B5EF4-FFF2-40B4-BE49-F238E27FC236}">
              <a16:creationId xmlns:a16="http://schemas.microsoft.com/office/drawing/2014/main" id="{33DF0CE7-E9AE-4A8E-8AE4-13995073D91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0" name="CaixaDeTexto 12">
          <a:extLst>
            <a:ext uri="{FF2B5EF4-FFF2-40B4-BE49-F238E27FC236}">
              <a16:creationId xmlns:a16="http://schemas.microsoft.com/office/drawing/2014/main" id="{C2C198C0-73E4-4374-B8FB-E3E42DE8C22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1" name="CaixaDeTexto 14">
          <a:extLst>
            <a:ext uri="{FF2B5EF4-FFF2-40B4-BE49-F238E27FC236}">
              <a16:creationId xmlns:a16="http://schemas.microsoft.com/office/drawing/2014/main" id="{000D2A86-6D75-4380-8733-3112B9C3BDE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2" name="CaixaDeTexto 16">
          <a:extLst>
            <a:ext uri="{FF2B5EF4-FFF2-40B4-BE49-F238E27FC236}">
              <a16:creationId xmlns:a16="http://schemas.microsoft.com/office/drawing/2014/main" id="{946B5ACB-BD70-44F4-8808-CEB97FD5C826}"/>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3" name="CaixaDeTexto 18">
          <a:extLst>
            <a:ext uri="{FF2B5EF4-FFF2-40B4-BE49-F238E27FC236}">
              <a16:creationId xmlns:a16="http://schemas.microsoft.com/office/drawing/2014/main" id="{49E1C6A7-43C0-4E1F-9247-F895121B5F5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4" name="CaixaDeTexto 20">
          <a:extLst>
            <a:ext uri="{FF2B5EF4-FFF2-40B4-BE49-F238E27FC236}">
              <a16:creationId xmlns:a16="http://schemas.microsoft.com/office/drawing/2014/main" id="{6AF7A96C-D059-4FE1-BE67-DA939D4A82F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5" name="CaixaDeTexto 21">
          <a:extLst>
            <a:ext uri="{FF2B5EF4-FFF2-40B4-BE49-F238E27FC236}">
              <a16:creationId xmlns:a16="http://schemas.microsoft.com/office/drawing/2014/main" id="{F089F670-7D22-4D43-A031-14910999B6D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6" name="CaixaDeTexto 24">
          <a:extLst>
            <a:ext uri="{FF2B5EF4-FFF2-40B4-BE49-F238E27FC236}">
              <a16:creationId xmlns:a16="http://schemas.microsoft.com/office/drawing/2014/main" id="{069CDC79-FCBF-47B9-AE92-5DADCB5EDBC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7" name="CaixaDeTexto 2">
          <a:extLst>
            <a:ext uri="{FF2B5EF4-FFF2-40B4-BE49-F238E27FC236}">
              <a16:creationId xmlns:a16="http://schemas.microsoft.com/office/drawing/2014/main" id="{1D7ED626-AB53-481E-B36F-68D2D971F43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8" name="CaixaDeTexto 4">
          <a:extLst>
            <a:ext uri="{FF2B5EF4-FFF2-40B4-BE49-F238E27FC236}">
              <a16:creationId xmlns:a16="http://schemas.microsoft.com/office/drawing/2014/main" id="{961A7973-3ABC-4196-81A3-60189933FD4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39" name="CaixaDeTexto 9">
          <a:extLst>
            <a:ext uri="{FF2B5EF4-FFF2-40B4-BE49-F238E27FC236}">
              <a16:creationId xmlns:a16="http://schemas.microsoft.com/office/drawing/2014/main" id="{685FD4FC-365B-4185-BF3F-7AC6BF52487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0" name="CaixaDeTexto 12">
          <a:extLst>
            <a:ext uri="{FF2B5EF4-FFF2-40B4-BE49-F238E27FC236}">
              <a16:creationId xmlns:a16="http://schemas.microsoft.com/office/drawing/2014/main" id="{0A6C2E61-4004-4ECE-B4C6-A838EFAE4CA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1" name="CaixaDeTexto 14">
          <a:extLst>
            <a:ext uri="{FF2B5EF4-FFF2-40B4-BE49-F238E27FC236}">
              <a16:creationId xmlns:a16="http://schemas.microsoft.com/office/drawing/2014/main" id="{38448CEC-6D6A-48F1-8F1D-D63B425E4CA3}"/>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2" name="CaixaDeTexto 16">
          <a:extLst>
            <a:ext uri="{FF2B5EF4-FFF2-40B4-BE49-F238E27FC236}">
              <a16:creationId xmlns:a16="http://schemas.microsoft.com/office/drawing/2014/main" id="{3707F3CF-7BB7-4F41-8723-81D90ABF767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3" name="CaixaDeTexto 18">
          <a:extLst>
            <a:ext uri="{FF2B5EF4-FFF2-40B4-BE49-F238E27FC236}">
              <a16:creationId xmlns:a16="http://schemas.microsoft.com/office/drawing/2014/main" id="{AA19B94C-78E9-4ACF-9674-5B4E555B379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4" name="CaixaDeTexto 20">
          <a:extLst>
            <a:ext uri="{FF2B5EF4-FFF2-40B4-BE49-F238E27FC236}">
              <a16:creationId xmlns:a16="http://schemas.microsoft.com/office/drawing/2014/main" id="{5FB5B518-085D-45A8-BB93-E9E39BFCA11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5" name="CaixaDeTexto 21">
          <a:extLst>
            <a:ext uri="{FF2B5EF4-FFF2-40B4-BE49-F238E27FC236}">
              <a16:creationId xmlns:a16="http://schemas.microsoft.com/office/drawing/2014/main" id="{1967BF38-6D9E-48F2-93EC-2D8BB48058D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6" name="CaixaDeTexto 24">
          <a:extLst>
            <a:ext uri="{FF2B5EF4-FFF2-40B4-BE49-F238E27FC236}">
              <a16:creationId xmlns:a16="http://schemas.microsoft.com/office/drawing/2014/main" id="{296E272A-BEBE-481F-A904-6F391CFF74C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7" name="CaixaDeTexto 2">
          <a:extLst>
            <a:ext uri="{FF2B5EF4-FFF2-40B4-BE49-F238E27FC236}">
              <a16:creationId xmlns:a16="http://schemas.microsoft.com/office/drawing/2014/main" id="{66ED4E52-A4EF-4598-B85F-08A5E86C8F4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8" name="CaixaDeTexto 4">
          <a:extLst>
            <a:ext uri="{FF2B5EF4-FFF2-40B4-BE49-F238E27FC236}">
              <a16:creationId xmlns:a16="http://schemas.microsoft.com/office/drawing/2014/main" id="{E8DD5824-6C5A-4E9A-81D8-44483E8C4D9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49" name="CaixaDeTexto 9">
          <a:extLst>
            <a:ext uri="{FF2B5EF4-FFF2-40B4-BE49-F238E27FC236}">
              <a16:creationId xmlns:a16="http://schemas.microsoft.com/office/drawing/2014/main" id="{E53055F1-C5F0-4445-84CC-D3C85DF4E8C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0" name="CaixaDeTexto 12">
          <a:extLst>
            <a:ext uri="{FF2B5EF4-FFF2-40B4-BE49-F238E27FC236}">
              <a16:creationId xmlns:a16="http://schemas.microsoft.com/office/drawing/2014/main" id="{D383586C-F396-4F3E-A602-204AC33D950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1" name="CaixaDeTexto 14">
          <a:extLst>
            <a:ext uri="{FF2B5EF4-FFF2-40B4-BE49-F238E27FC236}">
              <a16:creationId xmlns:a16="http://schemas.microsoft.com/office/drawing/2014/main" id="{E70872D7-D312-409B-8108-F25383F8179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2" name="CaixaDeTexto 16">
          <a:extLst>
            <a:ext uri="{FF2B5EF4-FFF2-40B4-BE49-F238E27FC236}">
              <a16:creationId xmlns:a16="http://schemas.microsoft.com/office/drawing/2014/main" id="{A015B490-FF6E-4660-9872-B745B380BC0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3" name="CaixaDeTexto 18">
          <a:extLst>
            <a:ext uri="{FF2B5EF4-FFF2-40B4-BE49-F238E27FC236}">
              <a16:creationId xmlns:a16="http://schemas.microsoft.com/office/drawing/2014/main" id="{19BF333B-6E73-4A64-A85C-8A684D3B0140}"/>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4" name="CaixaDeTexto 20">
          <a:extLst>
            <a:ext uri="{FF2B5EF4-FFF2-40B4-BE49-F238E27FC236}">
              <a16:creationId xmlns:a16="http://schemas.microsoft.com/office/drawing/2014/main" id="{35AB197A-6500-44A5-98DE-D850FE384A7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5" name="CaixaDeTexto 21">
          <a:extLst>
            <a:ext uri="{FF2B5EF4-FFF2-40B4-BE49-F238E27FC236}">
              <a16:creationId xmlns:a16="http://schemas.microsoft.com/office/drawing/2014/main" id="{E748F568-28DF-4098-BC91-5A12C910B8F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6" name="CaixaDeTexto 24">
          <a:extLst>
            <a:ext uri="{FF2B5EF4-FFF2-40B4-BE49-F238E27FC236}">
              <a16:creationId xmlns:a16="http://schemas.microsoft.com/office/drawing/2014/main" id="{88CD4065-3D78-4FDA-909D-DFEB4A6C88B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7" name="CaixaDeTexto 2">
          <a:extLst>
            <a:ext uri="{FF2B5EF4-FFF2-40B4-BE49-F238E27FC236}">
              <a16:creationId xmlns:a16="http://schemas.microsoft.com/office/drawing/2014/main" id="{A476DB10-29C3-4F75-8227-BB6C92FB2E46}"/>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8" name="CaixaDeTexto 4">
          <a:extLst>
            <a:ext uri="{FF2B5EF4-FFF2-40B4-BE49-F238E27FC236}">
              <a16:creationId xmlns:a16="http://schemas.microsoft.com/office/drawing/2014/main" id="{8CB105DF-09BD-462E-845A-244DF84D536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59" name="CaixaDeTexto 9">
          <a:extLst>
            <a:ext uri="{FF2B5EF4-FFF2-40B4-BE49-F238E27FC236}">
              <a16:creationId xmlns:a16="http://schemas.microsoft.com/office/drawing/2014/main" id="{6D293CC8-4AD4-4455-B83B-02CF1FFBF8DC}"/>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0" name="CaixaDeTexto 12">
          <a:extLst>
            <a:ext uri="{FF2B5EF4-FFF2-40B4-BE49-F238E27FC236}">
              <a16:creationId xmlns:a16="http://schemas.microsoft.com/office/drawing/2014/main" id="{4839C5D9-0CF3-41D8-87AA-10CF132B6EA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1" name="CaixaDeTexto 14">
          <a:extLst>
            <a:ext uri="{FF2B5EF4-FFF2-40B4-BE49-F238E27FC236}">
              <a16:creationId xmlns:a16="http://schemas.microsoft.com/office/drawing/2014/main" id="{33B68AB9-AE92-4A6A-B635-AD25F57F748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2" name="CaixaDeTexto 16">
          <a:extLst>
            <a:ext uri="{FF2B5EF4-FFF2-40B4-BE49-F238E27FC236}">
              <a16:creationId xmlns:a16="http://schemas.microsoft.com/office/drawing/2014/main" id="{9CD91A7B-781D-4EDE-87C1-949A92DCFC36}"/>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3" name="CaixaDeTexto 18">
          <a:extLst>
            <a:ext uri="{FF2B5EF4-FFF2-40B4-BE49-F238E27FC236}">
              <a16:creationId xmlns:a16="http://schemas.microsoft.com/office/drawing/2014/main" id="{0B5FD807-A017-42FA-B1F2-EE14FCBAE9D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4" name="CaixaDeTexto 20">
          <a:extLst>
            <a:ext uri="{FF2B5EF4-FFF2-40B4-BE49-F238E27FC236}">
              <a16:creationId xmlns:a16="http://schemas.microsoft.com/office/drawing/2014/main" id="{F1DF8C53-A485-4A03-8C30-2ED08934F10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5" name="CaixaDeTexto 21">
          <a:extLst>
            <a:ext uri="{FF2B5EF4-FFF2-40B4-BE49-F238E27FC236}">
              <a16:creationId xmlns:a16="http://schemas.microsoft.com/office/drawing/2014/main" id="{41BC0E97-E525-4408-AC4C-F31F0387C72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6" name="CaixaDeTexto 24">
          <a:extLst>
            <a:ext uri="{FF2B5EF4-FFF2-40B4-BE49-F238E27FC236}">
              <a16:creationId xmlns:a16="http://schemas.microsoft.com/office/drawing/2014/main" id="{461D1856-F370-4AB5-8F5F-592054E2B50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7" name="CaixaDeTexto 2">
          <a:extLst>
            <a:ext uri="{FF2B5EF4-FFF2-40B4-BE49-F238E27FC236}">
              <a16:creationId xmlns:a16="http://schemas.microsoft.com/office/drawing/2014/main" id="{3A166246-9E06-4A8F-BCDF-0328C8A3B8E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8" name="CaixaDeTexto 4">
          <a:extLst>
            <a:ext uri="{FF2B5EF4-FFF2-40B4-BE49-F238E27FC236}">
              <a16:creationId xmlns:a16="http://schemas.microsoft.com/office/drawing/2014/main" id="{05EC35D1-E5C1-42D2-95B4-0F26DFAF1FA0}"/>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69" name="CaixaDeTexto 9">
          <a:extLst>
            <a:ext uri="{FF2B5EF4-FFF2-40B4-BE49-F238E27FC236}">
              <a16:creationId xmlns:a16="http://schemas.microsoft.com/office/drawing/2014/main" id="{36885311-CD40-4794-8793-A96FBE782FB6}"/>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0" name="CaixaDeTexto 12">
          <a:extLst>
            <a:ext uri="{FF2B5EF4-FFF2-40B4-BE49-F238E27FC236}">
              <a16:creationId xmlns:a16="http://schemas.microsoft.com/office/drawing/2014/main" id="{88CBE2D0-2FCC-43D5-BBDB-EC1892B9DB4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1" name="CaixaDeTexto 14">
          <a:extLst>
            <a:ext uri="{FF2B5EF4-FFF2-40B4-BE49-F238E27FC236}">
              <a16:creationId xmlns:a16="http://schemas.microsoft.com/office/drawing/2014/main" id="{39FA5C79-E5CD-4B4F-9202-05434D3AEA1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2" name="CaixaDeTexto 16">
          <a:extLst>
            <a:ext uri="{FF2B5EF4-FFF2-40B4-BE49-F238E27FC236}">
              <a16:creationId xmlns:a16="http://schemas.microsoft.com/office/drawing/2014/main" id="{7505B777-FD8F-4522-998F-730953AF9B7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3" name="CaixaDeTexto 18">
          <a:extLst>
            <a:ext uri="{FF2B5EF4-FFF2-40B4-BE49-F238E27FC236}">
              <a16:creationId xmlns:a16="http://schemas.microsoft.com/office/drawing/2014/main" id="{5839BBD9-F5D2-46DC-BDCB-23D2C36317F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4" name="CaixaDeTexto 20">
          <a:extLst>
            <a:ext uri="{FF2B5EF4-FFF2-40B4-BE49-F238E27FC236}">
              <a16:creationId xmlns:a16="http://schemas.microsoft.com/office/drawing/2014/main" id="{D3D6F785-A39E-4A3E-8906-77FA9D19020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5" name="CaixaDeTexto 21">
          <a:extLst>
            <a:ext uri="{FF2B5EF4-FFF2-40B4-BE49-F238E27FC236}">
              <a16:creationId xmlns:a16="http://schemas.microsoft.com/office/drawing/2014/main" id="{2CE9B021-89B2-4D8B-9FC0-1C92DEC4915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6" name="CaixaDeTexto 24">
          <a:extLst>
            <a:ext uri="{FF2B5EF4-FFF2-40B4-BE49-F238E27FC236}">
              <a16:creationId xmlns:a16="http://schemas.microsoft.com/office/drawing/2014/main" id="{0AF2D736-543B-4728-90B2-A08B1F3F384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7" name="CaixaDeTexto 2">
          <a:extLst>
            <a:ext uri="{FF2B5EF4-FFF2-40B4-BE49-F238E27FC236}">
              <a16:creationId xmlns:a16="http://schemas.microsoft.com/office/drawing/2014/main" id="{5BD33331-F0F5-4848-8F30-3AC9F14289F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8" name="CaixaDeTexto 4">
          <a:extLst>
            <a:ext uri="{FF2B5EF4-FFF2-40B4-BE49-F238E27FC236}">
              <a16:creationId xmlns:a16="http://schemas.microsoft.com/office/drawing/2014/main" id="{91935DDE-FD3C-4531-A965-82F660D7BBC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79" name="CaixaDeTexto 9">
          <a:extLst>
            <a:ext uri="{FF2B5EF4-FFF2-40B4-BE49-F238E27FC236}">
              <a16:creationId xmlns:a16="http://schemas.microsoft.com/office/drawing/2014/main" id="{F2AF5999-9B9B-4E44-A471-BEB4C57C6EF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0" name="CaixaDeTexto 12">
          <a:extLst>
            <a:ext uri="{FF2B5EF4-FFF2-40B4-BE49-F238E27FC236}">
              <a16:creationId xmlns:a16="http://schemas.microsoft.com/office/drawing/2014/main" id="{F5CA83DD-3D67-42C9-A76C-D6B75357F61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1" name="CaixaDeTexto 14">
          <a:extLst>
            <a:ext uri="{FF2B5EF4-FFF2-40B4-BE49-F238E27FC236}">
              <a16:creationId xmlns:a16="http://schemas.microsoft.com/office/drawing/2014/main" id="{213F4619-1EEF-48A5-BA11-BE03D7BE6A9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2" name="CaixaDeTexto 16">
          <a:extLst>
            <a:ext uri="{FF2B5EF4-FFF2-40B4-BE49-F238E27FC236}">
              <a16:creationId xmlns:a16="http://schemas.microsoft.com/office/drawing/2014/main" id="{9A9DD707-0D18-432F-A608-79876DA776C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3" name="CaixaDeTexto 18">
          <a:extLst>
            <a:ext uri="{FF2B5EF4-FFF2-40B4-BE49-F238E27FC236}">
              <a16:creationId xmlns:a16="http://schemas.microsoft.com/office/drawing/2014/main" id="{88F36D6F-49AB-4F91-861F-A204959D1ED6}"/>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4" name="CaixaDeTexto 20">
          <a:extLst>
            <a:ext uri="{FF2B5EF4-FFF2-40B4-BE49-F238E27FC236}">
              <a16:creationId xmlns:a16="http://schemas.microsoft.com/office/drawing/2014/main" id="{40CC7CBB-7B81-41A7-87CD-479BE70A615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5" name="CaixaDeTexto 21">
          <a:extLst>
            <a:ext uri="{FF2B5EF4-FFF2-40B4-BE49-F238E27FC236}">
              <a16:creationId xmlns:a16="http://schemas.microsoft.com/office/drawing/2014/main" id="{980417FA-E7DB-41E5-B905-2695D7C3319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6" name="CaixaDeTexto 24">
          <a:extLst>
            <a:ext uri="{FF2B5EF4-FFF2-40B4-BE49-F238E27FC236}">
              <a16:creationId xmlns:a16="http://schemas.microsoft.com/office/drawing/2014/main" id="{D73B0B78-4BA6-4FA2-9F77-CB89F811223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7" name="CaixaDeTexto 2">
          <a:extLst>
            <a:ext uri="{FF2B5EF4-FFF2-40B4-BE49-F238E27FC236}">
              <a16:creationId xmlns:a16="http://schemas.microsoft.com/office/drawing/2014/main" id="{364E6685-EB54-4047-B42D-F526FD0E860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8" name="CaixaDeTexto 4">
          <a:extLst>
            <a:ext uri="{FF2B5EF4-FFF2-40B4-BE49-F238E27FC236}">
              <a16:creationId xmlns:a16="http://schemas.microsoft.com/office/drawing/2014/main" id="{AB6C8EC6-992A-4671-A9E7-18EED02AC9C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89" name="CaixaDeTexto 9">
          <a:extLst>
            <a:ext uri="{FF2B5EF4-FFF2-40B4-BE49-F238E27FC236}">
              <a16:creationId xmlns:a16="http://schemas.microsoft.com/office/drawing/2014/main" id="{5A4E339F-7505-4E33-B7E9-55F5410C380D}"/>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0" name="CaixaDeTexto 12">
          <a:extLst>
            <a:ext uri="{FF2B5EF4-FFF2-40B4-BE49-F238E27FC236}">
              <a16:creationId xmlns:a16="http://schemas.microsoft.com/office/drawing/2014/main" id="{BC3AAB78-E2D5-406C-88F8-C40944EFD24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1" name="CaixaDeTexto 14">
          <a:extLst>
            <a:ext uri="{FF2B5EF4-FFF2-40B4-BE49-F238E27FC236}">
              <a16:creationId xmlns:a16="http://schemas.microsoft.com/office/drawing/2014/main" id="{FDE3AA50-B8E1-4604-BD1E-846F5576809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2" name="CaixaDeTexto 16">
          <a:extLst>
            <a:ext uri="{FF2B5EF4-FFF2-40B4-BE49-F238E27FC236}">
              <a16:creationId xmlns:a16="http://schemas.microsoft.com/office/drawing/2014/main" id="{2329F366-D919-4A07-9C06-6B16CB5F949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3" name="CaixaDeTexto 18">
          <a:extLst>
            <a:ext uri="{FF2B5EF4-FFF2-40B4-BE49-F238E27FC236}">
              <a16:creationId xmlns:a16="http://schemas.microsoft.com/office/drawing/2014/main" id="{FD0328C4-4754-47D2-940A-47CAA1B672D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4" name="CaixaDeTexto 20">
          <a:extLst>
            <a:ext uri="{FF2B5EF4-FFF2-40B4-BE49-F238E27FC236}">
              <a16:creationId xmlns:a16="http://schemas.microsoft.com/office/drawing/2014/main" id="{F213318A-4C28-474B-A031-567C1B14077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5" name="CaixaDeTexto 21">
          <a:extLst>
            <a:ext uri="{FF2B5EF4-FFF2-40B4-BE49-F238E27FC236}">
              <a16:creationId xmlns:a16="http://schemas.microsoft.com/office/drawing/2014/main" id="{F8560B52-56B9-412F-AD5C-A1AE118A274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6" name="CaixaDeTexto 24">
          <a:extLst>
            <a:ext uri="{FF2B5EF4-FFF2-40B4-BE49-F238E27FC236}">
              <a16:creationId xmlns:a16="http://schemas.microsoft.com/office/drawing/2014/main" id="{E9705CCF-7D91-4AEA-9B29-A5B015B5AFBB}"/>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7" name="CaixaDeTexto 2">
          <a:extLst>
            <a:ext uri="{FF2B5EF4-FFF2-40B4-BE49-F238E27FC236}">
              <a16:creationId xmlns:a16="http://schemas.microsoft.com/office/drawing/2014/main" id="{C3DE6A5E-839F-4E17-8086-797DD87425D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8" name="CaixaDeTexto 4">
          <a:extLst>
            <a:ext uri="{FF2B5EF4-FFF2-40B4-BE49-F238E27FC236}">
              <a16:creationId xmlns:a16="http://schemas.microsoft.com/office/drawing/2014/main" id="{1421F834-02FA-4F25-AC4D-4D2695036E8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399" name="CaixaDeTexto 9">
          <a:extLst>
            <a:ext uri="{FF2B5EF4-FFF2-40B4-BE49-F238E27FC236}">
              <a16:creationId xmlns:a16="http://schemas.microsoft.com/office/drawing/2014/main" id="{99F585D6-F05A-41BB-8297-E532EBC2691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0" name="CaixaDeTexto 12">
          <a:extLst>
            <a:ext uri="{FF2B5EF4-FFF2-40B4-BE49-F238E27FC236}">
              <a16:creationId xmlns:a16="http://schemas.microsoft.com/office/drawing/2014/main" id="{FD3CF472-38E6-4B67-AB76-FD4324AC244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1" name="CaixaDeTexto 14">
          <a:extLst>
            <a:ext uri="{FF2B5EF4-FFF2-40B4-BE49-F238E27FC236}">
              <a16:creationId xmlns:a16="http://schemas.microsoft.com/office/drawing/2014/main" id="{5AD2FC3D-F6C0-4B24-AFF0-1EE8E54ADDB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2" name="CaixaDeTexto 16">
          <a:extLst>
            <a:ext uri="{FF2B5EF4-FFF2-40B4-BE49-F238E27FC236}">
              <a16:creationId xmlns:a16="http://schemas.microsoft.com/office/drawing/2014/main" id="{CEE5423D-61BF-41AB-BC37-4F909FA8B72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3" name="CaixaDeTexto 18">
          <a:extLst>
            <a:ext uri="{FF2B5EF4-FFF2-40B4-BE49-F238E27FC236}">
              <a16:creationId xmlns:a16="http://schemas.microsoft.com/office/drawing/2014/main" id="{F3E433FD-350A-4C51-AE48-538DC33EC895}"/>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4" name="CaixaDeTexto 20">
          <a:extLst>
            <a:ext uri="{FF2B5EF4-FFF2-40B4-BE49-F238E27FC236}">
              <a16:creationId xmlns:a16="http://schemas.microsoft.com/office/drawing/2014/main" id="{9880AF52-B08D-452E-A4CD-3B9B4CF4DE8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5" name="CaixaDeTexto 21">
          <a:extLst>
            <a:ext uri="{FF2B5EF4-FFF2-40B4-BE49-F238E27FC236}">
              <a16:creationId xmlns:a16="http://schemas.microsoft.com/office/drawing/2014/main" id="{82769E96-CD51-47AE-9BB5-03CB20CB2190}"/>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6" name="CaixaDeTexto 24">
          <a:extLst>
            <a:ext uri="{FF2B5EF4-FFF2-40B4-BE49-F238E27FC236}">
              <a16:creationId xmlns:a16="http://schemas.microsoft.com/office/drawing/2014/main" id="{B31F66E0-D22C-4FE1-9C6A-B87E2F157E9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7" name="CaixaDeTexto 2">
          <a:extLst>
            <a:ext uri="{FF2B5EF4-FFF2-40B4-BE49-F238E27FC236}">
              <a16:creationId xmlns:a16="http://schemas.microsoft.com/office/drawing/2014/main" id="{3707519C-F916-432B-B3F6-D16279C30020}"/>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8" name="CaixaDeTexto 4">
          <a:extLst>
            <a:ext uri="{FF2B5EF4-FFF2-40B4-BE49-F238E27FC236}">
              <a16:creationId xmlns:a16="http://schemas.microsoft.com/office/drawing/2014/main" id="{D8BA95A2-2ECD-4A33-B3C1-206E3B424133}"/>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09" name="CaixaDeTexto 9">
          <a:extLst>
            <a:ext uri="{FF2B5EF4-FFF2-40B4-BE49-F238E27FC236}">
              <a16:creationId xmlns:a16="http://schemas.microsoft.com/office/drawing/2014/main" id="{7019AED7-3D56-4B10-82E2-C1067D53D793}"/>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0" name="CaixaDeTexto 12">
          <a:extLst>
            <a:ext uri="{FF2B5EF4-FFF2-40B4-BE49-F238E27FC236}">
              <a16:creationId xmlns:a16="http://schemas.microsoft.com/office/drawing/2014/main" id="{FD4709AC-D08D-4F56-BF62-E6E5C857AB36}"/>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1" name="CaixaDeTexto 14">
          <a:extLst>
            <a:ext uri="{FF2B5EF4-FFF2-40B4-BE49-F238E27FC236}">
              <a16:creationId xmlns:a16="http://schemas.microsoft.com/office/drawing/2014/main" id="{15773FCD-068E-40AC-A469-F8909E9FB4F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2" name="CaixaDeTexto 16">
          <a:extLst>
            <a:ext uri="{FF2B5EF4-FFF2-40B4-BE49-F238E27FC236}">
              <a16:creationId xmlns:a16="http://schemas.microsoft.com/office/drawing/2014/main" id="{857BEA4E-5A06-48E4-8EC0-92FEF12CF980}"/>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3" name="CaixaDeTexto 18">
          <a:extLst>
            <a:ext uri="{FF2B5EF4-FFF2-40B4-BE49-F238E27FC236}">
              <a16:creationId xmlns:a16="http://schemas.microsoft.com/office/drawing/2014/main" id="{DCAA0F75-D8C7-470E-9ECA-960D4626786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4" name="CaixaDeTexto 20">
          <a:extLst>
            <a:ext uri="{FF2B5EF4-FFF2-40B4-BE49-F238E27FC236}">
              <a16:creationId xmlns:a16="http://schemas.microsoft.com/office/drawing/2014/main" id="{498142FD-30A6-45FB-BE48-53624405E67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5" name="CaixaDeTexto 21">
          <a:extLst>
            <a:ext uri="{FF2B5EF4-FFF2-40B4-BE49-F238E27FC236}">
              <a16:creationId xmlns:a16="http://schemas.microsoft.com/office/drawing/2014/main" id="{EA720FBF-3248-464B-9C7F-E5435FCBF1E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6" name="CaixaDeTexto 24">
          <a:extLst>
            <a:ext uri="{FF2B5EF4-FFF2-40B4-BE49-F238E27FC236}">
              <a16:creationId xmlns:a16="http://schemas.microsoft.com/office/drawing/2014/main" id="{B96832B8-D89C-4835-91EC-8EA66DF73D6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7" name="CaixaDeTexto 2">
          <a:extLst>
            <a:ext uri="{FF2B5EF4-FFF2-40B4-BE49-F238E27FC236}">
              <a16:creationId xmlns:a16="http://schemas.microsoft.com/office/drawing/2014/main" id="{47D68F5D-0684-4184-AD26-31D842FE450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8" name="CaixaDeTexto 4">
          <a:extLst>
            <a:ext uri="{FF2B5EF4-FFF2-40B4-BE49-F238E27FC236}">
              <a16:creationId xmlns:a16="http://schemas.microsoft.com/office/drawing/2014/main" id="{30C2C1A8-891E-48B2-BF57-605D60BEE64F}"/>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19" name="CaixaDeTexto 9">
          <a:extLst>
            <a:ext uri="{FF2B5EF4-FFF2-40B4-BE49-F238E27FC236}">
              <a16:creationId xmlns:a16="http://schemas.microsoft.com/office/drawing/2014/main" id="{FED5FF73-F8B9-4155-8AB1-88EA2B7AD77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0" name="CaixaDeTexto 12">
          <a:extLst>
            <a:ext uri="{FF2B5EF4-FFF2-40B4-BE49-F238E27FC236}">
              <a16:creationId xmlns:a16="http://schemas.microsoft.com/office/drawing/2014/main" id="{62488159-58AE-47B5-9656-4B643FC6EC5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1" name="CaixaDeTexto 14">
          <a:extLst>
            <a:ext uri="{FF2B5EF4-FFF2-40B4-BE49-F238E27FC236}">
              <a16:creationId xmlns:a16="http://schemas.microsoft.com/office/drawing/2014/main" id="{788944DA-6C66-4123-AA17-D274FE03F582}"/>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2" name="CaixaDeTexto 16">
          <a:extLst>
            <a:ext uri="{FF2B5EF4-FFF2-40B4-BE49-F238E27FC236}">
              <a16:creationId xmlns:a16="http://schemas.microsoft.com/office/drawing/2014/main" id="{F67D739A-E77F-4715-B978-099663AA515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3" name="CaixaDeTexto 18">
          <a:extLst>
            <a:ext uri="{FF2B5EF4-FFF2-40B4-BE49-F238E27FC236}">
              <a16:creationId xmlns:a16="http://schemas.microsoft.com/office/drawing/2014/main" id="{238D5C47-A87B-480F-927D-B85CD688619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4" name="CaixaDeTexto 20">
          <a:extLst>
            <a:ext uri="{FF2B5EF4-FFF2-40B4-BE49-F238E27FC236}">
              <a16:creationId xmlns:a16="http://schemas.microsoft.com/office/drawing/2014/main" id="{537AB965-2E05-48FC-A01D-120AFF335393}"/>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5" name="CaixaDeTexto 21">
          <a:extLst>
            <a:ext uri="{FF2B5EF4-FFF2-40B4-BE49-F238E27FC236}">
              <a16:creationId xmlns:a16="http://schemas.microsoft.com/office/drawing/2014/main" id="{B33CB5A5-3ECD-44FB-83A4-1E9D31667A2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6" name="CaixaDeTexto 2">
          <a:extLst>
            <a:ext uri="{FF2B5EF4-FFF2-40B4-BE49-F238E27FC236}">
              <a16:creationId xmlns:a16="http://schemas.microsoft.com/office/drawing/2014/main" id="{EBFEA23D-19D4-4319-843D-938A86CD17B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7" name="CaixaDeTexto 4">
          <a:extLst>
            <a:ext uri="{FF2B5EF4-FFF2-40B4-BE49-F238E27FC236}">
              <a16:creationId xmlns:a16="http://schemas.microsoft.com/office/drawing/2014/main" id="{A2FC3A63-7A19-4506-8382-DDAA19ED79BA}"/>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8" name="CaixaDeTexto 9">
          <a:extLst>
            <a:ext uri="{FF2B5EF4-FFF2-40B4-BE49-F238E27FC236}">
              <a16:creationId xmlns:a16="http://schemas.microsoft.com/office/drawing/2014/main" id="{D0088E41-0E31-4417-95DB-78F5B5A2B083}"/>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29" name="CaixaDeTexto 12">
          <a:extLst>
            <a:ext uri="{FF2B5EF4-FFF2-40B4-BE49-F238E27FC236}">
              <a16:creationId xmlns:a16="http://schemas.microsoft.com/office/drawing/2014/main" id="{EB281EA0-5DD6-4C6D-982E-EF33C7B80989}"/>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30" name="CaixaDeTexto 14">
          <a:extLst>
            <a:ext uri="{FF2B5EF4-FFF2-40B4-BE49-F238E27FC236}">
              <a16:creationId xmlns:a16="http://schemas.microsoft.com/office/drawing/2014/main" id="{A71D88E8-0877-4082-B0A5-1AC8B659251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31" name="CaixaDeTexto 16">
          <a:extLst>
            <a:ext uri="{FF2B5EF4-FFF2-40B4-BE49-F238E27FC236}">
              <a16:creationId xmlns:a16="http://schemas.microsoft.com/office/drawing/2014/main" id="{AAF4441D-2AD8-4462-9949-F0499FF0C1F4}"/>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32" name="CaixaDeTexto 18">
          <a:extLst>
            <a:ext uri="{FF2B5EF4-FFF2-40B4-BE49-F238E27FC236}">
              <a16:creationId xmlns:a16="http://schemas.microsoft.com/office/drawing/2014/main" id="{0F434309-2147-492A-A1DD-44A873D63741}"/>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33" name="CaixaDeTexto 20">
          <a:extLst>
            <a:ext uri="{FF2B5EF4-FFF2-40B4-BE49-F238E27FC236}">
              <a16:creationId xmlns:a16="http://schemas.microsoft.com/office/drawing/2014/main" id="{B0F3CE5D-2CB2-4858-A3D9-D199CCB6C888}"/>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34" name="CaixaDeTexto 21">
          <a:extLst>
            <a:ext uri="{FF2B5EF4-FFF2-40B4-BE49-F238E27FC236}">
              <a16:creationId xmlns:a16="http://schemas.microsoft.com/office/drawing/2014/main" id="{9FB0BD3E-86F8-448F-BFA4-334E5899111E}"/>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2</xdr:col>
      <xdr:colOff>561975</xdr:colOff>
      <xdr:row>247</xdr:row>
      <xdr:rowOff>0</xdr:rowOff>
    </xdr:from>
    <xdr:ext cx="184731" cy="273683"/>
    <xdr:sp macro="" textlink="">
      <xdr:nvSpPr>
        <xdr:cNvPr id="435" name="CaixaDeTexto 24">
          <a:extLst>
            <a:ext uri="{FF2B5EF4-FFF2-40B4-BE49-F238E27FC236}">
              <a16:creationId xmlns:a16="http://schemas.microsoft.com/office/drawing/2014/main" id="{30B3247B-ECF4-4CB8-AF20-E9D867BE68F7}"/>
            </a:ext>
          </a:extLst>
        </xdr:cNvPr>
        <xdr:cNvSpPr txBox="1"/>
      </xdr:nvSpPr>
      <xdr:spPr>
        <a:xfrm>
          <a:off x="30924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36" name="CaixaDeTexto 2">
          <a:extLst>
            <a:ext uri="{FF2B5EF4-FFF2-40B4-BE49-F238E27FC236}">
              <a16:creationId xmlns:a16="http://schemas.microsoft.com/office/drawing/2014/main" id="{D1D6ACF8-18C5-43D9-AEB5-71EC13DA12C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37" name="CaixaDeTexto 4">
          <a:extLst>
            <a:ext uri="{FF2B5EF4-FFF2-40B4-BE49-F238E27FC236}">
              <a16:creationId xmlns:a16="http://schemas.microsoft.com/office/drawing/2014/main" id="{14C2F4BE-1674-426F-91F7-3C8937DEED0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38" name="CaixaDeTexto 9">
          <a:extLst>
            <a:ext uri="{FF2B5EF4-FFF2-40B4-BE49-F238E27FC236}">
              <a16:creationId xmlns:a16="http://schemas.microsoft.com/office/drawing/2014/main" id="{5F535AC1-F4E1-4702-A3D7-FCCB4C7CE31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39" name="CaixaDeTexto 12">
          <a:extLst>
            <a:ext uri="{FF2B5EF4-FFF2-40B4-BE49-F238E27FC236}">
              <a16:creationId xmlns:a16="http://schemas.microsoft.com/office/drawing/2014/main" id="{197E87A0-A4EF-45B3-A1E5-3BA3E20EAC8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0" name="CaixaDeTexto 14">
          <a:extLst>
            <a:ext uri="{FF2B5EF4-FFF2-40B4-BE49-F238E27FC236}">
              <a16:creationId xmlns:a16="http://schemas.microsoft.com/office/drawing/2014/main" id="{3142D27B-D3AB-4846-8077-615F2B1BA78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1" name="CaixaDeTexto 16">
          <a:extLst>
            <a:ext uri="{FF2B5EF4-FFF2-40B4-BE49-F238E27FC236}">
              <a16:creationId xmlns:a16="http://schemas.microsoft.com/office/drawing/2014/main" id="{F13078D7-27CA-4F84-91FA-E313807C1FD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2" name="CaixaDeTexto 18">
          <a:extLst>
            <a:ext uri="{FF2B5EF4-FFF2-40B4-BE49-F238E27FC236}">
              <a16:creationId xmlns:a16="http://schemas.microsoft.com/office/drawing/2014/main" id="{B773567D-152B-44AB-AEC8-6B72DC8AB7C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3" name="CaixaDeTexto 20">
          <a:extLst>
            <a:ext uri="{FF2B5EF4-FFF2-40B4-BE49-F238E27FC236}">
              <a16:creationId xmlns:a16="http://schemas.microsoft.com/office/drawing/2014/main" id="{E5E38D92-6EBB-4EE6-8EED-C180456868B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4" name="CaixaDeTexto 21">
          <a:extLst>
            <a:ext uri="{FF2B5EF4-FFF2-40B4-BE49-F238E27FC236}">
              <a16:creationId xmlns:a16="http://schemas.microsoft.com/office/drawing/2014/main" id="{849DDDE2-5C22-418B-A89A-807E7840571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5" name="CaixaDeTexto 24">
          <a:extLst>
            <a:ext uri="{FF2B5EF4-FFF2-40B4-BE49-F238E27FC236}">
              <a16:creationId xmlns:a16="http://schemas.microsoft.com/office/drawing/2014/main" id="{8FA27A8C-3142-4B45-95FA-7FFB010B349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6" name="CaixaDeTexto 2">
          <a:extLst>
            <a:ext uri="{FF2B5EF4-FFF2-40B4-BE49-F238E27FC236}">
              <a16:creationId xmlns:a16="http://schemas.microsoft.com/office/drawing/2014/main" id="{DF9895E0-74E4-4C0C-9FF9-74BDC399A9B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7" name="CaixaDeTexto 4">
          <a:extLst>
            <a:ext uri="{FF2B5EF4-FFF2-40B4-BE49-F238E27FC236}">
              <a16:creationId xmlns:a16="http://schemas.microsoft.com/office/drawing/2014/main" id="{CC261ED9-B0C3-4D83-A46C-90F0F738C75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8" name="CaixaDeTexto 9">
          <a:extLst>
            <a:ext uri="{FF2B5EF4-FFF2-40B4-BE49-F238E27FC236}">
              <a16:creationId xmlns:a16="http://schemas.microsoft.com/office/drawing/2014/main" id="{FCC2D2A2-2270-4723-B48B-3E5EA9FA689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49" name="CaixaDeTexto 12">
          <a:extLst>
            <a:ext uri="{FF2B5EF4-FFF2-40B4-BE49-F238E27FC236}">
              <a16:creationId xmlns:a16="http://schemas.microsoft.com/office/drawing/2014/main" id="{3867C68A-E044-4166-BA82-A061AB42400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0" name="CaixaDeTexto 14">
          <a:extLst>
            <a:ext uri="{FF2B5EF4-FFF2-40B4-BE49-F238E27FC236}">
              <a16:creationId xmlns:a16="http://schemas.microsoft.com/office/drawing/2014/main" id="{87A118DB-D16A-4055-8BAD-665B1C0D4C0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1" name="CaixaDeTexto 16">
          <a:extLst>
            <a:ext uri="{FF2B5EF4-FFF2-40B4-BE49-F238E27FC236}">
              <a16:creationId xmlns:a16="http://schemas.microsoft.com/office/drawing/2014/main" id="{F85852DD-60F7-47FF-9272-C1F95CD9C44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2" name="CaixaDeTexto 18">
          <a:extLst>
            <a:ext uri="{FF2B5EF4-FFF2-40B4-BE49-F238E27FC236}">
              <a16:creationId xmlns:a16="http://schemas.microsoft.com/office/drawing/2014/main" id="{8014E3C5-1BFA-4B63-B9C7-D90275089B3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3" name="CaixaDeTexto 20">
          <a:extLst>
            <a:ext uri="{FF2B5EF4-FFF2-40B4-BE49-F238E27FC236}">
              <a16:creationId xmlns:a16="http://schemas.microsoft.com/office/drawing/2014/main" id="{B560080C-A2DC-4CA1-B385-BDE4A2CE838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4" name="CaixaDeTexto 21">
          <a:extLst>
            <a:ext uri="{FF2B5EF4-FFF2-40B4-BE49-F238E27FC236}">
              <a16:creationId xmlns:a16="http://schemas.microsoft.com/office/drawing/2014/main" id="{88E14763-1BC4-491F-A59D-FA94D819A70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5" name="CaixaDeTexto 2">
          <a:extLst>
            <a:ext uri="{FF2B5EF4-FFF2-40B4-BE49-F238E27FC236}">
              <a16:creationId xmlns:a16="http://schemas.microsoft.com/office/drawing/2014/main" id="{310DE8C2-04DC-4C42-9F8B-2F6964A6AF5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6" name="CaixaDeTexto 4">
          <a:extLst>
            <a:ext uri="{FF2B5EF4-FFF2-40B4-BE49-F238E27FC236}">
              <a16:creationId xmlns:a16="http://schemas.microsoft.com/office/drawing/2014/main" id="{C2899865-7CC1-4C56-9D90-3B56505271B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7" name="CaixaDeTexto 9">
          <a:extLst>
            <a:ext uri="{FF2B5EF4-FFF2-40B4-BE49-F238E27FC236}">
              <a16:creationId xmlns:a16="http://schemas.microsoft.com/office/drawing/2014/main" id="{2B957479-07B1-4083-AF00-2E5F8DA55C3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8" name="CaixaDeTexto 12">
          <a:extLst>
            <a:ext uri="{FF2B5EF4-FFF2-40B4-BE49-F238E27FC236}">
              <a16:creationId xmlns:a16="http://schemas.microsoft.com/office/drawing/2014/main" id="{3F599CAB-1A11-4D7B-9980-938B0EC50AB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59" name="CaixaDeTexto 14">
          <a:extLst>
            <a:ext uri="{FF2B5EF4-FFF2-40B4-BE49-F238E27FC236}">
              <a16:creationId xmlns:a16="http://schemas.microsoft.com/office/drawing/2014/main" id="{11F01253-3BFF-4073-ABB9-69BA22FCDAE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0" name="CaixaDeTexto 16">
          <a:extLst>
            <a:ext uri="{FF2B5EF4-FFF2-40B4-BE49-F238E27FC236}">
              <a16:creationId xmlns:a16="http://schemas.microsoft.com/office/drawing/2014/main" id="{21553C60-9186-46DB-9C8F-AE8257CBDFB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1" name="CaixaDeTexto 18">
          <a:extLst>
            <a:ext uri="{FF2B5EF4-FFF2-40B4-BE49-F238E27FC236}">
              <a16:creationId xmlns:a16="http://schemas.microsoft.com/office/drawing/2014/main" id="{1A5D3A39-5F4D-4AAD-99D2-2D52095CCEC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2" name="CaixaDeTexto 20">
          <a:extLst>
            <a:ext uri="{FF2B5EF4-FFF2-40B4-BE49-F238E27FC236}">
              <a16:creationId xmlns:a16="http://schemas.microsoft.com/office/drawing/2014/main" id="{79D68E98-2B4E-4B2F-BBC5-F23CB37E33E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3" name="CaixaDeTexto 21">
          <a:extLst>
            <a:ext uri="{FF2B5EF4-FFF2-40B4-BE49-F238E27FC236}">
              <a16:creationId xmlns:a16="http://schemas.microsoft.com/office/drawing/2014/main" id="{A4A6BDCA-0863-4B52-BF05-F0C8FC40DD4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4" name="CaixaDeTexto 24">
          <a:extLst>
            <a:ext uri="{FF2B5EF4-FFF2-40B4-BE49-F238E27FC236}">
              <a16:creationId xmlns:a16="http://schemas.microsoft.com/office/drawing/2014/main" id="{07EEA938-6411-4586-B29D-7FD94861D26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5" name="CaixaDeTexto 2">
          <a:extLst>
            <a:ext uri="{FF2B5EF4-FFF2-40B4-BE49-F238E27FC236}">
              <a16:creationId xmlns:a16="http://schemas.microsoft.com/office/drawing/2014/main" id="{16DB7C14-F58D-456D-9F65-6F413B3A3AF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6" name="CaixaDeTexto 4">
          <a:extLst>
            <a:ext uri="{FF2B5EF4-FFF2-40B4-BE49-F238E27FC236}">
              <a16:creationId xmlns:a16="http://schemas.microsoft.com/office/drawing/2014/main" id="{E8E51BCE-9945-41E8-BD49-CF0ECD867E8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7" name="CaixaDeTexto 9">
          <a:extLst>
            <a:ext uri="{FF2B5EF4-FFF2-40B4-BE49-F238E27FC236}">
              <a16:creationId xmlns:a16="http://schemas.microsoft.com/office/drawing/2014/main" id="{ECC992AB-8423-4F7E-BE0A-78165F7CEE0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8" name="CaixaDeTexto 12">
          <a:extLst>
            <a:ext uri="{FF2B5EF4-FFF2-40B4-BE49-F238E27FC236}">
              <a16:creationId xmlns:a16="http://schemas.microsoft.com/office/drawing/2014/main" id="{20F93E31-C647-4975-988F-0CFC516E19B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69" name="CaixaDeTexto 14">
          <a:extLst>
            <a:ext uri="{FF2B5EF4-FFF2-40B4-BE49-F238E27FC236}">
              <a16:creationId xmlns:a16="http://schemas.microsoft.com/office/drawing/2014/main" id="{7416D12D-1CAD-4B94-9355-2C7918493B2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0" name="CaixaDeTexto 16">
          <a:extLst>
            <a:ext uri="{FF2B5EF4-FFF2-40B4-BE49-F238E27FC236}">
              <a16:creationId xmlns:a16="http://schemas.microsoft.com/office/drawing/2014/main" id="{0570EF66-560E-47D3-891B-D2A8FBD6E48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1" name="CaixaDeTexto 18">
          <a:extLst>
            <a:ext uri="{FF2B5EF4-FFF2-40B4-BE49-F238E27FC236}">
              <a16:creationId xmlns:a16="http://schemas.microsoft.com/office/drawing/2014/main" id="{A31D54CC-5D42-4CAC-A1CA-F6BFEE2DBD0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2" name="CaixaDeTexto 20">
          <a:extLst>
            <a:ext uri="{FF2B5EF4-FFF2-40B4-BE49-F238E27FC236}">
              <a16:creationId xmlns:a16="http://schemas.microsoft.com/office/drawing/2014/main" id="{050343AA-C967-448A-BD76-BA15E31C264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3" name="CaixaDeTexto 21">
          <a:extLst>
            <a:ext uri="{FF2B5EF4-FFF2-40B4-BE49-F238E27FC236}">
              <a16:creationId xmlns:a16="http://schemas.microsoft.com/office/drawing/2014/main" id="{FF861134-31DE-498D-80A2-67A541F49DB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4" name="CaixaDeTexto 24">
          <a:extLst>
            <a:ext uri="{FF2B5EF4-FFF2-40B4-BE49-F238E27FC236}">
              <a16:creationId xmlns:a16="http://schemas.microsoft.com/office/drawing/2014/main" id="{75C4CAAA-DE04-4FBA-9C9D-B6CAE98B948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5" name="CaixaDeTexto 2">
          <a:extLst>
            <a:ext uri="{FF2B5EF4-FFF2-40B4-BE49-F238E27FC236}">
              <a16:creationId xmlns:a16="http://schemas.microsoft.com/office/drawing/2014/main" id="{761B0988-2D20-4C4D-9428-4FB6A31A2AD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6" name="CaixaDeTexto 4">
          <a:extLst>
            <a:ext uri="{FF2B5EF4-FFF2-40B4-BE49-F238E27FC236}">
              <a16:creationId xmlns:a16="http://schemas.microsoft.com/office/drawing/2014/main" id="{F45D79EA-A0F8-437E-A9DA-77CC0A5A4FE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7" name="CaixaDeTexto 9">
          <a:extLst>
            <a:ext uri="{FF2B5EF4-FFF2-40B4-BE49-F238E27FC236}">
              <a16:creationId xmlns:a16="http://schemas.microsoft.com/office/drawing/2014/main" id="{FF918098-0D5F-4C07-9906-2596DFA53F9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8" name="CaixaDeTexto 12">
          <a:extLst>
            <a:ext uri="{FF2B5EF4-FFF2-40B4-BE49-F238E27FC236}">
              <a16:creationId xmlns:a16="http://schemas.microsoft.com/office/drawing/2014/main" id="{4E4BB1EA-4847-42F6-A049-DB69DF55C07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79" name="CaixaDeTexto 14">
          <a:extLst>
            <a:ext uri="{FF2B5EF4-FFF2-40B4-BE49-F238E27FC236}">
              <a16:creationId xmlns:a16="http://schemas.microsoft.com/office/drawing/2014/main" id="{E427F072-6FE5-42F3-B14F-0BEAECFAB95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0" name="CaixaDeTexto 16">
          <a:extLst>
            <a:ext uri="{FF2B5EF4-FFF2-40B4-BE49-F238E27FC236}">
              <a16:creationId xmlns:a16="http://schemas.microsoft.com/office/drawing/2014/main" id="{38FF0529-BE3D-462B-81AF-BDE7C137B30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1" name="CaixaDeTexto 18">
          <a:extLst>
            <a:ext uri="{FF2B5EF4-FFF2-40B4-BE49-F238E27FC236}">
              <a16:creationId xmlns:a16="http://schemas.microsoft.com/office/drawing/2014/main" id="{A330158A-5058-4C5A-BE9D-994B2768645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2" name="CaixaDeTexto 20">
          <a:extLst>
            <a:ext uri="{FF2B5EF4-FFF2-40B4-BE49-F238E27FC236}">
              <a16:creationId xmlns:a16="http://schemas.microsoft.com/office/drawing/2014/main" id="{40B92018-D1F7-44E4-8DA0-0033E211CDC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3" name="CaixaDeTexto 21">
          <a:extLst>
            <a:ext uri="{FF2B5EF4-FFF2-40B4-BE49-F238E27FC236}">
              <a16:creationId xmlns:a16="http://schemas.microsoft.com/office/drawing/2014/main" id="{24E1635E-6E8A-41D8-B191-B58DF2676AE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4" name="CaixaDeTexto 2">
          <a:extLst>
            <a:ext uri="{FF2B5EF4-FFF2-40B4-BE49-F238E27FC236}">
              <a16:creationId xmlns:a16="http://schemas.microsoft.com/office/drawing/2014/main" id="{39496C3D-347C-4A0B-BBB6-5485C51C310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5" name="CaixaDeTexto 4">
          <a:extLst>
            <a:ext uri="{FF2B5EF4-FFF2-40B4-BE49-F238E27FC236}">
              <a16:creationId xmlns:a16="http://schemas.microsoft.com/office/drawing/2014/main" id="{163339DA-ABF9-4380-B0F0-8292D836952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6" name="CaixaDeTexto 9">
          <a:extLst>
            <a:ext uri="{FF2B5EF4-FFF2-40B4-BE49-F238E27FC236}">
              <a16:creationId xmlns:a16="http://schemas.microsoft.com/office/drawing/2014/main" id="{506566E0-8505-48A9-BF27-4B929075FA1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7" name="CaixaDeTexto 12">
          <a:extLst>
            <a:ext uri="{FF2B5EF4-FFF2-40B4-BE49-F238E27FC236}">
              <a16:creationId xmlns:a16="http://schemas.microsoft.com/office/drawing/2014/main" id="{CAA53DF1-910F-4435-93C3-20D9D164E3B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8" name="CaixaDeTexto 14">
          <a:extLst>
            <a:ext uri="{FF2B5EF4-FFF2-40B4-BE49-F238E27FC236}">
              <a16:creationId xmlns:a16="http://schemas.microsoft.com/office/drawing/2014/main" id="{29532BD5-2340-4E76-8712-A37D95A113F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89" name="CaixaDeTexto 16">
          <a:extLst>
            <a:ext uri="{FF2B5EF4-FFF2-40B4-BE49-F238E27FC236}">
              <a16:creationId xmlns:a16="http://schemas.microsoft.com/office/drawing/2014/main" id="{35CA617C-3DB8-43E4-B7C8-8E08B322FF2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0" name="CaixaDeTexto 18">
          <a:extLst>
            <a:ext uri="{FF2B5EF4-FFF2-40B4-BE49-F238E27FC236}">
              <a16:creationId xmlns:a16="http://schemas.microsoft.com/office/drawing/2014/main" id="{CA829A94-C24B-436B-A1E9-76D6A586A27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1" name="CaixaDeTexto 20">
          <a:extLst>
            <a:ext uri="{FF2B5EF4-FFF2-40B4-BE49-F238E27FC236}">
              <a16:creationId xmlns:a16="http://schemas.microsoft.com/office/drawing/2014/main" id="{3A416888-D86D-402F-8EFB-BF2A9316FD8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2" name="CaixaDeTexto 21">
          <a:extLst>
            <a:ext uri="{FF2B5EF4-FFF2-40B4-BE49-F238E27FC236}">
              <a16:creationId xmlns:a16="http://schemas.microsoft.com/office/drawing/2014/main" id="{AEC0747E-A8B5-4369-A3F8-D9D6ABD60EC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3" name="CaixaDeTexto 24">
          <a:extLst>
            <a:ext uri="{FF2B5EF4-FFF2-40B4-BE49-F238E27FC236}">
              <a16:creationId xmlns:a16="http://schemas.microsoft.com/office/drawing/2014/main" id="{8CAF960C-45EE-40B1-BF66-2F7F0FEB706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4" name="CaixaDeTexto 2">
          <a:extLst>
            <a:ext uri="{FF2B5EF4-FFF2-40B4-BE49-F238E27FC236}">
              <a16:creationId xmlns:a16="http://schemas.microsoft.com/office/drawing/2014/main" id="{064A9FD6-F817-4FE5-85B3-6957106B25E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5" name="CaixaDeTexto 4">
          <a:extLst>
            <a:ext uri="{FF2B5EF4-FFF2-40B4-BE49-F238E27FC236}">
              <a16:creationId xmlns:a16="http://schemas.microsoft.com/office/drawing/2014/main" id="{64C56AFD-42A1-4CB5-8BB7-AA71ACFBB3B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6" name="CaixaDeTexto 9">
          <a:extLst>
            <a:ext uri="{FF2B5EF4-FFF2-40B4-BE49-F238E27FC236}">
              <a16:creationId xmlns:a16="http://schemas.microsoft.com/office/drawing/2014/main" id="{ED8061B0-4327-4983-BFDE-39A4D0D1FF0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7" name="CaixaDeTexto 12">
          <a:extLst>
            <a:ext uri="{FF2B5EF4-FFF2-40B4-BE49-F238E27FC236}">
              <a16:creationId xmlns:a16="http://schemas.microsoft.com/office/drawing/2014/main" id="{46C19468-7F72-42A0-92A7-B61888E77A1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8" name="CaixaDeTexto 14">
          <a:extLst>
            <a:ext uri="{FF2B5EF4-FFF2-40B4-BE49-F238E27FC236}">
              <a16:creationId xmlns:a16="http://schemas.microsoft.com/office/drawing/2014/main" id="{6FC180FE-AFB0-4619-8482-B00DA7A85C6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499" name="CaixaDeTexto 16">
          <a:extLst>
            <a:ext uri="{FF2B5EF4-FFF2-40B4-BE49-F238E27FC236}">
              <a16:creationId xmlns:a16="http://schemas.microsoft.com/office/drawing/2014/main" id="{48BA1E8A-6EF7-4178-A18C-79C0950FCB6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0" name="CaixaDeTexto 18">
          <a:extLst>
            <a:ext uri="{FF2B5EF4-FFF2-40B4-BE49-F238E27FC236}">
              <a16:creationId xmlns:a16="http://schemas.microsoft.com/office/drawing/2014/main" id="{2F4B20FF-2807-40A8-A2AB-98F6A5E56EF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1" name="CaixaDeTexto 20">
          <a:extLst>
            <a:ext uri="{FF2B5EF4-FFF2-40B4-BE49-F238E27FC236}">
              <a16:creationId xmlns:a16="http://schemas.microsoft.com/office/drawing/2014/main" id="{8C0F4C69-9E8B-4562-B0C6-5EE47B15D73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2" name="CaixaDeTexto 21">
          <a:extLst>
            <a:ext uri="{FF2B5EF4-FFF2-40B4-BE49-F238E27FC236}">
              <a16:creationId xmlns:a16="http://schemas.microsoft.com/office/drawing/2014/main" id="{F1E33A7B-0F6C-454E-871C-3A555C744B8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3" name="CaixaDeTexto 24">
          <a:extLst>
            <a:ext uri="{FF2B5EF4-FFF2-40B4-BE49-F238E27FC236}">
              <a16:creationId xmlns:a16="http://schemas.microsoft.com/office/drawing/2014/main" id="{FCE52E56-3F31-46B7-874D-13BEC61572B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4" name="CaixaDeTexto 2">
          <a:extLst>
            <a:ext uri="{FF2B5EF4-FFF2-40B4-BE49-F238E27FC236}">
              <a16:creationId xmlns:a16="http://schemas.microsoft.com/office/drawing/2014/main" id="{02C1F54F-FB79-413D-AF8C-F30B303CFC6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5" name="CaixaDeTexto 4">
          <a:extLst>
            <a:ext uri="{FF2B5EF4-FFF2-40B4-BE49-F238E27FC236}">
              <a16:creationId xmlns:a16="http://schemas.microsoft.com/office/drawing/2014/main" id="{EC8E337A-B125-4AD2-B6DF-7561ED7682B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6" name="CaixaDeTexto 9">
          <a:extLst>
            <a:ext uri="{FF2B5EF4-FFF2-40B4-BE49-F238E27FC236}">
              <a16:creationId xmlns:a16="http://schemas.microsoft.com/office/drawing/2014/main" id="{5B01A585-897D-4B90-957F-11F91D78E65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7" name="CaixaDeTexto 12">
          <a:extLst>
            <a:ext uri="{FF2B5EF4-FFF2-40B4-BE49-F238E27FC236}">
              <a16:creationId xmlns:a16="http://schemas.microsoft.com/office/drawing/2014/main" id="{966221E6-AEA6-4EDE-8556-A332F98168A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8" name="CaixaDeTexto 14">
          <a:extLst>
            <a:ext uri="{FF2B5EF4-FFF2-40B4-BE49-F238E27FC236}">
              <a16:creationId xmlns:a16="http://schemas.microsoft.com/office/drawing/2014/main" id="{BC9E09B9-8974-4655-9CBF-E4CA06BE118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09" name="CaixaDeTexto 16">
          <a:extLst>
            <a:ext uri="{FF2B5EF4-FFF2-40B4-BE49-F238E27FC236}">
              <a16:creationId xmlns:a16="http://schemas.microsoft.com/office/drawing/2014/main" id="{B8A02C04-A6BF-46BA-A050-DAE33D699AB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0" name="CaixaDeTexto 18">
          <a:extLst>
            <a:ext uri="{FF2B5EF4-FFF2-40B4-BE49-F238E27FC236}">
              <a16:creationId xmlns:a16="http://schemas.microsoft.com/office/drawing/2014/main" id="{5938EE1B-F2D2-4714-B7F6-46521053C8C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1" name="CaixaDeTexto 20">
          <a:extLst>
            <a:ext uri="{FF2B5EF4-FFF2-40B4-BE49-F238E27FC236}">
              <a16:creationId xmlns:a16="http://schemas.microsoft.com/office/drawing/2014/main" id="{E79A495C-6BB5-43D2-B679-70EE17CC884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2" name="CaixaDeTexto 21">
          <a:extLst>
            <a:ext uri="{FF2B5EF4-FFF2-40B4-BE49-F238E27FC236}">
              <a16:creationId xmlns:a16="http://schemas.microsoft.com/office/drawing/2014/main" id="{B087F6D7-F390-4FED-97ED-111FE729B0E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3" name="CaixaDeTexto 24">
          <a:extLst>
            <a:ext uri="{FF2B5EF4-FFF2-40B4-BE49-F238E27FC236}">
              <a16:creationId xmlns:a16="http://schemas.microsoft.com/office/drawing/2014/main" id="{ED9CA02B-C88B-458A-A3B6-62BF417BF07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4" name="CaixaDeTexto 2">
          <a:extLst>
            <a:ext uri="{FF2B5EF4-FFF2-40B4-BE49-F238E27FC236}">
              <a16:creationId xmlns:a16="http://schemas.microsoft.com/office/drawing/2014/main" id="{2887E843-FF1E-4267-B4BE-D64D88F781D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5" name="CaixaDeTexto 4">
          <a:extLst>
            <a:ext uri="{FF2B5EF4-FFF2-40B4-BE49-F238E27FC236}">
              <a16:creationId xmlns:a16="http://schemas.microsoft.com/office/drawing/2014/main" id="{14F94CDD-CC0A-4911-AAC8-93AF9F9CA44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6" name="CaixaDeTexto 9">
          <a:extLst>
            <a:ext uri="{FF2B5EF4-FFF2-40B4-BE49-F238E27FC236}">
              <a16:creationId xmlns:a16="http://schemas.microsoft.com/office/drawing/2014/main" id="{BE9B90DD-2655-48F0-BD00-4552F2629AA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7" name="CaixaDeTexto 12">
          <a:extLst>
            <a:ext uri="{FF2B5EF4-FFF2-40B4-BE49-F238E27FC236}">
              <a16:creationId xmlns:a16="http://schemas.microsoft.com/office/drawing/2014/main" id="{BD43BB5B-3A40-4E5B-A043-0617072FF3E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8" name="CaixaDeTexto 14">
          <a:extLst>
            <a:ext uri="{FF2B5EF4-FFF2-40B4-BE49-F238E27FC236}">
              <a16:creationId xmlns:a16="http://schemas.microsoft.com/office/drawing/2014/main" id="{EE6D53F2-4B6A-41E9-A20C-1165C8C67C4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19" name="CaixaDeTexto 16">
          <a:extLst>
            <a:ext uri="{FF2B5EF4-FFF2-40B4-BE49-F238E27FC236}">
              <a16:creationId xmlns:a16="http://schemas.microsoft.com/office/drawing/2014/main" id="{B3DCFCDA-AE26-4D16-8F38-FB6BC2CF7C6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0" name="CaixaDeTexto 18">
          <a:extLst>
            <a:ext uri="{FF2B5EF4-FFF2-40B4-BE49-F238E27FC236}">
              <a16:creationId xmlns:a16="http://schemas.microsoft.com/office/drawing/2014/main" id="{5D2BC27F-F09D-4808-A759-38C9FAC4D06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1" name="CaixaDeTexto 20">
          <a:extLst>
            <a:ext uri="{FF2B5EF4-FFF2-40B4-BE49-F238E27FC236}">
              <a16:creationId xmlns:a16="http://schemas.microsoft.com/office/drawing/2014/main" id="{BD8DD1EF-8A36-4A4D-B6BE-9C6493BB017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2" name="CaixaDeTexto 2">
          <a:extLst>
            <a:ext uri="{FF2B5EF4-FFF2-40B4-BE49-F238E27FC236}">
              <a16:creationId xmlns:a16="http://schemas.microsoft.com/office/drawing/2014/main" id="{DE42597E-1BFB-470C-B1F0-63C7F621A16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3" name="CaixaDeTexto 4">
          <a:extLst>
            <a:ext uri="{FF2B5EF4-FFF2-40B4-BE49-F238E27FC236}">
              <a16:creationId xmlns:a16="http://schemas.microsoft.com/office/drawing/2014/main" id="{48F8C97D-4D3F-41E3-8C76-B7780FCC989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4" name="CaixaDeTexto 9">
          <a:extLst>
            <a:ext uri="{FF2B5EF4-FFF2-40B4-BE49-F238E27FC236}">
              <a16:creationId xmlns:a16="http://schemas.microsoft.com/office/drawing/2014/main" id="{4EA71EF6-C85A-489A-A674-1654E66DFC5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5" name="CaixaDeTexto 12">
          <a:extLst>
            <a:ext uri="{FF2B5EF4-FFF2-40B4-BE49-F238E27FC236}">
              <a16:creationId xmlns:a16="http://schemas.microsoft.com/office/drawing/2014/main" id="{9FAF3F99-EC60-457C-AECC-2511706E40C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6" name="CaixaDeTexto 14">
          <a:extLst>
            <a:ext uri="{FF2B5EF4-FFF2-40B4-BE49-F238E27FC236}">
              <a16:creationId xmlns:a16="http://schemas.microsoft.com/office/drawing/2014/main" id="{BF31E6DF-1978-4902-BF95-6C2554141F6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7" name="CaixaDeTexto 16">
          <a:extLst>
            <a:ext uri="{FF2B5EF4-FFF2-40B4-BE49-F238E27FC236}">
              <a16:creationId xmlns:a16="http://schemas.microsoft.com/office/drawing/2014/main" id="{818E7488-8256-4244-8CE8-BEA10FCF3BC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8" name="CaixaDeTexto 18">
          <a:extLst>
            <a:ext uri="{FF2B5EF4-FFF2-40B4-BE49-F238E27FC236}">
              <a16:creationId xmlns:a16="http://schemas.microsoft.com/office/drawing/2014/main" id="{749CE6B7-4395-4519-9EB0-7ACBA335298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29" name="CaixaDeTexto 20">
          <a:extLst>
            <a:ext uri="{FF2B5EF4-FFF2-40B4-BE49-F238E27FC236}">
              <a16:creationId xmlns:a16="http://schemas.microsoft.com/office/drawing/2014/main" id="{32461FEA-D713-42AA-A261-32E4D793DCF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0" name="CaixaDeTexto 21">
          <a:extLst>
            <a:ext uri="{FF2B5EF4-FFF2-40B4-BE49-F238E27FC236}">
              <a16:creationId xmlns:a16="http://schemas.microsoft.com/office/drawing/2014/main" id="{225371E7-C56F-4D57-884B-00FF3A6849C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1" name="CaixaDeTexto 24">
          <a:extLst>
            <a:ext uri="{FF2B5EF4-FFF2-40B4-BE49-F238E27FC236}">
              <a16:creationId xmlns:a16="http://schemas.microsoft.com/office/drawing/2014/main" id="{04F5CB11-60BB-44ED-A776-B5ADD40F226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2" name="CaixaDeTexto 2">
          <a:extLst>
            <a:ext uri="{FF2B5EF4-FFF2-40B4-BE49-F238E27FC236}">
              <a16:creationId xmlns:a16="http://schemas.microsoft.com/office/drawing/2014/main" id="{72CE699D-E584-46DF-9A6F-EBF180DC2F4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3" name="CaixaDeTexto 4">
          <a:extLst>
            <a:ext uri="{FF2B5EF4-FFF2-40B4-BE49-F238E27FC236}">
              <a16:creationId xmlns:a16="http://schemas.microsoft.com/office/drawing/2014/main" id="{87B3D536-E57F-4B44-9BB2-F15E6C9637B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4" name="CaixaDeTexto 9">
          <a:extLst>
            <a:ext uri="{FF2B5EF4-FFF2-40B4-BE49-F238E27FC236}">
              <a16:creationId xmlns:a16="http://schemas.microsoft.com/office/drawing/2014/main" id="{BF00D570-FDE6-4501-AEB6-C37A8D0010E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5" name="CaixaDeTexto 12">
          <a:extLst>
            <a:ext uri="{FF2B5EF4-FFF2-40B4-BE49-F238E27FC236}">
              <a16:creationId xmlns:a16="http://schemas.microsoft.com/office/drawing/2014/main" id="{D8477899-8ECE-48D8-B80B-9F9F219DD2E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6" name="CaixaDeTexto 14">
          <a:extLst>
            <a:ext uri="{FF2B5EF4-FFF2-40B4-BE49-F238E27FC236}">
              <a16:creationId xmlns:a16="http://schemas.microsoft.com/office/drawing/2014/main" id="{4B5818B1-7B72-4392-ACD1-D1383980881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7" name="CaixaDeTexto 16">
          <a:extLst>
            <a:ext uri="{FF2B5EF4-FFF2-40B4-BE49-F238E27FC236}">
              <a16:creationId xmlns:a16="http://schemas.microsoft.com/office/drawing/2014/main" id="{33BC8614-7741-4738-849B-1B64B8AE22C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8" name="CaixaDeTexto 18">
          <a:extLst>
            <a:ext uri="{FF2B5EF4-FFF2-40B4-BE49-F238E27FC236}">
              <a16:creationId xmlns:a16="http://schemas.microsoft.com/office/drawing/2014/main" id="{88B82910-CDD1-44D5-B51C-6C029397650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39" name="CaixaDeTexto 20">
          <a:extLst>
            <a:ext uri="{FF2B5EF4-FFF2-40B4-BE49-F238E27FC236}">
              <a16:creationId xmlns:a16="http://schemas.microsoft.com/office/drawing/2014/main" id="{EB3352B0-FB97-42A2-877C-F9BB6847F92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0" name="CaixaDeTexto 2">
          <a:extLst>
            <a:ext uri="{FF2B5EF4-FFF2-40B4-BE49-F238E27FC236}">
              <a16:creationId xmlns:a16="http://schemas.microsoft.com/office/drawing/2014/main" id="{F8CCB3AC-5887-41CD-A48E-91F9DD90BF6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1" name="CaixaDeTexto 4">
          <a:extLst>
            <a:ext uri="{FF2B5EF4-FFF2-40B4-BE49-F238E27FC236}">
              <a16:creationId xmlns:a16="http://schemas.microsoft.com/office/drawing/2014/main" id="{4584EA0C-C757-4E8C-AA5F-D5F66F22C0E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2" name="CaixaDeTexto 9">
          <a:extLst>
            <a:ext uri="{FF2B5EF4-FFF2-40B4-BE49-F238E27FC236}">
              <a16:creationId xmlns:a16="http://schemas.microsoft.com/office/drawing/2014/main" id="{9DF20F06-13A8-454B-ABCC-7DD795CEB82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3" name="CaixaDeTexto 12">
          <a:extLst>
            <a:ext uri="{FF2B5EF4-FFF2-40B4-BE49-F238E27FC236}">
              <a16:creationId xmlns:a16="http://schemas.microsoft.com/office/drawing/2014/main" id="{0685A598-F156-4546-9645-77970CDB767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4" name="CaixaDeTexto 14">
          <a:extLst>
            <a:ext uri="{FF2B5EF4-FFF2-40B4-BE49-F238E27FC236}">
              <a16:creationId xmlns:a16="http://schemas.microsoft.com/office/drawing/2014/main" id="{E845345A-BD65-4BBD-A1B3-F73051746CB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5" name="CaixaDeTexto 16">
          <a:extLst>
            <a:ext uri="{FF2B5EF4-FFF2-40B4-BE49-F238E27FC236}">
              <a16:creationId xmlns:a16="http://schemas.microsoft.com/office/drawing/2014/main" id="{4AF385EC-AEF9-4751-B1EE-B39A90B42F0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6" name="CaixaDeTexto 18">
          <a:extLst>
            <a:ext uri="{FF2B5EF4-FFF2-40B4-BE49-F238E27FC236}">
              <a16:creationId xmlns:a16="http://schemas.microsoft.com/office/drawing/2014/main" id="{212BB468-2D44-4E2B-936F-10AA99E09B7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7" name="CaixaDeTexto 20">
          <a:extLst>
            <a:ext uri="{FF2B5EF4-FFF2-40B4-BE49-F238E27FC236}">
              <a16:creationId xmlns:a16="http://schemas.microsoft.com/office/drawing/2014/main" id="{177AF500-DBE1-4862-871C-3CC378AF585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8" name="CaixaDeTexto 21">
          <a:extLst>
            <a:ext uri="{FF2B5EF4-FFF2-40B4-BE49-F238E27FC236}">
              <a16:creationId xmlns:a16="http://schemas.microsoft.com/office/drawing/2014/main" id="{218FA906-5ABB-480C-B3BB-A7B276A069C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49" name="CaixaDeTexto 24">
          <a:extLst>
            <a:ext uri="{FF2B5EF4-FFF2-40B4-BE49-F238E27FC236}">
              <a16:creationId xmlns:a16="http://schemas.microsoft.com/office/drawing/2014/main" id="{08F57899-2B42-4440-8E0D-DA8B727F08B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0" name="CaixaDeTexto 2">
          <a:extLst>
            <a:ext uri="{FF2B5EF4-FFF2-40B4-BE49-F238E27FC236}">
              <a16:creationId xmlns:a16="http://schemas.microsoft.com/office/drawing/2014/main" id="{95B6DCF7-3A41-4461-AF5E-B4526061D16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1" name="CaixaDeTexto 4">
          <a:extLst>
            <a:ext uri="{FF2B5EF4-FFF2-40B4-BE49-F238E27FC236}">
              <a16:creationId xmlns:a16="http://schemas.microsoft.com/office/drawing/2014/main" id="{4213436A-E565-4E24-9B83-F52108893B1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2" name="CaixaDeTexto 9">
          <a:extLst>
            <a:ext uri="{FF2B5EF4-FFF2-40B4-BE49-F238E27FC236}">
              <a16:creationId xmlns:a16="http://schemas.microsoft.com/office/drawing/2014/main" id="{BA601E25-0873-45C8-89CF-4ED08794D56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3" name="CaixaDeTexto 12">
          <a:extLst>
            <a:ext uri="{FF2B5EF4-FFF2-40B4-BE49-F238E27FC236}">
              <a16:creationId xmlns:a16="http://schemas.microsoft.com/office/drawing/2014/main" id="{FB72FC0C-18D6-4EEB-97D2-98CD62264C5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4" name="CaixaDeTexto 14">
          <a:extLst>
            <a:ext uri="{FF2B5EF4-FFF2-40B4-BE49-F238E27FC236}">
              <a16:creationId xmlns:a16="http://schemas.microsoft.com/office/drawing/2014/main" id="{FD49A5B2-3475-4C3B-BD77-0758826071A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5" name="CaixaDeTexto 16">
          <a:extLst>
            <a:ext uri="{FF2B5EF4-FFF2-40B4-BE49-F238E27FC236}">
              <a16:creationId xmlns:a16="http://schemas.microsoft.com/office/drawing/2014/main" id="{7C80CA44-523C-4A14-9FD0-A344D67BAAE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6" name="CaixaDeTexto 18">
          <a:extLst>
            <a:ext uri="{FF2B5EF4-FFF2-40B4-BE49-F238E27FC236}">
              <a16:creationId xmlns:a16="http://schemas.microsoft.com/office/drawing/2014/main" id="{C432C625-1181-4FE8-905F-7DF283C16F5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7" name="CaixaDeTexto 20">
          <a:extLst>
            <a:ext uri="{FF2B5EF4-FFF2-40B4-BE49-F238E27FC236}">
              <a16:creationId xmlns:a16="http://schemas.microsoft.com/office/drawing/2014/main" id="{9AB30A8D-8FC1-4736-A716-396585D2647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8" name="CaixaDeTexto 21">
          <a:extLst>
            <a:ext uri="{FF2B5EF4-FFF2-40B4-BE49-F238E27FC236}">
              <a16:creationId xmlns:a16="http://schemas.microsoft.com/office/drawing/2014/main" id="{FA02A836-D2C7-42E4-AD7B-0828EEE1170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59" name="CaixaDeTexto 24">
          <a:extLst>
            <a:ext uri="{FF2B5EF4-FFF2-40B4-BE49-F238E27FC236}">
              <a16:creationId xmlns:a16="http://schemas.microsoft.com/office/drawing/2014/main" id="{8CF23B00-7197-44A3-85DC-28749D2CBCD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0" name="CaixaDeTexto 2">
          <a:extLst>
            <a:ext uri="{FF2B5EF4-FFF2-40B4-BE49-F238E27FC236}">
              <a16:creationId xmlns:a16="http://schemas.microsoft.com/office/drawing/2014/main" id="{E918033E-A099-4AE3-A427-12CFD0928F6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1" name="CaixaDeTexto 4">
          <a:extLst>
            <a:ext uri="{FF2B5EF4-FFF2-40B4-BE49-F238E27FC236}">
              <a16:creationId xmlns:a16="http://schemas.microsoft.com/office/drawing/2014/main" id="{0171FAC7-D033-457C-A41C-F653DB07FBE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2" name="CaixaDeTexto 9">
          <a:extLst>
            <a:ext uri="{FF2B5EF4-FFF2-40B4-BE49-F238E27FC236}">
              <a16:creationId xmlns:a16="http://schemas.microsoft.com/office/drawing/2014/main" id="{67B90FC3-A437-4D56-B9D7-9F1B81E5E7F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3" name="CaixaDeTexto 12">
          <a:extLst>
            <a:ext uri="{FF2B5EF4-FFF2-40B4-BE49-F238E27FC236}">
              <a16:creationId xmlns:a16="http://schemas.microsoft.com/office/drawing/2014/main" id="{9C4F730F-7815-45A7-88F0-B36A4520797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4" name="CaixaDeTexto 14">
          <a:extLst>
            <a:ext uri="{FF2B5EF4-FFF2-40B4-BE49-F238E27FC236}">
              <a16:creationId xmlns:a16="http://schemas.microsoft.com/office/drawing/2014/main" id="{78621E1D-63BC-4D4F-96EE-658CF89AE4C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5" name="CaixaDeTexto 16">
          <a:extLst>
            <a:ext uri="{FF2B5EF4-FFF2-40B4-BE49-F238E27FC236}">
              <a16:creationId xmlns:a16="http://schemas.microsoft.com/office/drawing/2014/main" id="{94B24075-8BDF-487C-ABEF-720D602FB6D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6" name="CaixaDeTexto 18">
          <a:extLst>
            <a:ext uri="{FF2B5EF4-FFF2-40B4-BE49-F238E27FC236}">
              <a16:creationId xmlns:a16="http://schemas.microsoft.com/office/drawing/2014/main" id="{A7F74EC0-5E1D-4301-AC7D-5204DD874EB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7" name="CaixaDeTexto 20">
          <a:extLst>
            <a:ext uri="{FF2B5EF4-FFF2-40B4-BE49-F238E27FC236}">
              <a16:creationId xmlns:a16="http://schemas.microsoft.com/office/drawing/2014/main" id="{4B78B061-D2DB-4D2E-9CB3-5AE3DCFAF39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8" name="CaixaDeTexto 2">
          <a:extLst>
            <a:ext uri="{FF2B5EF4-FFF2-40B4-BE49-F238E27FC236}">
              <a16:creationId xmlns:a16="http://schemas.microsoft.com/office/drawing/2014/main" id="{CFB54C30-2839-4742-9092-6B9D0DC3100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69" name="CaixaDeTexto 4">
          <a:extLst>
            <a:ext uri="{FF2B5EF4-FFF2-40B4-BE49-F238E27FC236}">
              <a16:creationId xmlns:a16="http://schemas.microsoft.com/office/drawing/2014/main" id="{8C06851A-0D22-4763-9DE3-4CAD197A22F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0" name="CaixaDeTexto 9">
          <a:extLst>
            <a:ext uri="{FF2B5EF4-FFF2-40B4-BE49-F238E27FC236}">
              <a16:creationId xmlns:a16="http://schemas.microsoft.com/office/drawing/2014/main" id="{4F328AFB-C5D0-4846-B538-E5219703D20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1" name="CaixaDeTexto 12">
          <a:extLst>
            <a:ext uri="{FF2B5EF4-FFF2-40B4-BE49-F238E27FC236}">
              <a16:creationId xmlns:a16="http://schemas.microsoft.com/office/drawing/2014/main" id="{2CFA1D27-749E-48DD-AC9C-44286221CD2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2" name="CaixaDeTexto 14">
          <a:extLst>
            <a:ext uri="{FF2B5EF4-FFF2-40B4-BE49-F238E27FC236}">
              <a16:creationId xmlns:a16="http://schemas.microsoft.com/office/drawing/2014/main" id="{805FC8CE-1398-4F71-A9BC-FC494F8F442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3" name="CaixaDeTexto 16">
          <a:extLst>
            <a:ext uri="{FF2B5EF4-FFF2-40B4-BE49-F238E27FC236}">
              <a16:creationId xmlns:a16="http://schemas.microsoft.com/office/drawing/2014/main" id="{C2FFF137-5B81-4ACD-A73F-A8C9462B406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4" name="CaixaDeTexto 18">
          <a:extLst>
            <a:ext uri="{FF2B5EF4-FFF2-40B4-BE49-F238E27FC236}">
              <a16:creationId xmlns:a16="http://schemas.microsoft.com/office/drawing/2014/main" id="{1389A5A1-B075-4DF7-9571-68B9307C1E4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5" name="CaixaDeTexto 20">
          <a:extLst>
            <a:ext uri="{FF2B5EF4-FFF2-40B4-BE49-F238E27FC236}">
              <a16:creationId xmlns:a16="http://schemas.microsoft.com/office/drawing/2014/main" id="{02738C88-31EF-4A12-9294-AC8DACAC36C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6" name="CaixaDeTexto 21">
          <a:extLst>
            <a:ext uri="{FF2B5EF4-FFF2-40B4-BE49-F238E27FC236}">
              <a16:creationId xmlns:a16="http://schemas.microsoft.com/office/drawing/2014/main" id="{2294C474-E51E-451B-8D7D-4B31CBCDA45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7" name="CaixaDeTexto 24">
          <a:extLst>
            <a:ext uri="{FF2B5EF4-FFF2-40B4-BE49-F238E27FC236}">
              <a16:creationId xmlns:a16="http://schemas.microsoft.com/office/drawing/2014/main" id="{905B2545-8BF0-4404-B1D9-6963B9A2A09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8" name="CaixaDeTexto 2">
          <a:extLst>
            <a:ext uri="{FF2B5EF4-FFF2-40B4-BE49-F238E27FC236}">
              <a16:creationId xmlns:a16="http://schemas.microsoft.com/office/drawing/2014/main" id="{7BFC5F26-D9CE-45C5-B0CC-0AD4C81012B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79" name="CaixaDeTexto 4">
          <a:extLst>
            <a:ext uri="{FF2B5EF4-FFF2-40B4-BE49-F238E27FC236}">
              <a16:creationId xmlns:a16="http://schemas.microsoft.com/office/drawing/2014/main" id="{41BAD8B3-79B6-4767-8AA8-271502004B1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0" name="CaixaDeTexto 9">
          <a:extLst>
            <a:ext uri="{FF2B5EF4-FFF2-40B4-BE49-F238E27FC236}">
              <a16:creationId xmlns:a16="http://schemas.microsoft.com/office/drawing/2014/main" id="{B6A57967-6210-493F-93D2-4A5AE3C0DC9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1" name="CaixaDeTexto 12">
          <a:extLst>
            <a:ext uri="{FF2B5EF4-FFF2-40B4-BE49-F238E27FC236}">
              <a16:creationId xmlns:a16="http://schemas.microsoft.com/office/drawing/2014/main" id="{D65DD42C-DA79-4FF3-8CBE-E76C80C70FD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2" name="CaixaDeTexto 14">
          <a:extLst>
            <a:ext uri="{FF2B5EF4-FFF2-40B4-BE49-F238E27FC236}">
              <a16:creationId xmlns:a16="http://schemas.microsoft.com/office/drawing/2014/main" id="{F86DC74A-C035-47A5-A1A2-9B513B01724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3" name="CaixaDeTexto 16">
          <a:extLst>
            <a:ext uri="{FF2B5EF4-FFF2-40B4-BE49-F238E27FC236}">
              <a16:creationId xmlns:a16="http://schemas.microsoft.com/office/drawing/2014/main" id="{C570E7BF-86E8-44A5-B821-367F9F0FC31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4" name="CaixaDeTexto 18">
          <a:extLst>
            <a:ext uri="{FF2B5EF4-FFF2-40B4-BE49-F238E27FC236}">
              <a16:creationId xmlns:a16="http://schemas.microsoft.com/office/drawing/2014/main" id="{4C9A774A-5E40-408B-99B0-C2D7C1F8F53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5" name="CaixaDeTexto 20">
          <a:extLst>
            <a:ext uri="{FF2B5EF4-FFF2-40B4-BE49-F238E27FC236}">
              <a16:creationId xmlns:a16="http://schemas.microsoft.com/office/drawing/2014/main" id="{1708C81A-F8CD-45F5-BBE9-19DE01018C0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6" name="CaixaDeTexto 21">
          <a:extLst>
            <a:ext uri="{FF2B5EF4-FFF2-40B4-BE49-F238E27FC236}">
              <a16:creationId xmlns:a16="http://schemas.microsoft.com/office/drawing/2014/main" id="{CB687C35-EE8E-41CA-B7B5-D3D1F9B29F4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7" name="CaixaDeTexto 24">
          <a:extLst>
            <a:ext uri="{FF2B5EF4-FFF2-40B4-BE49-F238E27FC236}">
              <a16:creationId xmlns:a16="http://schemas.microsoft.com/office/drawing/2014/main" id="{C7B024AF-769E-44D3-8F46-A1F710A885F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8" name="CaixaDeTexto 2">
          <a:extLst>
            <a:ext uri="{FF2B5EF4-FFF2-40B4-BE49-F238E27FC236}">
              <a16:creationId xmlns:a16="http://schemas.microsoft.com/office/drawing/2014/main" id="{A61DF131-49A8-418A-ADD8-2E3A2B6625A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89" name="CaixaDeTexto 4">
          <a:extLst>
            <a:ext uri="{FF2B5EF4-FFF2-40B4-BE49-F238E27FC236}">
              <a16:creationId xmlns:a16="http://schemas.microsoft.com/office/drawing/2014/main" id="{164CBAC4-4322-4DCE-9550-AECDC19FE4A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0" name="CaixaDeTexto 9">
          <a:extLst>
            <a:ext uri="{FF2B5EF4-FFF2-40B4-BE49-F238E27FC236}">
              <a16:creationId xmlns:a16="http://schemas.microsoft.com/office/drawing/2014/main" id="{CB29549A-CD5F-41C5-A148-627472DAE30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1" name="CaixaDeTexto 12">
          <a:extLst>
            <a:ext uri="{FF2B5EF4-FFF2-40B4-BE49-F238E27FC236}">
              <a16:creationId xmlns:a16="http://schemas.microsoft.com/office/drawing/2014/main" id="{7B0AB438-A36D-48D4-B453-4A0C9EA2E9C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2" name="CaixaDeTexto 14">
          <a:extLst>
            <a:ext uri="{FF2B5EF4-FFF2-40B4-BE49-F238E27FC236}">
              <a16:creationId xmlns:a16="http://schemas.microsoft.com/office/drawing/2014/main" id="{82F6C654-CE81-42E4-839C-659EE66D862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3" name="CaixaDeTexto 16">
          <a:extLst>
            <a:ext uri="{FF2B5EF4-FFF2-40B4-BE49-F238E27FC236}">
              <a16:creationId xmlns:a16="http://schemas.microsoft.com/office/drawing/2014/main" id="{A7E4BC5D-7C08-452A-B436-C7EB3053927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4" name="CaixaDeTexto 18">
          <a:extLst>
            <a:ext uri="{FF2B5EF4-FFF2-40B4-BE49-F238E27FC236}">
              <a16:creationId xmlns:a16="http://schemas.microsoft.com/office/drawing/2014/main" id="{14084112-52AF-41A2-AB80-A094DE5C724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5" name="CaixaDeTexto 20">
          <a:extLst>
            <a:ext uri="{FF2B5EF4-FFF2-40B4-BE49-F238E27FC236}">
              <a16:creationId xmlns:a16="http://schemas.microsoft.com/office/drawing/2014/main" id="{B0B5F1C2-8060-405E-95AE-15D79C64497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6" name="CaixaDeTexto 2">
          <a:extLst>
            <a:ext uri="{FF2B5EF4-FFF2-40B4-BE49-F238E27FC236}">
              <a16:creationId xmlns:a16="http://schemas.microsoft.com/office/drawing/2014/main" id="{2EBA2DA3-167C-4D45-86D4-17A6E0094D5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7" name="CaixaDeTexto 4">
          <a:extLst>
            <a:ext uri="{FF2B5EF4-FFF2-40B4-BE49-F238E27FC236}">
              <a16:creationId xmlns:a16="http://schemas.microsoft.com/office/drawing/2014/main" id="{63288BC2-4962-4676-874B-5EE4F0AAD19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8" name="CaixaDeTexto 9">
          <a:extLst>
            <a:ext uri="{FF2B5EF4-FFF2-40B4-BE49-F238E27FC236}">
              <a16:creationId xmlns:a16="http://schemas.microsoft.com/office/drawing/2014/main" id="{15D0B488-C5B2-445B-AA37-0695EDBD85B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599" name="CaixaDeTexto 12">
          <a:extLst>
            <a:ext uri="{FF2B5EF4-FFF2-40B4-BE49-F238E27FC236}">
              <a16:creationId xmlns:a16="http://schemas.microsoft.com/office/drawing/2014/main" id="{FC0FB6BE-DC65-487D-BF7C-A5C00971DDD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0" name="CaixaDeTexto 14">
          <a:extLst>
            <a:ext uri="{FF2B5EF4-FFF2-40B4-BE49-F238E27FC236}">
              <a16:creationId xmlns:a16="http://schemas.microsoft.com/office/drawing/2014/main" id="{7005ED38-2B8B-4013-A9D5-5AE29E3E780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1" name="CaixaDeTexto 16">
          <a:extLst>
            <a:ext uri="{FF2B5EF4-FFF2-40B4-BE49-F238E27FC236}">
              <a16:creationId xmlns:a16="http://schemas.microsoft.com/office/drawing/2014/main" id="{3C7BA958-E402-4582-8118-9F6DDB5ACEE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2" name="CaixaDeTexto 18">
          <a:extLst>
            <a:ext uri="{FF2B5EF4-FFF2-40B4-BE49-F238E27FC236}">
              <a16:creationId xmlns:a16="http://schemas.microsoft.com/office/drawing/2014/main" id="{170E8A40-B0A3-4C5D-B344-EEC8974D510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3" name="CaixaDeTexto 20">
          <a:extLst>
            <a:ext uri="{FF2B5EF4-FFF2-40B4-BE49-F238E27FC236}">
              <a16:creationId xmlns:a16="http://schemas.microsoft.com/office/drawing/2014/main" id="{ADB719AB-98BE-42A3-9887-C607D50875D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4" name="CaixaDeTexto 21">
          <a:extLst>
            <a:ext uri="{FF2B5EF4-FFF2-40B4-BE49-F238E27FC236}">
              <a16:creationId xmlns:a16="http://schemas.microsoft.com/office/drawing/2014/main" id="{A51373BC-556C-444C-9FBB-BD77E4E1331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5" name="CaixaDeTexto 24">
          <a:extLst>
            <a:ext uri="{FF2B5EF4-FFF2-40B4-BE49-F238E27FC236}">
              <a16:creationId xmlns:a16="http://schemas.microsoft.com/office/drawing/2014/main" id="{75E55C2C-047A-49EE-AD9B-5CBD3885CBE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6" name="CaixaDeTexto 2">
          <a:extLst>
            <a:ext uri="{FF2B5EF4-FFF2-40B4-BE49-F238E27FC236}">
              <a16:creationId xmlns:a16="http://schemas.microsoft.com/office/drawing/2014/main" id="{F3780B54-BD68-4F99-8BBE-0E1C1DE9122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7" name="CaixaDeTexto 4">
          <a:extLst>
            <a:ext uri="{FF2B5EF4-FFF2-40B4-BE49-F238E27FC236}">
              <a16:creationId xmlns:a16="http://schemas.microsoft.com/office/drawing/2014/main" id="{B1A6AAA1-13AB-4A22-B51D-75B01C4D1DB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8" name="CaixaDeTexto 9">
          <a:extLst>
            <a:ext uri="{FF2B5EF4-FFF2-40B4-BE49-F238E27FC236}">
              <a16:creationId xmlns:a16="http://schemas.microsoft.com/office/drawing/2014/main" id="{69B4D952-5F7E-4CA0-A3C3-B56E8E3BE1C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09" name="CaixaDeTexto 12">
          <a:extLst>
            <a:ext uri="{FF2B5EF4-FFF2-40B4-BE49-F238E27FC236}">
              <a16:creationId xmlns:a16="http://schemas.microsoft.com/office/drawing/2014/main" id="{81A1CA3B-B99A-45E6-A650-EAAF42E7935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0" name="CaixaDeTexto 14">
          <a:extLst>
            <a:ext uri="{FF2B5EF4-FFF2-40B4-BE49-F238E27FC236}">
              <a16:creationId xmlns:a16="http://schemas.microsoft.com/office/drawing/2014/main" id="{DF44C7F9-F52D-4064-A695-37146842DD0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1" name="CaixaDeTexto 16">
          <a:extLst>
            <a:ext uri="{FF2B5EF4-FFF2-40B4-BE49-F238E27FC236}">
              <a16:creationId xmlns:a16="http://schemas.microsoft.com/office/drawing/2014/main" id="{15CF0986-7A64-4773-924F-B2C9BBAF9B1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2" name="CaixaDeTexto 18">
          <a:extLst>
            <a:ext uri="{FF2B5EF4-FFF2-40B4-BE49-F238E27FC236}">
              <a16:creationId xmlns:a16="http://schemas.microsoft.com/office/drawing/2014/main" id="{E8303D87-C809-4D69-AEFA-F0A48E3AA5D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3" name="CaixaDeTexto 20">
          <a:extLst>
            <a:ext uri="{FF2B5EF4-FFF2-40B4-BE49-F238E27FC236}">
              <a16:creationId xmlns:a16="http://schemas.microsoft.com/office/drawing/2014/main" id="{2F2FF9D4-87E1-4D42-AD1A-79C39D84B9E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4" name="CaixaDeTexto 21">
          <a:extLst>
            <a:ext uri="{FF2B5EF4-FFF2-40B4-BE49-F238E27FC236}">
              <a16:creationId xmlns:a16="http://schemas.microsoft.com/office/drawing/2014/main" id="{DF650C3E-9778-4EC0-8BE2-E95AEEC45BB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5" name="CaixaDeTexto 24">
          <a:extLst>
            <a:ext uri="{FF2B5EF4-FFF2-40B4-BE49-F238E27FC236}">
              <a16:creationId xmlns:a16="http://schemas.microsoft.com/office/drawing/2014/main" id="{145AD461-FAD3-43CD-8D7B-0DB68616629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6" name="CaixaDeTexto 2">
          <a:extLst>
            <a:ext uri="{FF2B5EF4-FFF2-40B4-BE49-F238E27FC236}">
              <a16:creationId xmlns:a16="http://schemas.microsoft.com/office/drawing/2014/main" id="{0BC75558-B9DB-4903-903C-775F0DAE755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7" name="CaixaDeTexto 4">
          <a:extLst>
            <a:ext uri="{FF2B5EF4-FFF2-40B4-BE49-F238E27FC236}">
              <a16:creationId xmlns:a16="http://schemas.microsoft.com/office/drawing/2014/main" id="{94E284F6-8C9B-4E6D-A5E5-76EA88234FE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8" name="CaixaDeTexto 9">
          <a:extLst>
            <a:ext uri="{FF2B5EF4-FFF2-40B4-BE49-F238E27FC236}">
              <a16:creationId xmlns:a16="http://schemas.microsoft.com/office/drawing/2014/main" id="{19F4B48D-E712-4BD7-B4A5-E11BDE2E3CA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19" name="CaixaDeTexto 12">
          <a:extLst>
            <a:ext uri="{FF2B5EF4-FFF2-40B4-BE49-F238E27FC236}">
              <a16:creationId xmlns:a16="http://schemas.microsoft.com/office/drawing/2014/main" id="{388F39FA-EA97-4116-9629-42DD91CE582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0" name="CaixaDeTexto 14">
          <a:extLst>
            <a:ext uri="{FF2B5EF4-FFF2-40B4-BE49-F238E27FC236}">
              <a16:creationId xmlns:a16="http://schemas.microsoft.com/office/drawing/2014/main" id="{7DE105D3-ED18-4BC5-946C-BC0C8B18023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1" name="CaixaDeTexto 16">
          <a:extLst>
            <a:ext uri="{FF2B5EF4-FFF2-40B4-BE49-F238E27FC236}">
              <a16:creationId xmlns:a16="http://schemas.microsoft.com/office/drawing/2014/main" id="{D71739C0-152C-4E72-84E7-38D9AB66581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2" name="CaixaDeTexto 18">
          <a:extLst>
            <a:ext uri="{FF2B5EF4-FFF2-40B4-BE49-F238E27FC236}">
              <a16:creationId xmlns:a16="http://schemas.microsoft.com/office/drawing/2014/main" id="{9506BD7C-C4BE-479E-BA96-4109CA9D78C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3" name="CaixaDeTexto 20">
          <a:extLst>
            <a:ext uri="{FF2B5EF4-FFF2-40B4-BE49-F238E27FC236}">
              <a16:creationId xmlns:a16="http://schemas.microsoft.com/office/drawing/2014/main" id="{DD74ECC1-393C-4C3D-8B1E-226C9A7CA54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4" name="CaixaDeTexto 2">
          <a:extLst>
            <a:ext uri="{FF2B5EF4-FFF2-40B4-BE49-F238E27FC236}">
              <a16:creationId xmlns:a16="http://schemas.microsoft.com/office/drawing/2014/main" id="{5E679C4B-102D-4D0E-9143-1A0E0D1CD9B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5" name="CaixaDeTexto 4">
          <a:extLst>
            <a:ext uri="{FF2B5EF4-FFF2-40B4-BE49-F238E27FC236}">
              <a16:creationId xmlns:a16="http://schemas.microsoft.com/office/drawing/2014/main" id="{9015434A-E49A-4826-BF86-C657504EB7B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6" name="CaixaDeTexto 9">
          <a:extLst>
            <a:ext uri="{FF2B5EF4-FFF2-40B4-BE49-F238E27FC236}">
              <a16:creationId xmlns:a16="http://schemas.microsoft.com/office/drawing/2014/main" id="{6908F591-4A85-4AF3-81EE-88262921D76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7" name="CaixaDeTexto 12">
          <a:extLst>
            <a:ext uri="{FF2B5EF4-FFF2-40B4-BE49-F238E27FC236}">
              <a16:creationId xmlns:a16="http://schemas.microsoft.com/office/drawing/2014/main" id="{9016AED7-C234-4289-8840-9423F446766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8" name="CaixaDeTexto 14">
          <a:extLst>
            <a:ext uri="{FF2B5EF4-FFF2-40B4-BE49-F238E27FC236}">
              <a16:creationId xmlns:a16="http://schemas.microsoft.com/office/drawing/2014/main" id="{70774318-55CF-43C4-AE3E-FCEFBCF10D8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29" name="CaixaDeTexto 16">
          <a:extLst>
            <a:ext uri="{FF2B5EF4-FFF2-40B4-BE49-F238E27FC236}">
              <a16:creationId xmlns:a16="http://schemas.microsoft.com/office/drawing/2014/main" id="{5B407192-32B7-46BB-9D71-79E42942480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0" name="CaixaDeTexto 18">
          <a:extLst>
            <a:ext uri="{FF2B5EF4-FFF2-40B4-BE49-F238E27FC236}">
              <a16:creationId xmlns:a16="http://schemas.microsoft.com/office/drawing/2014/main" id="{A0FCF158-6C0B-44AD-A620-65ABE4DC00D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1" name="CaixaDeTexto 20">
          <a:extLst>
            <a:ext uri="{FF2B5EF4-FFF2-40B4-BE49-F238E27FC236}">
              <a16:creationId xmlns:a16="http://schemas.microsoft.com/office/drawing/2014/main" id="{4E448C0B-A8FD-4362-AA9A-2712644C4D3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2" name="CaixaDeTexto 21">
          <a:extLst>
            <a:ext uri="{FF2B5EF4-FFF2-40B4-BE49-F238E27FC236}">
              <a16:creationId xmlns:a16="http://schemas.microsoft.com/office/drawing/2014/main" id="{32543831-9AF9-4FF7-B264-7AF2983D501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3" name="CaixaDeTexto 24">
          <a:extLst>
            <a:ext uri="{FF2B5EF4-FFF2-40B4-BE49-F238E27FC236}">
              <a16:creationId xmlns:a16="http://schemas.microsoft.com/office/drawing/2014/main" id="{3736623C-180D-4ECB-81F9-4393722B642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4" name="CaixaDeTexto 2">
          <a:extLst>
            <a:ext uri="{FF2B5EF4-FFF2-40B4-BE49-F238E27FC236}">
              <a16:creationId xmlns:a16="http://schemas.microsoft.com/office/drawing/2014/main" id="{466FBA50-70F3-42EA-AFF7-EC05AFBABA9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5" name="CaixaDeTexto 4">
          <a:extLst>
            <a:ext uri="{FF2B5EF4-FFF2-40B4-BE49-F238E27FC236}">
              <a16:creationId xmlns:a16="http://schemas.microsoft.com/office/drawing/2014/main" id="{55DF42C2-D586-4AF8-A075-753A93FBDA4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6" name="CaixaDeTexto 9">
          <a:extLst>
            <a:ext uri="{FF2B5EF4-FFF2-40B4-BE49-F238E27FC236}">
              <a16:creationId xmlns:a16="http://schemas.microsoft.com/office/drawing/2014/main" id="{8A53C4F0-740C-4A34-9E0F-5B06E0A0685C}"/>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7" name="CaixaDeTexto 12">
          <a:extLst>
            <a:ext uri="{FF2B5EF4-FFF2-40B4-BE49-F238E27FC236}">
              <a16:creationId xmlns:a16="http://schemas.microsoft.com/office/drawing/2014/main" id="{D934174D-C520-4673-BDEC-5AE6F2A31AB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8" name="CaixaDeTexto 14">
          <a:extLst>
            <a:ext uri="{FF2B5EF4-FFF2-40B4-BE49-F238E27FC236}">
              <a16:creationId xmlns:a16="http://schemas.microsoft.com/office/drawing/2014/main" id="{552B57E4-517F-4315-9337-B7905231C6F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39" name="CaixaDeTexto 16">
          <a:extLst>
            <a:ext uri="{FF2B5EF4-FFF2-40B4-BE49-F238E27FC236}">
              <a16:creationId xmlns:a16="http://schemas.microsoft.com/office/drawing/2014/main" id="{40F2B810-833A-4DD8-9B24-A2DE20B6B28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0" name="CaixaDeTexto 18">
          <a:extLst>
            <a:ext uri="{FF2B5EF4-FFF2-40B4-BE49-F238E27FC236}">
              <a16:creationId xmlns:a16="http://schemas.microsoft.com/office/drawing/2014/main" id="{BC294A69-2149-4154-B38F-AF8809FB0F2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1" name="CaixaDeTexto 20">
          <a:extLst>
            <a:ext uri="{FF2B5EF4-FFF2-40B4-BE49-F238E27FC236}">
              <a16:creationId xmlns:a16="http://schemas.microsoft.com/office/drawing/2014/main" id="{64934713-B07A-4B3B-A9C9-3BA0BE88F92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2" name="CaixaDeTexto 21">
          <a:extLst>
            <a:ext uri="{FF2B5EF4-FFF2-40B4-BE49-F238E27FC236}">
              <a16:creationId xmlns:a16="http://schemas.microsoft.com/office/drawing/2014/main" id="{EE49DF2D-AC6C-423C-9EC1-DEB23E69771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3" name="CaixaDeTexto 24">
          <a:extLst>
            <a:ext uri="{FF2B5EF4-FFF2-40B4-BE49-F238E27FC236}">
              <a16:creationId xmlns:a16="http://schemas.microsoft.com/office/drawing/2014/main" id="{529CE464-0392-4B7D-B54B-08AC201B63D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4" name="CaixaDeTexto 2">
          <a:extLst>
            <a:ext uri="{FF2B5EF4-FFF2-40B4-BE49-F238E27FC236}">
              <a16:creationId xmlns:a16="http://schemas.microsoft.com/office/drawing/2014/main" id="{C3C17DB0-2545-4FF6-9E16-750A7E4E03C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5" name="CaixaDeTexto 4">
          <a:extLst>
            <a:ext uri="{FF2B5EF4-FFF2-40B4-BE49-F238E27FC236}">
              <a16:creationId xmlns:a16="http://schemas.microsoft.com/office/drawing/2014/main" id="{39F1FA65-DB4E-4E19-AB13-FD714FB2481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6" name="CaixaDeTexto 9">
          <a:extLst>
            <a:ext uri="{FF2B5EF4-FFF2-40B4-BE49-F238E27FC236}">
              <a16:creationId xmlns:a16="http://schemas.microsoft.com/office/drawing/2014/main" id="{E1E10CE0-5351-4680-8F51-473F0209867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7" name="CaixaDeTexto 12">
          <a:extLst>
            <a:ext uri="{FF2B5EF4-FFF2-40B4-BE49-F238E27FC236}">
              <a16:creationId xmlns:a16="http://schemas.microsoft.com/office/drawing/2014/main" id="{62824D3A-C030-4014-9BDA-17CC5F7A0A0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8" name="CaixaDeTexto 14">
          <a:extLst>
            <a:ext uri="{FF2B5EF4-FFF2-40B4-BE49-F238E27FC236}">
              <a16:creationId xmlns:a16="http://schemas.microsoft.com/office/drawing/2014/main" id="{60E6DDE3-2ECE-4610-914B-D5217352CD8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49" name="CaixaDeTexto 16">
          <a:extLst>
            <a:ext uri="{FF2B5EF4-FFF2-40B4-BE49-F238E27FC236}">
              <a16:creationId xmlns:a16="http://schemas.microsoft.com/office/drawing/2014/main" id="{FEBDFBBE-473B-4ED2-805F-CA4523E99E10}"/>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0" name="CaixaDeTexto 18">
          <a:extLst>
            <a:ext uri="{FF2B5EF4-FFF2-40B4-BE49-F238E27FC236}">
              <a16:creationId xmlns:a16="http://schemas.microsoft.com/office/drawing/2014/main" id="{0A192507-8D60-40F0-9DF2-9DEF9634240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1" name="CaixaDeTexto 20">
          <a:extLst>
            <a:ext uri="{FF2B5EF4-FFF2-40B4-BE49-F238E27FC236}">
              <a16:creationId xmlns:a16="http://schemas.microsoft.com/office/drawing/2014/main" id="{E5505A8A-9C46-4860-B6C9-86B8A6390C5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2" name="CaixaDeTexto 2">
          <a:extLst>
            <a:ext uri="{FF2B5EF4-FFF2-40B4-BE49-F238E27FC236}">
              <a16:creationId xmlns:a16="http://schemas.microsoft.com/office/drawing/2014/main" id="{2E5CB5F2-EFE1-4522-B01A-5A31D03779B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3" name="CaixaDeTexto 4">
          <a:extLst>
            <a:ext uri="{FF2B5EF4-FFF2-40B4-BE49-F238E27FC236}">
              <a16:creationId xmlns:a16="http://schemas.microsoft.com/office/drawing/2014/main" id="{B21625E5-0605-4019-AD57-394FEFFCB5F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4" name="CaixaDeTexto 9">
          <a:extLst>
            <a:ext uri="{FF2B5EF4-FFF2-40B4-BE49-F238E27FC236}">
              <a16:creationId xmlns:a16="http://schemas.microsoft.com/office/drawing/2014/main" id="{53EF0A36-89D7-4F77-A128-FE670D5FD82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5" name="CaixaDeTexto 12">
          <a:extLst>
            <a:ext uri="{FF2B5EF4-FFF2-40B4-BE49-F238E27FC236}">
              <a16:creationId xmlns:a16="http://schemas.microsoft.com/office/drawing/2014/main" id="{F6A372E7-BDD0-4C41-A614-633C188223A7}"/>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6" name="CaixaDeTexto 14">
          <a:extLst>
            <a:ext uri="{FF2B5EF4-FFF2-40B4-BE49-F238E27FC236}">
              <a16:creationId xmlns:a16="http://schemas.microsoft.com/office/drawing/2014/main" id="{3B9CF382-CD75-4EA9-8BAA-CC0805C795A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7" name="CaixaDeTexto 16">
          <a:extLst>
            <a:ext uri="{FF2B5EF4-FFF2-40B4-BE49-F238E27FC236}">
              <a16:creationId xmlns:a16="http://schemas.microsoft.com/office/drawing/2014/main" id="{C391A600-87EB-44B4-A616-739A25EF28E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8" name="CaixaDeTexto 18">
          <a:extLst>
            <a:ext uri="{FF2B5EF4-FFF2-40B4-BE49-F238E27FC236}">
              <a16:creationId xmlns:a16="http://schemas.microsoft.com/office/drawing/2014/main" id="{29BE8D3C-9D1D-41F5-BF70-16A3CB3DE92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59" name="CaixaDeTexto 20">
          <a:extLst>
            <a:ext uri="{FF2B5EF4-FFF2-40B4-BE49-F238E27FC236}">
              <a16:creationId xmlns:a16="http://schemas.microsoft.com/office/drawing/2014/main" id="{1701FAE5-69BB-49EE-81F6-1DA2029027B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0" name="CaixaDeTexto 21">
          <a:extLst>
            <a:ext uri="{FF2B5EF4-FFF2-40B4-BE49-F238E27FC236}">
              <a16:creationId xmlns:a16="http://schemas.microsoft.com/office/drawing/2014/main" id="{9BDC5972-D832-49C6-85BA-D46F9BE9427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1" name="CaixaDeTexto 24">
          <a:extLst>
            <a:ext uri="{FF2B5EF4-FFF2-40B4-BE49-F238E27FC236}">
              <a16:creationId xmlns:a16="http://schemas.microsoft.com/office/drawing/2014/main" id="{76A54688-C399-4DE6-8352-3F357A855A4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2" name="CaixaDeTexto 2">
          <a:extLst>
            <a:ext uri="{FF2B5EF4-FFF2-40B4-BE49-F238E27FC236}">
              <a16:creationId xmlns:a16="http://schemas.microsoft.com/office/drawing/2014/main" id="{253C44CD-0471-4B40-A02D-CDF41541B49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3" name="CaixaDeTexto 4">
          <a:extLst>
            <a:ext uri="{FF2B5EF4-FFF2-40B4-BE49-F238E27FC236}">
              <a16:creationId xmlns:a16="http://schemas.microsoft.com/office/drawing/2014/main" id="{2A5C2F6A-B9F6-430E-A281-68C0EB0A37E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4" name="CaixaDeTexto 9">
          <a:extLst>
            <a:ext uri="{FF2B5EF4-FFF2-40B4-BE49-F238E27FC236}">
              <a16:creationId xmlns:a16="http://schemas.microsoft.com/office/drawing/2014/main" id="{B1B98E89-7C36-44F8-8822-F54BBDF3E19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5" name="CaixaDeTexto 12">
          <a:extLst>
            <a:ext uri="{FF2B5EF4-FFF2-40B4-BE49-F238E27FC236}">
              <a16:creationId xmlns:a16="http://schemas.microsoft.com/office/drawing/2014/main" id="{E99E299E-6045-43FB-947A-B1433EA58AB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6" name="CaixaDeTexto 14">
          <a:extLst>
            <a:ext uri="{FF2B5EF4-FFF2-40B4-BE49-F238E27FC236}">
              <a16:creationId xmlns:a16="http://schemas.microsoft.com/office/drawing/2014/main" id="{7B5A3214-69F4-4D32-82E3-A562DF68B3EF}"/>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7" name="CaixaDeTexto 16">
          <a:extLst>
            <a:ext uri="{FF2B5EF4-FFF2-40B4-BE49-F238E27FC236}">
              <a16:creationId xmlns:a16="http://schemas.microsoft.com/office/drawing/2014/main" id="{217B3C01-9CCB-446E-8D3D-E13CD8BB319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8" name="CaixaDeTexto 18">
          <a:extLst>
            <a:ext uri="{FF2B5EF4-FFF2-40B4-BE49-F238E27FC236}">
              <a16:creationId xmlns:a16="http://schemas.microsoft.com/office/drawing/2014/main" id="{EB20CD46-673F-4171-8052-F9E0DBEA3BDB}"/>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69" name="CaixaDeTexto 20">
          <a:extLst>
            <a:ext uri="{FF2B5EF4-FFF2-40B4-BE49-F238E27FC236}">
              <a16:creationId xmlns:a16="http://schemas.microsoft.com/office/drawing/2014/main" id="{7E91CB02-A17C-4CBA-8B08-DA7723D7DD9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0" name="CaixaDeTexto 21">
          <a:extLst>
            <a:ext uri="{FF2B5EF4-FFF2-40B4-BE49-F238E27FC236}">
              <a16:creationId xmlns:a16="http://schemas.microsoft.com/office/drawing/2014/main" id="{A2B73F70-77FE-4839-A34A-3A583C6C043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1" name="CaixaDeTexto 24">
          <a:extLst>
            <a:ext uri="{FF2B5EF4-FFF2-40B4-BE49-F238E27FC236}">
              <a16:creationId xmlns:a16="http://schemas.microsoft.com/office/drawing/2014/main" id="{76857EBA-0E93-4244-8B79-2E8869ED659E}"/>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2" name="CaixaDeTexto 2">
          <a:extLst>
            <a:ext uri="{FF2B5EF4-FFF2-40B4-BE49-F238E27FC236}">
              <a16:creationId xmlns:a16="http://schemas.microsoft.com/office/drawing/2014/main" id="{5E677854-E8F4-4A2E-BF04-87E2E876233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3" name="CaixaDeTexto 4">
          <a:extLst>
            <a:ext uri="{FF2B5EF4-FFF2-40B4-BE49-F238E27FC236}">
              <a16:creationId xmlns:a16="http://schemas.microsoft.com/office/drawing/2014/main" id="{031E579D-744D-4911-B53E-17163324F64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4" name="CaixaDeTexto 9">
          <a:extLst>
            <a:ext uri="{FF2B5EF4-FFF2-40B4-BE49-F238E27FC236}">
              <a16:creationId xmlns:a16="http://schemas.microsoft.com/office/drawing/2014/main" id="{AAAAA5B2-0A5D-4034-933D-95E7B1446A49}"/>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5" name="CaixaDeTexto 12">
          <a:extLst>
            <a:ext uri="{FF2B5EF4-FFF2-40B4-BE49-F238E27FC236}">
              <a16:creationId xmlns:a16="http://schemas.microsoft.com/office/drawing/2014/main" id="{4E9CE292-1870-4848-8AB4-3B34680D2783}"/>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6" name="CaixaDeTexto 14">
          <a:extLst>
            <a:ext uri="{FF2B5EF4-FFF2-40B4-BE49-F238E27FC236}">
              <a16:creationId xmlns:a16="http://schemas.microsoft.com/office/drawing/2014/main" id="{0CA644D3-0EB0-4E48-AADB-0C4CCC06DC4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7" name="CaixaDeTexto 16">
          <a:extLst>
            <a:ext uri="{FF2B5EF4-FFF2-40B4-BE49-F238E27FC236}">
              <a16:creationId xmlns:a16="http://schemas.microsoft.com/office/drawing/2014/main" id="{83BD9DD8-1A0C-48A5-84D3-BEF9E3D639B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8" name="CaixaDeTexto 18">
          <a:extLst>
            <a:ext uri="{FF2B5EF4-FFF2-40B4-BE49-F238E27FC236}">
              <a16:creationId xmlns:a16="http://schemas.microsoft.com/office/drawing/2014/main" id="{176A2B6B-9BE6-4550-844F-6BCA47C3499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79" name="CaixaDeTexto 20">
          <a:extLst>
            <a:ext uri="{FF2B5EF4-FFF2-40B4-BE49-F238E27FC236}">
              <a16:creationId xmlns:a16="http://schemas.microsoft.com/office/drawing/2014/main" id="{2139770B-7ED3-421C-A83E-16526F8382B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0" name="CaixaDeTexto 2">
          <a:extLst>
            <a:ext uri="{FF2B5EF4-FFF2-40B4-BE49-F238E27FC236}">
              <a16:creationId xmlns:a16="http://schemas.microsoft.com/office/drawing/2014/main" id="{0622F487-55FA-4380-82D5-0A385EF2271D}"/>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1" name="CaixaDeTexto 4">
          <a:extLst>
            <a:ext uri="{FF2B5EF4-FFF2-40B4-BE49-F238E27FC236}">
              <a16:creationId xmlns:a16="http://schemas.microsoft.com/office/drawing/2014/main" id="{4121A75F-CCE2-435B-B72C-414E27AD95D1}"/>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2" name="CaixaDeTexto 9">
          <a:extLst>
            <a:ext uri="{FF2B5EF4-FFF2-40B4-BE49-F238E27FC236}">
              <a16:creationId xmlns:a16="http://schemas.microsoft.com/office/drawing/2014/main" id="{B1AB18EA-031E-4C79-A493-A2B61A90E06A}"/>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3" name="CaixaDeTexto 12">
          <a:extLst>
            <a:ext uri="{FF2B5EF4-FFF2-40B4-BE49-F238E27FC236}">
              <a16:creationId xmlns:a16="http://schemas.microsoft.com/office/drawing/2014/main" id="{1391BB2C-1F37-4CC0-92F5-49C1CAB7CB54}"/>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4" name="CaixaDeTexto 14">
          <a:extLst>
            <a:ext uri="{FF2B5EF4-FFF2-40B4-BE49-F238E27FC236}">
              <a16:creationId xmlns:a16="http://schemas.microsoft.com/office/drawing/2014/main" id="{6C9F8AF1-DCD5-40DE-AF2A-F571EDB1325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5" name="CaixaDeTexto 16">
          <a:extLst>
            <a:ext uri="{FF2B5EF4-FFF2-40B4-BE49-F238E27FC236}">
              <a16:creationId xmlns:a16="http://schemas.microsoft.com/office/drawing/2014/main" id="{8DA6BDC6-5616-4E54-98EB-DC719B678DD2}"/>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6" name="CaixaDeTexto 18">
          <a:extLst>
            <a:ext uri="{FF2B5EF4-FFF2-40B4-BE49-F238E27FC236}">
              <a16:creationId xmlns:a16="http://schemas.microsoft.com/office/drawing/2014/main" id="{CDA8D9D8-2CE5-423D-BDBE-2B4989B9D0A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7" name="CaixaDeTexto 20">
          <a:extLst>
            <a:ext uri="{FF2B5EF4-FFF2-40B4-BE49-F238E27FC236}">
              <a16:creationId xmlns:a16="http://schemas.microsoft.com/office/drawing/2014/main" id="{A9AC205C-628E-42DB-A19C-6C62691CFC55}"/>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8" name="CaixaDeTexto 21">
          <a:extLst>
            <a:ext uri="{FF2B5EF4-FFF2-40B4-BE49-F238E27FC236}">
              <a16:creationId xmlns:a16="http://schemas.microsoft.com/office/drawing/2014/main" id="{8BE7CC67-AA66-4E09-B8C2-8A2992A93406}"/>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247</xdr:row>
      <xdr:rowOff>0</xdr:rowOff>
    </xdr:from>
    <xdr:ext cx="184731" cy="273683"/>
    <xdr:sp macro="" textlink="">
      <xdr:nvSpPr>
        <xdr:cNvPr id="689" name="CaixaDeTexto 24">
          <a:extLst>
            <a:ext uri="{FF2B5EF4-FFF2-40B4-BE49-F238E27FC236}">
              <a16:creationId xmlns:a16="http://schemas.microsoft.com/office/drawing/2014/main" id="{C33F1DB9-973B-44C1-8528-8CFA3E232AE8}"/>
            </a:ext>
          </a:extLst>
        </xdr:cNvPr>
        <xdr:cNvSpPr txBox="1"/>
      </xdr:nvSpPr>
      <xdr:spPr>
        <a:xfrm>
          <a:off x="565150" y="25908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0" name="CaixaDeTexto 2">
          <a:extLst>
            <a:ext uri="{FF2B5EF4-FFF2-40B4-BE49-F238E27FC236}">
              <a16:creationId xmlns:a16="http://schemas.microsoft.com/office/drawing/2014/main" id="{35E8B101-9797-4655-AEF8-8AFE3A058BDA}"/>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1" name="CaixaDeTexto 4">
          <a:extLst>
            <a:ext uri="{FF2B5EF4-FFF2-40B4-BE49-F238E27FC236}">
              <a16:creationId xmlns:a16="http://schemas.microsoft.com/office/drawing/2014/main" id="{2ED7E5D2-679B-4C69-ADC7-21E56C941910}"/>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2" name="CaixaDeTexto 9">
          <a:extLst>
            <a:ext uri="{FF2B5EF4-FFF2-40B4-BE49-F238E27FC236}">
              <a16:creationId xmlns:a16="http://schemas.microsoft.com/office/drawing/2014/main" id="{9D482593-061C-486E-8A90-99AB75348D89}"/>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3" name="CaixaDeTexto 12">
          <a:extLst>
            <a:ext uri="{FF2B5EF4-FFF2-40B4-BE49-F238E27FC236}">
              <a16:creationId xmlns:a16="http://schemas.microsoft.com/office/drawing/2014/main" id="{9BD45AE3-700B-4019-AABE-B8B460161305}"/>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4" name="CaixaDeTexto 14">
          <a:extLst>
            <a:ext uri="{FF2B5EF4-FFF2-40B4-BE49-F238E27FC236}">
              <a16:creationId xmlns:a16="http://schemas.microsoft.com/office/drawing/2014/main" id="{5A6648CB-15B7-4978-91FE-2CC10248A565}"/>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5" name="CaixaDeTexto 16">
          <a:extLst>
            <a:ext uri="{FF2B5EF4-FFF2-40B4-BE49-F238E27FC236}">
              <a16:creationId xmlns:a16="http://schemas.microsoft.com/office/drawing/2014/main" id="{21708694-BC65-4E81-BE0A-9FDF91186A8D}"/>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6" name="CaixaDeTexto 18">
          <a:extLst>
            <a:ext uri="{FF2B5EF4-FFF2-40B4-BE49-F238E27FC236}">
              <a16:creationId xmlns:a16="http://schemas.microsoft.com/office/drawing/2014/main" id="{9C156114-9FF0-4415-967A-77290E22DA27}"/>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7" name="CaixaDeTexto 20">
          <a:extLst>
            <a:ext uri="{FF2B5EF4-FFF2-40B4-BE49-F238E27FC236}">
              <a16:creationId xmlns:a16="http://schemas.microsoft.com/office/drawing/2014/main" id="{D1D9D6C2-F08C-4317-B581-6EE416478618}"/>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8" name="CaixaDeTexto 21">
          <a:extLst>
            <a:ext uri="{FF2B5EF4-FFF2-40B4-BE49-F238E27FC236}">
              <a16:creationId xmlns:a16="http://schemas.microsoft.com/office/drawing/2014/main" id="{B8A395D1-15AD-4598-8B54-BD27AD12E334}"/>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248</xdr:row>
      <xdr:rowOff>0</xdr:rowOff>
    </xdr:from>
    <xdr:ext cx="184731" cy="273683"/>
    <xdr:sp macro="" textlink="">
      <xdr:nvSpPr>
        <xdr:cNvPr id="699" name="CaixaDeTexto 24">
          <a:extLst>
            <a:ext uri="{FF2B5EF4-FFF2-40B4-BE49-F238E27FC236}">
              <a16:creationId xmlns:a16="http://schemas.microsoft.com/office/drawing/2014/main" id="{41025653-6190-49CE-9C03-5C5BD9CF4C3C}"/>
            </a:ext>
          </a:extLst>
        </xdr:cNvPr>
        <xdr:cNvSpPr txBox="1"/>
      </xdr:nvSpPr>
      <xdr:spPr>
        <a:xfrm>
          <a:off x="565150" y="2781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0" name="CaixaDeTexto 2">
          <a:extLst>
            <a:ext uri="{FF2B5EF4-FFF2-40B4-BE49-F238E27FC236}">
              <a16:creationId xmlns:a16="http://schemas.microsoft.com/office/drawing/2014/main" id="{F1FA28F0-738A-46F6-9AB3-F4ECCF942CC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1" name="CaixaDeTexto 4">
          <a:extLst>
            <a:ext uri="{FF2B5EF4-FFF2-40B4-BE49-F238E27FC236}">
              <a16:creationId xmlns:a16="http://schemas.microsoft.com/office/drawing/2014/main" id="{8AC378FA-59D5-45E6-8E58-7A489979077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2" name="CaixaDeTexto 9">
          <a:extLst>
            <a:ext uri="{FF2B5EF4-FFF2-40B4-BE49-F238E27FC236}">
              <a16:creationId xmlns:a16="http://schemas.microsoft.com/office/drawing/2014/main" id="{000D470D-39CC-4842-A1B0-D5376D450D8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3" name="CaixaDeTexto 12">
          <a:extLst>
            <a:ext uri="{FF2B5EF4-FFF2-40B4-BE49-F238E27FC236}">
              <a16:creationId xmlns:a16="http://schemas.microsoft.com/office/drawing/2014/main" id="{190F2F4E-9586-4CDD-9B8F-C117F52E7E3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4" name="CaixaDeTexto 14">
          <a:extLst>
            <a:ext uri="{FF2B5EF4-FFF2-40B4-BE49-F238E27FC236}">
              <a16:creationId xmlns:a16="http://schemas.microsoft.com/office/drawing/2014/main" id="{45B16F4F-0E0F-43BE-A554-41B93A08F56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5" name="CaixaDeTexto 16">
          <a:extLst>
            <a:ext uri="{FF2B5EF4-FFF2-40B4-BE49-F238E27FC236}">
              <a16:creationId xmlns:a16="http://schemas.microsoft.com/office/drawing/2014/main" id="{40553B91-2AF1-42F9-B820-2528625151C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6" name="CaixaDeTexto 18">
          <a:extLst>
            <a:ext uri="{FF2B5EF4-FFF2-40B4-BE49-F238E27FC236}">
              <a16:creationId xmlns:a16="http://schemas.microsoft.com/office/drawing/2014/main" id="{DFDF17BE-7D0E-499B-A053-B0A7B64A488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7" name="CaixaDeTexto 20">
          <a:extLst>
            <a:ext uri="{FF2B5EF4-FFF2-40B4-BE49-F238E27FC236}">
              <a16:creationId xmlns:a16="http://schemas.microsoft.com/office/drawing/2014/main" id="{6580DF75-1EB2-40CC-AF22-1B4AB9C1DD8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8" name="CaixaDeTexto 2">
          <a:extLst>
            <a:ext uri="{FF2B5EF4-FFF2-40B4-BE49-F238E27FC236}">
              <a16:creationId xmlns:a16="http://schemas.microsoft.com/office/drawing/2014/main" id="{16A97E94-57FB-4D97-A3F4-1DD12E13730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09" name="CaixaDeTexto 4">
          <a:extLst>
            <a:ext uri="{FF2B5EF4-FFF2-40B4-BE49-F238E27FC236}">
              <a16:creationId xmlns:a16="http://schemas.microsoft.com/office/drawing/2014/main" id="{D31C3591-985F-40A1-B0EC-35894176762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0" name="CaixaDeTexto 9">
          <a:extLst>
            <a:ext uri="{FF2B5EF4-FFF2-40B4-BE49-F238E27FC236}">
              <a16:creationId xmlns:a16="http://schemas.microsoft.com/office/drawing/2014/main" id="{416ED521-EC59-465D-9588-57598B32D03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1" name="CaixaDeTexto 12">
          <a:extLst>
            <a:ext uri="{FF2B5EF4-FFF2-40B4-BE49-F238E27FC236}">
              <a16:creationId xmlns:a16="http://schemas.microsoft.com/office/drawing/2014/main" id="{4F3512A4-02D3-4013-B615-B4B842AD7AE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2" name="CaixaDeTexto 14">
          <a:extLst>
            <a:ext uri="{FF2B5EF4-FFF2-40B4-BE49-F238E27FC236}">
              <a16:creationId xmlns:a16="http://schemas.microsoft.com/office/drawing/2014/main" id="{795B782F-A982-434E-BD82-0A538FE039A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3" name="CaixaDeTexto 16">
          <a:extLst>
            <a:ext uri="{FF2B5EF4-FFF2-40B4-BE49-F238E27FC236}">
              <a16:creationId xmlns:a16="http://schemas.microsoft.com/office/drawing/2014/main" id="{C0250BFA-2CC7-4B04-976C-5D81CABC64A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4" name="CaixaDeTexto 18">
          <a:extLst>
            <a:ext uri="{FF2B5EF4-FFF2-40B4-BE49-F238E27FC236}">
              <a16:creationId xmlns:a16="http://schemas.microsoft.com/office/drawing/2014/main" id="{5C416286-A42B-41D6-956A-CB8D39158E4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5" name="CaixaDeTexto 20">
          <a:extLst>
            <a:ext uri="{FF2B5EF4-FFF2-40B4-BE49-F238E27FC236}">
              <a16:creationId xmlns:a16="http://schemas.microsoft.com/office/drawing/2014/main" id="{824CCB4A-591C-415E-853C-3ADB0864161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6" name="CaixaDeTexto 21">
          <a:extLst>
            <a:ext uri="{FF2B5EF4-FFF2-40B4-BE49-F238E27FC236}">
              <a16:creationId xmlns:a16="http://schemas.microsoft.com/office/drawing/2014/main" id="{8BAAF7CC-3354-4952-8F6D-97C08C5FC67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7" name="CaixaDeTexto 24">
          <a:extLst>
            <a:ext uri="{FF2B5EF4-FFF2-40B4-BE49-F238E27FC236}">
              <a16:creationId xmlns:a16="http://schemas.microsoft.com/office/drawing/2014/main" id="{910A8ECE-5488-47FE-B3B0-CD387002CE7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8" name="CaixaDeTexto 2">
          <a:extLst>
            <a:ext uri="{FF2B5EF4-FFF2-40B4-BE49-F238E27FC236}">
              <a16:creationId xmlns:a16="http://schemas.microsoft.com/office/drawing/2014/main" id="{EE870253-713E-4178-B77B-FB911BED994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19" name="CaixaDeTexto 4">
          <a:extLst>
            <a:ext uri="{FF2B5EF4-FFF2-40B4-BE49-F238E27FC236}">
              <a16:creationId xmlns:a16="http://schemas.microsoft.com/office/drawing/2014/main" id="{84BBF8CC-430A-4E30-8FB1-6B58E2C8A45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0" name="CaixaDeTexto 9">
          <a:extLst>
            <a:ext uri="{FF2B5EF4-FFF2-40B4-BE49-F238E27FC236}">
              <a16:creationId xmlns:a16="http://schemas.microsoft.com/office/drawing/2014/main" id="{6047DA6A-4B72-489F-A2FE-87C92B1F79B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1" name="CaixaDeTexto 12">
          <a:extLst>
            <a:ext uri="{FF2B5EF4-FFF2-40B4-BE49-F238E27FC236}">
              <a16:creationId xmlns:a16="http://schemas.microsoft.com/office/drawing/2014/main" id="{DE1F86A8-04D6-417F-B983-57C45EA558B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2" name="CaixaDeTexto 14">
          <a:extLst>
            <a:ext uri="{FF2B5EF4-FFF2-40B4-BE49-F238E27FC236}">
              <a16:creationId xmlns:a16="http://schemas.microsoft.com/office/drawing/2014/main" id="{7CC915E1-A564-4066-BD33-A15E97D5EA1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3" name="CaixaDeTexto 16">
          <a:extLst>
            <a:ext uri="{FF2B5EF4-FFF2-40B4-BE49-F238E27FC236}">
              <a16:creationId xmlns:a16="http://schemas.microsoft.com/office/drawing/2014/main" id="{289C088A-4803-4E22-A6A9-29AC04E77A7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4" name="CaixaDeTexto 18">
          <a:extLst>
            <a:ext uri="{FF2B5EF4-FFF2-40B4-BE49-F238E27FC236}">
              <a16:creationId xmlns:a16="http://schemas.microsoft.com/office/drawing/2014/main" id="{F9A10E3C-3B45-49F1-A90F-591B9097642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5" name="CaixaDeTexto 20">
          <a:extLst>
            <a:ext uri="{FF2B5EF4-FFF2-40B4-BE49-F238E27FC236}">
              <a16:creationId xmlns:a16="http://schemas.microsoft.com/office/drawing/2014/main" id="{F1BC251C-B6BD-4524-B274-652037F23C2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6" name="CaixaDeTexto 21">
          <a:extLst>
            <a:ext uri="{FF2B5EF4-FFF2-40B4-BE49-F238E27FC236}">
              <a16:creationId xmlns:a16="http://schemas.microsoft.com/office/drawing/2014/main" id="{8B787686-8C6A-469B-B963-F346B74EDA2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7" name="CaixaDeTexto 24">
          <a:extLst>
            <a:ext uri="{FF2B5EF4-FFF2-40B4-BE49-F238E27FC236}">
              <a16:creationId xmlns:a16="http://schemas.microsoft.com/office/drawing/2014/main" id="{B9F4B325-3183-4ABF-BD94-C29E6CA8A89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8" name="CaixaDeTexto 2">
          <a:extLst>
            <a:ext uri="{FF2B5EF4-FFF2-40B4-BE49-F238E27FC236}">
              <a16:creationId xmlns:a16="http://schemas.microsoft.com/office/drawing/2014/main" id="{022CD7AC-50EF-498C-9909-D53D37C5364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29" name="CaixaDeTexto 4">
          <a:extLst>
            <a:ext uri="{FF2B5EF4-FFF2-40B4-BE49-F238E27FC236}">
              <a16:creationId xmlns:a16="http://schemas.microsoft.com/office/drawing/2014/main" id="{FE1A17D4-EBF3-4272-AACD-7A67BA43C50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0" name="CaixaDeTexto 9">
          <a:extLst>
            <a:ext uri="{FF2B5EF4-FFF2-40B4-BE49-F238E27FC236}">
              <a16:creationId xmlns:a16="http://schemas.microsoft.com/office/drawing/2014/main" id="{343A7B3A-3D86-4AC1-8507-EF76E3FF665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1" name="CaixaDeTexto 12">
          <a:extLst>
            <a:ext uri="{FF2B5EF4-FFF2-40B4-BE49-F238E27FC236}">
              <a16:creationId xmlns:a16="http://schemas.microsoft.com/office/drawing/2014/main" id="{0B709A2E-265D-48DF-8EB4-455C5BAB78F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2" name="CaixaDeTexto 14">
          <a:extLst>
            <a:ext uri="{FF2B5EF4-FFF2-40B4-BE49-F238E27FC236}">
              <a16:creationId xmlns:a16="http://schemas.microsoft.com/office/drawing/2014/main" id="{5B80F773-E843-40C6-A528-AE77A6B89BE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3" name="CaixaDeTexto 16">
          <a:extLst>
            <a:ext uri="{FF2B5EF4-FFF2-40B4-BE49-F238E27FC236}">
              <a16:creationId xmlns:a16="http://schemas.microsoft.com/office/drawing/2014/main" id="{9A32BAC6-7D91-4E2E-B481-1AEAEAE7904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4" name="CaixaDeTexto 18">
          <a:extLst>
            <a:ext uri="{FF2B5EF4-FFF2-40B4-BE49-F238E27FC236}">
              <a16:creationId xmlns:a16="http://schemas.microsoft.com/office/drawing/2014/main" id="{02EFEA72-A588-45D0-80E8-2B6F441BD37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5" name="CaixaDeTexto 20">
          <a:extLst>
            <a:ext uri="{FF2B5EF4-FFF2-40B4-BE49-F238E27FC236}">
              <a16:creationId xmlns:a16="http://schemas.microsoft.com/office/drawing/2014/main" id="{D701DADA-6244-43EA-9BA7-AAB94834C0C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6" name="CaixaDeTexto 21">
          <a:extLst>
            <a:ext uri="{FF2B5EF4-FFF2-40B4-BE49-F238E27FC236}">
              <a16:creationId xmlns:a16="http://schemas.microsoft.com/office/drawing/2014/main" id="{24C7D360-47E3-43B5-8E9E-98DFBB58E44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7" name="CaixaDeTexto 24">
          <a:extLst>
            <a:ext uri="{FF2B5EF4-FFF2-40B4-BE49-F238E27FC236}">
              <a16:creationId xmlns:a16="http://schemas.microsoft.com/office/drawing/2014/main" id="{A0B9420C-78AA-495E-93ED-47D15A9C776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8" name="CaixaDeTexto 2">
          <a:extLst>
            <a:ext uri="{FF2B5EF4-FFF2-40B4-BE49-F238E27FC236}">
              <a16:creationId xmlns:a16="http://schemas.microsoft.com/office/drawing/2014/main" id="{5ADCD829-E274-4743-AD1C-54860E91F58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39" name="CaixaDeTexto 4">
          <a:extLst>
            <a:ext uri="{FF2B5EF4-FFF2-40B4-BE49-F238E27FC236}">
              <a16:creationId xmlns:a16="http://schemas.microsoft.com/office/drawing/2014/main" id="{597B2A8D-FD66-4F02-A4FE-83940132C9E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0" name="CaixaDeTexto 9">
          <a:extLst>
            <a:ext uri="{FF2B5EF4-FFF2-40B4-BE49-F238E27FC236}">
              <a16:creationId xmlns:a16="http://schemas.microsoft.com/office/drawing/2014/main" id="{3C11D2D1-8F51-49B0-B0AB-922265504C3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1" name="CaixaDeTexto 12">
          <a:extLst>
            <a:ext uri="{FF2B5EF4-FFF2-40B4-BE49-F238E27FC236}">
              <a16:creationId xmlns:a16="http://schemas.microsoft.com/office/drawing/2014/main" id="{5D2EC69B-C31B-4492-BB30-40312AFF851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2" name="CaixaDeTexto 14">
          <a:extLst>
            <a:ext uri="{FF2B5EF4-FFF2-40B4-BE49-F238E27FC236}">
              <a16:creationId xmlns:a16="http://schemas.microsoft.com/office/drawing/2014/main" id="{3872A364-0F79-4DFF-8D22-FC58A506F68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3" name="CaixaDeTexto 16">
          <a:extLst>
            <a:ext uri="{FF2B5EF4-FFF2-40B4-BE49-F238E27FC236}">
              <a16:creationId xmlns:a16="http://schemas.microsoft.com/office/drawing/2014/main" id="{6083C107-7792-4A1C-BE2D-012A99F65A3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4" name="CaixaDeTexto 18">
          <a:extLst>
            <a:ext uri="{FF2B5EF4-FFF2-40B4-BE49-F238E27FC236}">
              <a16:creationId xmlns:a16="http://schemas.microsoft.com/office/drawing/2014/main" id="{3EDD1DD4-C4C5-4F7C-BD6E-A217A495FE3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5" name="CaixaDeTexto 20">
          <a:extLst>
            <a:ext uri="{FF2B5EF4-FFF2-40B4-BE49-F238E27FC236}">
              <a16:creationId xmlns:a16="http://schemas.microsoft.com/office/drawing/2014/main" id="{8232D58C-08F2-4C7B-AF22-B21D1B616D6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6" name="CaixaDeTexto 21">
          <a:extLst>
            <a:ext uri="{FF2B5EF4-FFF2-40B4-BE49-F238E27FC236}">
              <a16:creationId xmlns:a16="http://schemas.microsoft.com/office/drawing/2014/main" id="{37733C53-062B-478B-B4AC-ADBA95E8DEB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7" name="CaixaDeTexto 24">
          <a:extLst>
            <a:ext uri="{FF2B5EF4-FFF2-40B4-BE49-F238E27FC236}">
              <a16:creationId xmlns:a16="http://schemas.microsoft.com/office/drawing/2014/main" id="{B43A591F-9470-4B36-B8A9-5E99D723731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8" name="CaixaDeTexto 2">
          <a:extLst>
            <a:ext uri="{FF2B5EF4-FFF2-40B4-BE49-F238E27FC236}">
              <a16:creationId xmlns:a16="http://schemas.microsoft.com/office/drawing/2014/main" id="{3D82631E-D736-40D7-9A85-201DC26BDFC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49" name="CaixaDeTexto 4">
          <a:extLst>
            <a:ext uri="{FF2B5EF4-FFF2-40B4-BE49-F238E27FC236}">
              <a16:creationId xmlns:a16="http://schemas.microsoft.com/office/drawing/2014/main" id="{89C63E38-3372-4EBC-83AA-D3CAD2E45E7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0" name="CaixaDeTexto 9">
          <a:extLst>
            <a:ext uri="{FF2B5EF4-FFF2-40B4-BE49-F238E27FC236}">
              <a16:creationId xmlns:a16="http://schemas.microsoft.com/office/drawing/2014/main" id="{3CFB06C1-A8AE-4BCC-8E66-A93630A18B4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1" name="CaixaDeTexto 12">
          <a:extLst>
            <a:ext uri="{FF2B5EF4-FFF2-40B4-BE49-F238E27FC236}">
              <a16:creationId xmlns:a16="http://schemas.microsoft.com/office/drawing/2014/main" id="{D9870D4B-FA49-494B-AD87-AB0B6A9848F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2" name="CaixaDeTexto 14">
          <a:extLst>
            <a:ext uri="{FF2B5EF4-FFF2-40B4-BE49-F238E27FC236}">
              <a16:creationId xmlns:a16="http://schemas.microsoft.com/office/drawing/2014/main" id="{86726892-487F-4A94-95A3-EDF03A9254A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3" name="CaixaDeTexto 16">
          <a:extLst>
            <a:ext uri="{FF2B5EF4-FFF2-40B4-BE49-F238E27FC236}">
              <a16:creationId xmlns:a16="http://schemas.microsoft.com/office/drawing/2014/main" id="{FB9E7F55-A9DC-4A56-8A3D-C62C41A3428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4" name="CaixaDeTexto 18">
          <a:extLst>
            <a:ext uri="{FF2B5EF4-FFF2-40B4-BE49-F238E27FC236}">
              <a16:creationId xmlns:a16="http://schemas.microsoft.com/office/drawing/2014/main" id="{C3F43715-F37A-4562-A5D1-6F129A30E53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5" name="CaixaDeTexto 20">
          <a:extLst>
            <a:ext uri="{FF2B5EF4-FFF2-40B4-BE49-F238E27FC236}">
              <a16:creationId xmlns:a16="http://schemas.microsoft.com/office/drawing/2014/main" id="{A49DA15F-67C0-48D7-845B-07F7860B4CF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6" name="CaixaDeTexto 21">
          <a:extLst>
            <a:ext uri="{FF2B5EF4-FFF2-40B4-BE49-F238E27FC236}">
              <a16:creationId xmlns:a16="http://schemas.microsoft.com/office/drawing/2014/main" id="{D079AA7D-2C1C-46A8-B1F3-B9AAE1A7CE0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7" name="CaixaDeTexto 24">
          <a:extLst>
            <a:ext uri="{FF2B5EF4-FFF2-40B4-BE49-F238E27FC236}">
              <a16:creationId xmlns:a16="http://schemas.microsoft.com/office/drawing/2014/main" id="{729E9E74-654F-4979-9F12-1BA091CA857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8" name="CaixaDeTexto 2">
          <a:extLst>
            <a:ext uri="{FF2B5EF4-FFF2-40B4-BE49-F238E27FC236}">
              <a16:creationId xmlns:a16="http://schemas.microsoft.com/office/drawing/2014/main" id="{68D46EE2-696D-4D3B-8A8F-76D9574CFB1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59" name="CaixaDeTexto 4">
          <a:extLst>
            <a:ext uri="{FF2B5EF4-FFF2-40B4-BE49-F238E27FC236}">
              <a16:creationId xmlns:a16="http://schemas.microsoft.com/office/drawing/2014/main" id="{6ECAA049-C1FE-4FC3-8600-7EB6E76B96F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0" name="CaixaDeTexto 9">
          <a:extLst>
            <a:ext uri="{FF2B5EF4-FFF2-40B4-BE49-F238E27FC236}">
              <a16:creationId xmlns:a16="http://schemas.microsoft.com/office/drawing/2014/main" id="{C4314E04-4BA1-42DE-A7F8-B03E0854182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1" name="CaixaDeTexto 12">
          <a:extLst>
            <a:ext uri="{FF2B5EF4-FFF2-40B4-BE49-F238E27FC236}">
              <a16:creationId xmlns:a16="http://schemas.microsoft.com/office/drawing/2014/main" id="{DBE63025-5BF6-4B62-AA3F-AB47CA4C1E2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2" name="CaixaDeTexto 14">
          <a:extLst>
            <a:ext uri="{FF2B5EF4-FFF2-40B4-BE49-F238E27FC236}">
              <a16:creationId xmlns:a16="http://schemas.microsoft.com/office/drawing/2014/main" id="{A801EB65-FE85-46B6-9594-3DF2889FDAC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3" name="CaixaDeTexto 16">
          <a:extLst>
            <a:ext uri="{FF2B5EF4-FFF2-40B4-BE49-F238E27FC236}">
              <a16:creationId xmlns:a16="http://schemas.microsoft.com/office/drawing/2014/main" id="{A38F503D-30A7-4906-A917-239F2FC7DD3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4" name="CaixaDeTexto 18">
          <a:extLst>
            <a:ext uri="{FF2B5EF4-FFF2-40B4-BE49-F238E27FC236}">
              <a16:creationId xmlns:a16="http://schemas.microsoft.com/office/drawing/2014/main" id="{DEC62D21-B58E-452F-A9E7-BF4AB40D98A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5" name="CaixaDeTexto 20">
          <a:extLst>
            <a:ext uri="{FF2B5EF4-FFF2-40B4-BE49-F238E27FC236}">
              <a16:creationId xmlns:a16="http://schemas.microsoft.com/office/drawing/2014/main" id="{FBCE707A-FA34-4B5D-83C2-5B853A54CB3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6" name="CaixaDeTexto 21">
          <a:extLst>
            <a:ext uri="{FF2B5EF4-FFF2-40B4-BE49-F238E27FC236}">
              <a16:creationId xmlns:a16="http://schemas.microsoft.com/office/drawing/2014/main" id="{B2EA2EB7-2C9A-4DE3-9ABC-9E90BCDEC67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7" name="CaixaDeTexto 24">
          <a:extLst>
            <a:ext uri="{FF2B5EF4-FFF2-40B4-BE49-F238E27FC236}">
              <a16:creationId xmlns:a16="http://schemas.microsoft.com/office/drawing/2014/main" id="{645B9600-260D-4503-B5C4-292E1757A9B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8" name="CaixaDeTexto 2">
          <a:extLst>
            <a:ext uri="{FF2B5EF4-FFF2-40B4-BE49-F238E27FC236}">
              <a16:creationId xmlns:a16="http://schemas.microsoft.com/office/drawing/2014/main" id="{1BE962DA-66C9-47E4-ABA5-7FE6BADF7FB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69" name="CaixaDeTexto 4">
          <a:extLst>
            <a:ext uri="{FF2B5EF4-FFF2-40B4-BE49-F238E27FC236}">
              <a16:creationId xmlns:a16="http://schemas.microsoft.com/office/drawing/2014/main" id="{7BA0F3C4-73A8-480D-AE81-05ED7634C61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0" name="CaixaDeTexto 9">
          <a:extLst>
            <a:ext uri="{FF2B5EF4-FFF2-40B4-BE49-F238E27FC236}">
              <a16:creationId xmlns:a16="http://schemas.microsoft.com/office/drawing/2014/main" id="{F29E53E5-28CF-4162-A262-721EE940394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1" name="CaixaDeTexto 12">
          <a:extLst>
            <a:ext uri="{FF2B5EF4-FFF2-40B4-BE49-F238E27FC236}">
              <a16:creationId xmlns:a16="http://schemas.microsoft.com/office/drawing/2014/main" id="{431F9E5F-57A8-4D80-9CFD-9183BA33F81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2" name="CaixaDeTexto 14">
          <a:extLst>
            <a:ext uri="{FF2B5EF4-FFF2-40B4-BE49-F238E27FC236}">
              <a16:creationId xmlns:a16="http://schemas.microsoft.com/office/drawing/2014/main" id="{BE539D32-FE3A-4012-9632-C5B225DCD0E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3" name="CaixaDeTexto 16">
          <a:extLst>
            <a:ext uri="{FF2B5EF4-FFF2-40B4-BE49-F238E27FC236}">
              <a16:creationId xmlns:a16="http://schemas.microsoft.com/office/drawing/2014/main" id="{56DC12EA-5D5C-4967-800A-F9E6124E035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4" name="CaixaDeTexto 18">
          <a:extLst>
            <a:ext uri="{FF2B5EF4-FFF2-40B4-BE49-F238E27FC236}">
              <a16:creationId xmlns:a16="http://schemas.microsoft.com/office/drawing/2014/main" id="{DF9C49A3-7D5C-47BD-BF4A-2A959461BA5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5" name="CaixaDeTexto 20">
          <a:extLst>
            <a:ext uri="{FF2B5EF4-FFF2-40B4-BE49-F238E27FC236}">
              <a16:creationId xmlns:a16="http://schemas.microsoft.com/office/drawing/2014/main" id="{23461A84-4CDB-4065-A40B-A71448A4A6B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6" name="CaixaDeTexto 21">
          <a:extLst>
            <a:ext uri="{FF2B5EF4-FFF2-40B4-BE49-F238E27FC236}">
              <a16:creationId xmlns:a16="http://schemas.microsoft.com/office/drawing/2014/main" id="{D3A3D1F9-1AB1-40CE-896C-9C98C84AC59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7" name="CaixaDeTexto 24">
          <a:extLst>
            <a:ext uri="{FF2B5EF4-FFF2-40B4-BE49-F238E27FC236}">
              <a16:creationId xmlns:a16="http://schemas.microsoft.com/office/drawing/2014/main" id="{02603796-CB58-439F-BBC0-B98364B9E7E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8" name="CaixaDeTexto 2">
          <a:extLst>
            <a:ext uri="{FF2B5EF4-FFF2-40B4-BE49-F238E27FC236}">
              <a16:creationId xmlns:a16="http://schemas.microsoft.com/office/drawing/2014/main" id="{7A66A9CA-C819-489F-89D3-CB8064EEF5C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79" name="CaixaDeTexto 4">
          <a:extLst>
            <a:ext uri="{FF2B5EF4-FFF2-40B4-BE49-F238E27FC236}">
              <a16:creationId xmlns:a16="http://schemas.microsoft.com/office/drawing/2014/main" id="{1E058820-9D05-414C-A274-615FCB2890B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0" name="CaixaDeTexto 9">
          <a:extLst>
            <a:ext uri="{FF2B5EF4-FFF2-40B4-BE49-F238E27FC236}">
              <a16:creationId xmlns:a16="http://schemas.microsoft.com/office/drawing/2014/main" id="{6AC6397B-6159-4BBB-A8DC-4EFC8016DB6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1" name="CaixaDeTexto 12">
          <a:extLst>
            <a:ext uri="{FF2B5EF4-FFF2-40B4-BE49-F238E27FC236}">
              <a16:creationId xmlns:a16="http://schemas.microsoft.com/office/drawing/2014/main" id="{5548AC10-12AA-4FBE-A2F4-12A166CCCD2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2" name="CaixaDeTexto 14">
          <a:extLst>
            <a:ext uri="{FF2B5EF4-FFF2-40B4-BE49-F238E27FC236}">
              <a16:creationId xmlns:a16="http://schemas.microsoft.com/office/drawing/2014/main" id="{E0A0599D-EB48-46C0-8390-2B32DECC05A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3" name="CaixaDeTexto 16">
          <a:extLst>
            <a:ext uri="{FF2B5EF4-FFF2-40B4-BE49-F238E27FC236}">
              <a16:creationId xmlns:a16="http://schemas.microsoft.com/office/drawing/2014/main" id="{8E1CF7A7-F096-4E99-8755-8B4514CFE5E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4" name="CaixaDeTexto 18">
          <a:extLst>
            <a:ext uri="{FF2B5EF4-FFF2-40B4-BE49-F238E27FC236}">
              <a16:creationId xmlns:a16="http://schemas.microsoft.com/office/drawing/2014/main" id="{0556EAB0-CB0C-400D-8871-0B7D4C366A7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5" name="CaixaDeTexto 20">
          <a:extLst>
            <a:ext uri="{FF2B5EF4-FFF2-40B4-BE49-F238E27FC236}">
              <a16:creationId xmlns:a16="http://schemas.microsoft.com/office/drawing/2014/main" id="{72E1D35B-7ACB-43CF-BE4C-B6B673A82F7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6" name="CaixaDeTexto 21">
          <a:extLst>
            <a:ext uri="{FF2B5EF4-FFF2-40B4-BE49-F238E27FC236}">
              <a16:creationId xmlns:a16="http://schemas.microsoft.com/office/drawing/2014/main" id="{49BBC032-B8A5-4D99-8FB5-92F541B984A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7" name="CaixaDeTexto 24">
          <a:extLst>
            <a:ext uri="{FF2B5EF4-FFF2-40B4-BE49-F238E27FC236}">
              <a16:creationId xmlns:a16="http://schemas.microsoft.com/office/drawing/2014/main" id="{52D15630-04B3-4CEE-A445-94A8337ACF0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8" name="CaixaDeTexto 2">
          <a:extLst>
            <a:ext uri="{FF2B5EF4-FFF2-40B4-BE49-F238E27FC236}">
              <a16:creationId xmlns:a16="http://schemas.microsoft.com/office/drawing/2014/main" id="{20F14D32-D0C8-4B5B-8BFD-1450AC2D0D3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89" name="CaixaDeTexto 4">
          <a:extLst>
            <a:ext uri="{FF2B5EF4-FFF2-40B4-BE49-F238E27FC236}">
              <a16:creationId xmlns:a16="http://schemas.microsoft.com/office/drawing/2014/main" id="{685735F8-ABE0-43C1-870F-82F832F4FFB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0" name="CaixaDeTexto 9">
          <a:extLst>
            <a:ext uri="{FF2B5EF4-FFF2-40B4-BE49-F238E27FC236}">
              <a16:creationId xmlns:a16="http://schemas.microsoft.com/office/drawing/2014/main" id="{88AD620B-1189-48AD-A55C-3C554C7F397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1" name="CaixaDeTexto 12">
          <a:extLst>
            <a:ext uri="{FF2B5EF4-FFF2-40B4-BE49-F238E27FC236}">
              <a16:creationId xmlns:a16="http://schemas.microsoft.com/office/drawing/2014/main" id="{14393C9C-4AD6-479A-80AD-6B8CF6BE954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2" name="CaixaDeTexto 14">
          <a:extLst>
            <a:ext uri="{FF2B5EF4-FFF2-40B4-BE49-F238E27FC236}">
              <a16:creationId xmlns:a16="http://schemas.microsoft.com/office/drawing/2014/main" id="{5C24E50F-88F0-4A37-A0E8-8C9A0F6A843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3" name="CaixaDeTexto 16">
          <a:extLst>
            <a:ext uri="{FF2B5EF4-FFF2-40B4-BE49-F238E27FC236}">
              <a16:creationId xmlns:a16="http://schemas.microsoft.com/office/drawing/2014/main" id="{1E6664A0-AAB2-4640-BB3C-423B666D504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4" name="CaixaDeTexto 18">
          <a:extLst>
            <a:ext uri="{FF2B5EF4-FFF2-40B4-BE49-F238E27FC236}">
              <a16:creationId xmlns:a16="http://schemas.microsoft.com/office/drawing/2014/main" id="{46099150-D879-44CA-9BFA-FF8E138AA42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5" name="CaixaDeTexto 20">
          <a:extLst>
            <a:ext uri="{FF2B5EF4-FFF2-40B4-BE49-F238E27FC236}">
              <a16:creationId xmlns:a16="http://schemas.microsoft.com/office/drawing/2014/main" id="{B2AD1623-F79C-4FCF-AECF-13F07DA6148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6" name="CaixaDeTexto 21">
          <a:extLst>
            <a:ext uri="{FF2B5EF4-FFF2-40B4-BE49-F238E27FC236}">
              <a16:creationId xmlns:a16="http://schemas.microsoft.com/office/drawing/2014/main" id="{D15A6A1E-52CC-40EF-8539-4ACB79BF1CB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7" name="CaixaDeTexto 24">
          <a:extLst>
            <a:ext uri="{FF2B5EF4-FFF2-40B4-BE49-F238E27FC236}">
              <a16:creationId xmlns:a16="http://schemas.microsoft.com/office/drawing/2014/main" id="{09235BCD-36DF-4715-ACDC-2BF1EAED1AA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8" name="CaixaDeTexto 2">
          <a:extLst>
            <a:ext uri="{FF2B5EF4-FFF2-40B4-BE49-F238E27FC236}">
              <a16:creationId xmlns:a16="http://schemas.microsoft.com/office/drawing/2014/main" id="{0A46FB89-FE06-4707-8518-50CB5AF86A2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799" name="CaixaDeTexto 4">
          <a:extLst>
            <a:ext uri="{FF2B5EF4-FFF2-40B4-BE49-F238E27FC236}">
              <a16:creationId xmlns:a16="http://schemas.microsoft.com/office/drawing/2014/main" id="{3A93CBA5-C402-42A0-9149-F46AF903933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0" name="CaixaDeTexto 9">
          <a:extLst>
            <a:ext uri="{FF2B5EF4-FFF2-40B4-BE49-F238E27FC236}">
              <a16:creationId xmlns:a16="http://schemas.microsoft.com/office/drawing/2014/main" id="{91CA43E2-7372-4DF5-AB75-460B58041EF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1" name="CaixaDeTexto 12">
          <a:extLst>
            <a:ext uri="{FF2B5EF4-FFF2-40B4-BE49-F238E27FC236}">
              <a16:creationId xmlns:a16="http://schemas.microsoft.com/office/drawing/2014/main" id="{BFC9D815-E5CA-4173-8814-35DAEA7FEB7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2" name="CaixaDeTexto 14">
          <a:extLst>
            <a:ext uri="{FF2B5EF4-FFF2-40B4-BE49-F238E27FC236}">
              <a16:creationId xmlns:a16="http://schemas.microsoft.com/office/drawing/2014/main" id="{AE4B3F1F-7C62-47E0-9F1F-DF8AF199986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3" name="CaixaDeTexto 16">
          <a:extLst>
            <a:ext uri="{FF2B5EF4-FFF2-40B4-BE49-F238E27FC236}">
              <a16:creationId xmlns:a16="http://schemas.microsoft.com/office/drawing/2014/main" id="{AF142BE0-FE80-45BA-9168-1CEAC1AE6F1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4" name="CaixaDeTexto 18">
          <a:extLst>
            <a:ext uri="{FF2B5EF4-FFF2-40B4-BE49-F238E27FC236}">
              <a16:creationId xmlns:a16="http://schemas.microsoft.com/office/drawing/2014/main" id="{73184CA4-AC68-492C-8223-017B8D27DBD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5" name="CaixaDeTexto 20">
          <a:extLst>
            <a:ext uri="{FF2B5EF4-FFF2-40B4-BE49-F238E27FC236}">
              <a16:creationId xmlns:a16="http://schemas.microsoft.com/office/drawing/2014/main" id="{01BE6C06-0296-4ED4-A425-99407004B54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6" name="CaixaDeTexto 21">
          <a:extLst>
            <a:ext uri="{FF2B5EF4-FFF2-40B4-BE49-F238E27FC236}">
              <a16:creationId xmlns:a16="http://schemas.microsoft.com/office/drawing/2014/main" id="{88C795EF-3780-42AF-849B-930F15B05AA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7" name="CaixaDeTexto 24">
          <a:extLst>
            <a:ext uri="{FF2B5EF4-FFF2-40B4-BE49-F238E27FC236}">
              <a16:creationId xmlns:a16="http://schemas.microsoft.com/office/drawing/2014/main" id="{3F4794D0-C1BC-4B49-A60E-F824A21B9AF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8" name="CaixaDeTexto 2">
          <a:extLst>
            <a:ext uri="{FF2B5EF4-FFF2-40B4-BE49-F238E27FC236}">
              <a16:creationId xmlns:a16="http://schemas.microsoft.com/office/drawing/2014/main" id="{B9FBE3A5-7E4F-4C00-9586-650ECDF80F1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09" name="CaixaDeTexto 4">
          <a:extLst>
            <a:ext uri="{FF2B5EF4-FFF2-40B4-BE49-F238E27FC236}">
              <a16:creationId xmlns:a16="http://schemas.microsoft.com/office/drawing/2014/main" id="{E4987B90-683E-43C8-9C64-CC97B9931C5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0" name="CaixaDeTexto 9">
          <a:extLst>
            <a:ext uri="{FF2B5EF4-FFF2-40B4-BE49-F238E27FC236}">
              <a16:creationId xmlns:a16="http://schemas.microsoft.com/office/drawing/2014/main" id="{0E3D1DFE-60C1-4383-8A5D-4CF79840AEE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1" name="CaixaDeTexto 12">
          <a:extLst>
            <a:ext uri="{FF2B5EF4-FFF2-40B4-BE49-F238E27FC236}">
              <a16:creationId xmlns:a16="http://schemas.microsoft.com/office/drawing/2014/main" id="{EDB8AC93-400E-4C81-8749-AC5645698ED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2" name="CaixaDeTexto 14">
          <a:extLst>
            <a:ext uri="{FF2B5EF4-FFF2-40B4-BE49-F238E27FC236}">
              <a16:creationId xmlns:a16="http://schemas.microsoft.com/office/drawing/2014/main" id="{3FBE9717-2DF0-45AE-BCE0-F3E7C3D5542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3" name="CaixaDeTexto 16">
          <a:extLst>
            <a:ext uri="{FF2B5EF4-FFF2-40B4-BE49-F238E27FC236}">
              <a16:creationId xmlns:a16="http://schemas.microsoft.com/office/drawing/2014/main" id="{494B0E30-3AF8-43CE-B970-630CD8025C7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4" name="CaixaDeTexto 18">
          <a:extLst>
            <a:ext uri="{FF2B5EF4-FFF2-40B4-BE49-F238E27FC236}">
              <a16:creationId xmlns:a16="http://schemas.microsoft.com/office/drawing/2014/main" id="{27990A6A-F308-4B60-9ABB-14F3202FC10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5" name="CaixaDeTexto 20">
          <a:extLst>
            <a:ext uri="{FF2B5EF4-FFF2-40B4-BE49-F238E27FC236}">
              <a16:creationId xmlns:a16="http://schemas.microsoft.com/office/drawing/2014/main" id="{67925765-1055-4C50-B3C0-82A37C7C30C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6" name="CaixaDeTexto 21">
          <a:extLst>
            <a:ext uri="{FF2B5EF4-FFF2-40B4-BE49-F238E27FC236}">
              <a16:creationId xmlns:a16="http://schemas.microsoft.com/office/drawing/2014/main" id="{66078E76-91D8-4876-B702-9863D3E7283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7" name="CaixaDeTexto 24">
          <a:extLst>
            <a:ext uri="{FF2B5EF4-FFF2-40B4-BE49-F238E27FC236}">
              <a16:creationId xmlns:a16="http://schemas.microsoft.com/office/drawing/2014/main" id="{5B4CDB0A-279C-4F40-8A68-A2E030C08CA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8" name="CaixaDeTexto 2">
          <a:extLst>
            <a:ext uri="{FF2B5EF4-FFF2-40B4-BE49-F238E27FC236}">
              <a16:creationId xmlns:a16="http://schemas.microsoft.com/office/drawing/2014/main" id="{B0AD3BC6-8410-4A63-B90C-048B5BE6ADB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19" name="CaixaDeTexto 4">
          <a:extLst>
            <a:ext uri="{FF2B5EF4-FFF2-40B4-BE49-F238E27FC236}">
              <a16:creationId xmlns:a16="http://schemas.microsoft.com/office/drawing/2014/main" id="{0A722F61-E68E-47D6-8B2C-BBD9547BBDB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0" name="CaixaDeTexto 9">
          <a:extLst>
            <a:ext uri="{FF2B5EF4-FFF2-40B4-BE49-F238E27FC236}">
              <a16:creationId xmlns:a16="http://schemas.microsoft.com/office/drawing/2014/main" id="{9EA234E4-B004-496C-AEE4-E1EA6EE142C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1" name="CaixaDeTexto 12">
          <a:extLst>
            <a:ext uri="{FF2B5EF4-FFF2-40B4-BE49-F238E27FC236}">
              <a16:creationId xmlns:a16="http://schemas.microsoft.com/office/drawing/2014/main" id="{B2F735C2-A8F2-459B-8283-0DAF3FD531F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2" name="CaixaDeTexto 14">
          <a:extLst>
            <a:ext uri="{FF2B5EF4-FFF2-40B4-BE49-F238E27FC236}">
              <a16:creationId xmlns:a16="http://schemas.microsoft.com/office/drawing/2014/main" id="{2EAB99B5-1836-4DF4-AC40-1A2299D69C7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3" name="CaixaDeTexto 16">
          <a:extLst>
            <a:ext uri="{FF2B5EF4-FFF2-40B4-BE49-F238E27FC236}">
              <a16:creationId xmlns:a16="http://schemas.microsoft.com/office/drawing/2014/main" id="{0E0DEAD5-A583-4538-B712-274BB76A67E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4" name="CaixaDeTexto 18">
          <a:extLst>
            <a:ext uri="{FF2B5EF4-FFF2-40B4-BE49-F238E27FC236}">
              <a16:creationId xmlns:a16="http://schemas.microsoft.com/office/drawing/2014/main" id="{DD08421E-08A5-4E08-BA1F-8BF1F0AD5C4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5" name="CaixaDeTexto 20">
          <a:extLst>
            <a:ext uri="{FF2B5EF4-FFF2-40B4-BE49-F238E27FC236}">
              <a16:creationId xmlns:a16="http://schemas.microsoft.com/office/drawing/2014/main" id="{E7F6BD4E-C152-4816-9C18-DA26E9EC9BF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6" name="CaixaDeTexto 21">
          <a:extLst>
            <a:ext uri="{FF2B5EF4-FFF2-40B4-BE49-F238E27FC236}">
              <a16:creationId xmlns:a16="http://schemas.microsoft.com/office/drawing/2014/main" id="{684C4D58-ED49-411E-8293-417F6CD3DAC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7" name="CaixaDeTexto 24">
          <a:extLst>
            <a:ext uri="{FF2B5EF4-FFF2-40B4-BE49-F238E27FC236}">
              <a16:creationId xmlns:a16="http://schemas.microsoft.com/office/drawing/2014/main" id="{1A758694-C52D-4C8D-94AE-8144257A3DA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8" name="CaixaDeTexto 2">
          <a:extLst>
            <a:ext uri="{FF2B5EF4-FFF2-40B4-BE49-F238E27FC236}">
              <a16:creationId xmlns:a16="http://schemas.microsoft.com/office/drawing/2014/main" id="{DF7D78AE-39AE-4269-93EC-84868CB1C32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29" name="CaixaDeTexto 4">
          <a:extLst>
            <a:ext uri="{FF2B5EF4-FFF2-40B4-BE49-F238E27FC236}">
              <a16:creationId xmlns:a16="http://schemas.microsoft.com/office/drawing/2014/main" id="{F052D5BA-3E88-46A6-98DE-2D3FFFB8BEE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0" name="CaixaDeTexto 9">
          <a:extLst>
            <a:ext uri="{FF2B5EF4-FFF2-40B4-BE49-F238E27FC236}">
              <a16:creationId xmlns:a16="http://schemas.microsoft.com/office/drawing/2014/main" id="{01BB28F3-DDF4-49D0-9841-AD2F26BE47A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1" name="CaixaDeTexto 12">
          <a:extLst>
            <a:ext uri="{FF2B5EF4-FFF2-40B4-BE49-F238E27FC236}">
              <a16:creationId xmlns:a16="http://schemas.microsoft.com/office/drawing/2014/main" id="{38B7481E-F5F8-40F1-89E6-B78B30D00FF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2" name="CaixaDeTexto 14">
          <a:extLst>
            <a:ext uri="{FF2B5EF4-FFF2-40B4-BE49-F238E27FC236}">
              <a16:creationId xmlns:a16="http://schemas.microsoft.com/office/drawing/2014/main" id="{3296D0F8-A5D1-4FC5-B42C-DEEEFE509AD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3" name="CaixaDeTexto 16">
          <a:extLst>
            <a:ext uri="{FF2B5EF4-FFF2-40B4-BE49-F238E27FC236}">
              <a16:creationId xmlns:a16="http://schemas.microsoft.com/office/drawing/2014/main" id="{80901671-60F3-4A80-BA05-80F452330DE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4" name="CaixaDeTexto 18">
          <a:extLst>
            <a:ext uri="{FF2B5EF4-FFF2-40B4-BE49-F238E27FC236}">
              <a16:creationId xmlns:a16="http://schemas.microsoft.com/office/drawing/2014/main" id="{8EDCE000-A0BB-45FB-96C4-8A04161CD0B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5" name="CaixaDeTexto 20">
          <a:extLst>
            <a:ext uri="{FF2B5EF4-FFF2-40B4-BE49-F238E27FC236}">
              <a16:creationId xmlns:a16="http://schemas.microsoft.com/office/drawing/2014/main" id="{748832F1-784A-4B0E-90D4-DE89D55E737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6" name="CaixaDeTexto 21">
          <a:extLst>
            <a:ext uri="{FF2B5EF4-FFF2-40B4-BE49-F238E27FC236}">
              <a16:creationId xmlns:a16="http://schemas.microsoft.com/office/drawing/2014/main" id="{B6C438FF-607D-4B59-A5B1-42F209C2BBA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7" name="CaixaDeTexto 24">
          <a:extLst>
            <a:ext uri="{FF2B5EF4-FFF2-40B4-BE49-F238E27FC236}">
              <a16:creationId xmlns:a16="http://schemas.microsoft.com/office/drawing/2014/main" id="{F4C0A7B1-83FD-45C0-B964-33BD93D308A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8" name="CaixaDeTexto 2">
          <a:extLst>
            <a:ext uri="{FF2B5EF4-FFF2-40B4-BE49-F238E27FC236}">
              <a16:creationId xmlns:a16="http://schemas.microsoft.com/office/drawing/2014/main" id="{AB13E31E-C4C3-4BE8-8CBD-3C57470A9C9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39" name="CaixaDeTexto 4">
          <a:extLst>
            <a:ext uri="{FF2B5EF4-FFF2-40B4-BE49-F238E27FC236}">
              <a16:creationId xmlns:a16="http://schemas.microsoft.com/office/drawing/2014/main" id="{95182A80-797B-417A-8F99-DBA6E15EF71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0" name="CaixaDeTexto 9">
          <a:extLst>
            <a:ext uri="{FF2B5EF4-FFF2-40B4-BE49-F238E27FC236}">
              <a16:creationId xmlns:a16="http://schemas.microsoft.com/office/drawing/2014/main" id="{085AFF3D-0E5E-4F95-97BC-1E0FF1C627C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1" name="CaixaDeTexto 12">
          <a:extLst>
            <a:ext uri="{FF2B5EF4-FFF2-40B4-BE49-F238E27FC236}">
              <a16:creationId xmlns:a16="http://schemas.microsoft.com/office/drawing/2014/main" id="{11E2C038-B5C4-4AAE-A045-AA285FDC7A6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2" name="CaixaDeTexto 14">
          <a:extLst>
            <a:ext uri="{FF2B5EF4-FFF2-40B4-BE49-F238E27FC236}">
              <a16:creationId xmlns:a16="http://schemas.microsoft.com/office/drawing/2014/main" id="{C97377A2-5DFA-4842-8CE7-91AC4CC4F64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3" name="CaixaDeTexto 16">
          <a:extLst>
            <a:ext uri="{FF2B5EF4-FFF2-40B4-BE49-F238E27FC236}">
              <a16:creationId xmlns:a16="http://schemas.microsoft.com/office/drawing/2014/main" id="{072D328D-6ACA-4971-AF8E-AB7CB6E4318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4" name="CaixaDeTexto 18">
          <a:extLst>
            <a:ext uri="{FF2B5EF4-FFF2-40B4-BE49-F238E27FC236}">
              <a16:creationId xmlns:a16="http://schemas.microsoft.com/office/drawing/2014/main" id="{8FC0061C-CD2E-401D-9AAE-082B0C1A641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5" name="CaixaDeTexto 20">
          <a:extLst>
            <a:ext uri="{FF2B5EF4-FFF2-40B4-BE49-F238E27FC236}">
              <a16:creationId xmlns:a16="http://schemas.microsoft.com/office/drawing/2014/main" id="{C998B423-5ECF-4BBB-A661-56BCF83D781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6" name="CaixaDeTexto 21">
          <a:extLst>
            <a:ext uri="{FF2B5EF4-FFF2-40B4-BE49-F238E27FC236}">
              <a16:creationId xmlns:a16="http://schemas.microsoft.com/office/drawing/2014/main" id="{EDCD9C82-68E7-4D32-A59D-F89587244AE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7" name="CaixaDeTexto 24">
          <a:extLst>
            <a:ext uri="{FF2B5EF4-FFF2-40B4-BE49-F238E27FC236}">
              <a16:creationId xmlns:a16="http://schemas.microsoft.com/office/drawing/2014/main" id="{1EF0E30D-3956-4D8E-AA00-AAF0EAA2CA6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8" name="CaixaDeTexto 2">
          <a:extLst>
            <a:ext uri="{FF2B5EF4-FFF2-40B4-BE49-F238E27FC236}">
              <a16:creationId xmlns:a16="http://schemas.microsoft.com/office/drawing/2014/main" id="{E50D195C-745F-4662-8E21-46C0140F155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49" name="CaixaDeTexto 4">
          <a:extLst>
            <a:ext uri="{FF2B5EF4-FFF2-40B4-BE49-F238E27FC236}">
              <a16:creationId xmlns:a16="http://schemas.microsoft.com/office/drawing/2014/main" id="{742FB761-A888-421A-8C38-32AE43C0A5C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0" name="CaixaDeTexto 9">
          <a:extLst>
            <a:ext uri="{FF2B5EF4-FFF2-40B4-BE49-F238E27FC236}">
              <a16:creationId xmlns:a16="http://schemas.microsoft.com/office/drawing/2014/main" id="{D230F04D-16C4-4C6C-9B21-39C31C60A96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1" name="CaixaDeTexto 12">
          <a:extLst>
            <a:ext uri="{FF2B5EF4-FFF2-40B4-BE49-F238E27FC236}">
              <a16:creationId xmlns:a16="http://schemas.microsoft.com/office/drawing/2014/main" id="{F43A39B2-22FB-4B41-8A64-28522247F59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2" name="CaixaDeTexto 14">
          <a:extLst>
            <a:ext uri="{FF2B5EF4-FFF2-40B4-BE49-F238E27FC236}">
              <a16:creationId xmlns:a16="http://schemas.microsoft.com/office/drawing/2014/main" id="{1C1F9276-2810-4680-96E4-D50326E512E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3" name="CaixaDeTexto 16">
          <a:extLst>
            <a:ext uri="{FF2B5EF4-FFF2-40B4-BE49-F238E27FC236}">
              <a16:creationId xmlns:a16="http://schemas.microsoft.com/office/drawing/2014/main" id="{403E9C95-38C4-40B3-B6BB-B3BF4C4BCCB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4" name="CaixaDeTexto 18">
          <a:extLst>
            <a:ext uri="{FF2B5EF4-FFF2-40B4-BE49-F238E27FC236}">
              <a16:creationId xmlns:a16="http://schemas.microsoft.com/office/drawing/2014/main" id="{E841C56F-1C5B-4B0C-B719-864D4A3E344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5" name="CaixaDeTexto 20">
          <a:extLst>
            <a:ext uri="{FF2B5EF4-FFF2-40B4-BE49-F238E27FC236}">
              <a16:creationId xmlns:a16="http://schemas.microsoft.com/office/drawing/2014/main" id="{7DF5CF22-29F3-43FC-89E5-65BD51368D2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6" name="CaixaDeTexto 21">
          <a:extLst>
            <a:ext uri="{FF2B5EF4-FFF2-40B4-BE49-F238E27FC236}">
              <a16:creationId xmlns:a16="http://schemas.microsoft.com/office/drawing/2014/main" id="{28D2AB7F-011B-420F-A7B4-8BDD3C1F81A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7" name="CaixaDeTexto 24">
          <a:extLst>
            <a:ext uri="{FF2B5EF4-FFF2-40B4-BE49-F238E27FC236}">
              <a16:creationId xmlns:a16="http://schemas.microsoft.com/office/drawing/2014/main" id="{205220DC-B9C6-4892-B3AD-25E9051CF36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8" name="CaixaDeTexto 2">
          <a:extLst>
            <a:ext uri="{FF2B5EF4-FFF2-40B4-BE49-F238E27FC236}">
              <a16:creationId xmlns:a16="http://schemas.microsoft.com/office/drawing/2014/main" id="{6E5F34BA-1D3D-4975-9EA1-290E608FD21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59" name="CaixaDeTexto 4">
          <a:extLst>
            <a:ext uri="{FF2B5EF4-FFF2-40B4-BE49-F238E27FC236}">
              <a16:creationId xmlns:a16="http://schemas.microsoft.com/office/drawing/2014/main" id="{119E6659-210B-40D2-9FE2-FC3CC2FC5EB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0" name="CaixaDeTexto 9">
          <a:extLst>
            <a:ext uri="{FF2B5EF4-FFF2-40B4-BE49-F238E27FC236}">
              <a16:creationId xmlns:a16="http://schemas.microsoft.com/office/drawing/2014/main" id="{A164A877-9E18-439C-ADB2-8A49D46B58B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1" name="CaixaDeTexto 12">
          <a:extLst>
            <a:ext uri="{FF2B5EF4-FFF2-40B4-BE49-F238E27FC236}">
              <a16:creationId xmlns:a16="http://schemas.microsoft.com/office/drawing/2014/main" id="{B810748C-5D48-41E3-B0C1-FD9E5FD8D91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2" name="CaixaDeTexto 14">
          <a:extLst>
            <a:ext uri="{FF2B5EF4-FFF2-40B4-BE49-F238E27FC236}">
              <a16:creationId xmlns:a16="http://schemas.microsoft.com/office/drawing/2014/main" id="{EDAE0233-0336-4CAD-B4D2-99B1496A386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3" name="CaixaDeTexto 16">
          <a:extLst>
            <a:ext uri="{FF2B5EF4-FFF2-40B4-BE49-F238E27FC236}">
              <a16:creationId xmlns:a16="http://schemas.microsoft.com/office/drawing/2014/main" id="{83AE7583-0CBC-4761-A588-2DA40C56165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4" name="CaixaDeTexto 18">
          <a:extLst>
            <a:ext uri="{FF2B5EF4-FFF2-40B4-BE49-F238E27FC236}">
              <a16:creationId xmlns:a16="http://schemas.microsoft.com/office/drawing/2014/main" id="{969C455A-1369-4CE3-9A5B-4BA1F7B2C23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5" name="CaixaDeTexto 20">
          <a:extLst>
            <a:ext uri="{FF2B5EF4-FFF2-40B4-BE49-F238E27FC236}">
              <a16:creationId xmlns:a16="http://schemas.microsoft.com/office/drawing/2014/main" id="{D95AB5A6-1407-469F-B919-447046E43A2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6" name="CaixaDeTexto 21">
          <a:extLst>
            <a:ext uri="{FF2B5EF4-FFF2-40B4-BE49-F238E27FC236}">
              <a16:creationId xmlns:a16="http://schemas.microsoft.com/office/drawing/2014/main" id="{D0A57F9C-D279-4474-80C1-9F171DA8D34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7" name="CaixaDeTexto 2">
          <a:extLst>
            <a:ext uri="{FF2B5EF4-FFF2-40B4-BE49-F238E27FC236}">
              <a16:creationId xmlns:a16="http://schemas.microsoft.com/office/drawing/2014/main" id="{A228DE0E-13A0-45CA-B107-CD68032FA00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8" name="CaixaDeTexto 4">
          <a:extLst>
            <a:ext uri="{FF2B5EF4-FFF2-40B4-BE49-F238E27FC236}">
              <a16:creationId xmlns:a16="http://schemas.microsoft.com/office/drawing/2014/main" id="{A39A05B1-FD22-45A0-89EC-A42964F8F3C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69" name="CaixaDeTexto 9">
          <a:extLst>
            <a:ext uri="{FF2B5EF4-FFF2-40B4-BE49-F238E27FC236}">
              <a16:creationId xmlns:a16="http://schemas.microsoft.com/office/drawing/2014/main" id="{06DA5827-862A-463E-8055-3FE5F2A7733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0" name="CaixaDeTexto 12">
          <a:extLst>
            <a:ext uri="{FF2B5EF4-FFF2-40B4-BE49-F238E27FC236}">
              <a16:creationId xmlns:a16="http://schemas.microsoft.com/office/drawing/2014/main" id="{D9C644BB-8B11-4690-8A14-2944011C62A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1" name="CaixaDeTexto 14">
          <a:extLst>
            <a:ext uri="{FF2B5EF4-FFF2-40B4-BE49-F238E27FC236}">
              <a16:creationId xmlns:a16="http://schemas.microsoft.com/office/drawing/2014/main" id="{99B59DA1-FA1F-49B3-8990-845C6AC39B0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2" name="CaixaDeTexto 16">
          <a:extLst>
            <a:ext uri="{FF2B5EF4-FFF2-40B4-BE49-F238E27FC236}">
              <a16:creationId xmlns:a16="http://schemas.microsoft.com/office/drawing/2014/main" id="{5D12025A-531C-4166-9765-7CD284B9BC2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3" name="CaixaDeTexto 18">
          <a:extLst>
            <a:ext uri="{FF2B5EF4-FFF2-40B4-BE49-F238E27FC236}">
              <a16:creationId xmlns:a16="http://schemas.microsoft.com/office/drawing/2014/main" id="{F3614FF4-503D-48B6-B5A0-F7201C4BE2F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4" name="CaixaDeTexto 20">
          <a:extLst>
            <a:ext uri="{FF2B5EF4-FFF2-40B4-BE49-F238E27FC236}">
              <a16:creationId xmlns:a16="http://schemas.microsoft.com/office/drawing/2014/main" id="{26948C1D-D175-4789-80EC-98903ABDD57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5" name="CaixaDeTexto 21">
          <a:extLst>
            <a:ext uri="{FF2B5EF4-FFF2-40B4-BE49-F238E27FC236}">
              <a16:creationId xmlns:a16="http://schemas.microsoft.com/office/drawing/2014/main" id="{BA3D1EA0-4EB1-4579-8660-7E0CE469D7C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6" name="CaixaDeTexto 24">
          <a:extLst>
            <a:ext uri="{FF2B5EF4-FFF2-40B4-BE49-F238E27FC236}">
              <a16:creationId xmlns:a16="http://schemas.microsoft.com/office/drawing/2014/main" id="{DDF4F24C-AA9A-4D4B-9DF3-3B1DE0BB71D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7" name="CaixaDeTexto 2">
          <a:extLst>
            <a:ext uri="{FF2B5EF4-FFF2-40B4-BE49-F238E27FC236}">
              <a16:creationId xmlns:a16="http://schemas.microsoft.com/office/drawing/2014/main" id="{078C6616-D74C-4AA4-B963-277473BC8F9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8" name="CaixaDeTexto 4">
          <a:extLst>
            <a:ext uri="{FF2B5EF4-FFF2-40B4-BE49-F238E27FC236}">
              <a16:creationId xmlns:a16="http://schemas.microsoft.com/office/drawing/2014/main" id="{8F0C57AF-82EA-41DB-B080-B5A9EDD27E3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79" name="CaixaDeTexto 9">
          <a:extLst>
            <a:ext uri="{FF2B5EF4-FFF2-40B4-BE49-F238E27FC236}">
              <a16:creationId xmlns:a16="http://schemas.microsoft.com/office/drawing/2014/main" id="{B273A22F-397E-46D2-8E53-3DBD9688C87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0" name="CaixaDeTexto 12">
          <a:extLst>
            <a:ext uri="{FF2B5EF4-FFF2-40B4-BE49-F238E27FC236}">
              <a16:creationId xmlns:a16="http://schemas.microsoft.com/office/drawing/2014/main" id="{560E768E-58D6-439E-90D3-E8E9B45CCEC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1" name="CaixaDeTexto 14">
          <a:extLst>
            <a:ext uri="{FF2B5EF4-FFF2-40B4-BE49-F238E27FC236}">
              <a16:creationId xmlns:a16="http://schemas.microsoft.com/office/drawing/2014/main" id="{6FB5917A-BE0F-453F-BDB5-18AB0452330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2" name="CaixaDeTexto 16">
          <a:extLst>
            <a:ext uri="{FF2B5EF4-FFF2-40B4-BE49-F238E27FC236}">
              <a16:creationId xmlns:a16="http://schemas.microsoft.com/office/drawing/2014/main" id="{97336C1A-847D-4749-9C8F-8A2E99C6DBF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3" name="CaixaDeTexto 18">
          <a:extLst>
            <a:ext uri="{FF2B5EF4-FFF2-40B4-BE49-F238E27FC236}">
              <a16:creationId xmlns:a16="http://schemas.microsoft.com/office/drawing/2014/main" id="{D56A92AC-51D9-4772-8C5F-2A63E4B61BB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4" name="CaixaDeTexto 20">
          <a:extLst>
            <a:ext uri="{FF2B5EF4-FFF2-40B4-BE49-F238E27FC236}">
              <a16:creationId xmlns:a16="http://schemas.microsoft.com/office/drawing/2014/main" id="{58276C77-9A01-4D17-A58D-701ABC477C9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5" name="CaixaDeTexto 21">
          <a:extLst>
            <a:ext uri="{FF2B5EF4-FFF2-40B4-BE49-F238E27FC236}">
              <a16:creationId xmlns:a16="http://schemas.microsoft.com/office/drawing/2014/main" id="{B8C43332-A318-4CBC-8050-C6E1F35F63B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6" name="CaixaDeTexto 2">
          <a:extLst>
            <a:ext uri="{FF2B5EF4-FFF2-40B4-BE49-F238E27FC236}">
              <a16:creationId xmlns:a16="http://schemas.microsoft.com/office/drawing/2014/main" id="{0DD07BAC-8615-4992-82A6-D97308787DE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7" name="CaixaDeTexto 4">
          <a:extLst>
            <a:ext uri="{FF2B5EF4-FFF2-40B4-BE49-F238E27FC236}">
              <a16:creationId xmlns:a16="http://schemas.microsoft.com/office/drawing/2014/main" id="{EF5BD1DC-E32E-4E62-9819-0C9C9F84956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8" name="CaixaDeTexto 9">
          <a:extLst>
            <a:ext uri="{FF2B5EF4-FFF2-40B4-BE49-F238E27FC236}">
              <a16:creationId xmlns:a16="http://schemas.microsoft.com/office/drawing/2014/main" id="{13BF3219-75EC-4C58-B32C-CEFBC7D48A6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89" name="CaixaDeTexto 12">
          <a:extLst>
            <a:ext uri="{FF2B5EF4-FFF2-40B4-BE49-F238E27FC236}">
              <a16:creationId xmlns:a16="http://schemas.microsoft.com/office/drawing/2014/main" id="{53CC149C-3668-44EC-9DF5-58456D849A3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0" name="CaixaDeTexto 14">
          <a:extLst>
            <a:ext uri="{FF2B5EF4-FFF2-40B4-BE49-F238E27FC236}">
              <a16:creationId xmlns:a16="http://schemas.microsoft.com/office/drawing/2014/main" id="{68175A2B-36BD-425D-909D-B3FA30EF8A3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1" name="CaixaDeTexto 16">
          <a:extLst>
            <a:ext uri="{FF2B5EF4-FFF2-40B4-BE49-F238E27FC236}">
              <a16:creationId xmlns:a16="http://schemas.microsoft.com/office/drawing/2014/main" id="{5B914718-DC60-4D6E-94AF-4A86F4F153E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2" name="CaixaDeTexto 18">
          <a:extLst>
            <a:ext uri="{FF2B5EF4-FFF2-40B4-BE49-F238E27FC236}">
              <a16:creationId xmlns:a16="http://schemas.microsoft.com/office/drawing/2014/main" id="{46C868EA-0B74-4A63-B08E-8799C8D858E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3" name="CaixaDeTexto 20">
          <a:extLst>
            <a:ext uri="{FF2B5EF4-FFF2-40B4-BE49-F238E27FC236}">
              <a16:creationId xmlns:a16="http://schemas.microsoft.com/office/drawing/2014/main" id="{326BFF22-5060-4B68-A022-E20A5883356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4" name="CaixaDeTexto 21">
          <a:extLst>
            <a:ext uri="{FF2B5EF4-FFF2-40B4-BE49-F238E27FC236}">
              <a16:creationId xmlns:a16="http://schemas.microsoft.com/office/drawing/2014/main" id="{3BF786BC-72EB-4577-BE05-F62CB14A859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5" name="CaixaDeTexto 24">
          <a:extLst>
            <a:ext uri="{FF2B5EF4-FFF2-40B4-BE49-F238E27FC236}">
              <a16:creationId xmlns:a16="http://schemas.microsoft.com/office/drawing/2014/main" id="{9A7F7ED6-CCA5-4B35-95EA-12E0D5040CB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6" name="CaixaDeTexto 2">
          <a:extLst>
            <a:ext uri="{FF2B5EF4-FFF2-40B4-BE49-F238E27FC236}">
              <a16:creationId xmlns:a16="http://schemas.microsoft.com/office/drawing/2014/main" id="{C04C89A9-918D-4288-BFF8-E3B054444D4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7" name="CaixaDeTexto 4">
          <a:extLst>
            <a:ext uri="{FF2B5EF4-FFF2-40B4-BE49-F238E27FC236}">
              <a16:creationId xmlns:a16="http://schemas.microsoft.com/office/drawing/2014/main" id="{4F1DBD7E-C314-4A1A-913D-F07498355F0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8" name="CaixaDeTexto 9">
          <a:extLst>
            <a:ext uri="{FF2B5EF4-FFF2-40B4-BE49-F238E27FC236}">
              <a16:creationId xmlns:a16="http://schemas.microsoft.com/office/drawing/2014/main" id="{010B7464-E9F2-4C04-AE8D-9C51B2465FF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899" name="CaixaDeTexto 12">
          <a:extLst>
            <a:ext uri="{FF2B5EF4-FFF2-40B4-BE49-F238E27FC236}">
              <a16:creationId xmlns:a16="http://schemas.microsoft.com/office/drawing/2014/main" id="{D4A635E4-FA22-4A6C-BFD4-7EC090AB3BA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0" name="CaixaDeTexto 14">
          <a:extLst>
            <a:ext uri="{FF2B5EF4-FFF2-40B4-BE49-F238E27FC236}">
              <a16:creationId xmlns:a16="http://schemas.microsoft.com/office/drawing/2014/main" id="{CF297F1E-ABAC-4215-9277-64E49656421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1" name="CaixaDeTexto 16">
          <a:extLst>
            <a:ext uri="{FF2B5EF4-FFF2-40B4-BE49-F238E27FC236}">
              <a16:creationId xmlns:a16="http://schemas.microsoft.com/office/drawing/2014/main" id="{6D57B8CC-8CCB-4FBE-B545-EB934F31D96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2" name="CaixaDeTexto 18">
          <a:extLst>
            <a:ext uri="{FF2B5EF4-FFF2-40B4-BE49-F238E27FC236}">
              <a16:creationId xmlns:a16="http://schemas.microsoft.com/office/drawing/2014/main" id="{1A23544A-11F7-45B1-B0F9-7B01419E0E1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3" name="CaixaDeTexto 20">
          <a:extLst>
            <a:ext uri="{FF2B5EF4-FFF2-40B4-BE49-F238E27FC236}">
              <a16:creationId xmlns:a16="http://schemas.microsoft.com/office/drawing/2014/main" id="{186E517B-F813-4082-925D-6FAF3378131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4" name="CaixaDeTexto 21">
          <a:extLst>
            <a:ext uri="{FF2B5EF4-FFF2-40B4-BE49-F238E27FC236}">
              <a16:creationId xmlns:a16="http://schemas.microsoft.com/office/drawing/2014/main" id="{01B00138-F62D-4A1B-BF82-515585B6CC3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5" name="CaixaDeTexto 24">
          <a:extLst>
            <a:ext uri="{FF2B5EF4-FFF2-40B4-BE49-F238E27FC236}">
              <a16:creationId xmlns:a16="http://schemas.microsoft.com/office/drawing/2014/main" id="{3199A4DE-72A8-495D-8BA3-F790E4906BC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6" name="CaixaDeTexto 2">
          <a:extLst>
            <a:ext uri="{FF2B5EF4-FFF2-40B4-BE49-F238E27FC236}">
              <a16:creationId xmlns:a16="http://schemas.microsoft.com/office/drawing/2014/main" id="{5FA25D8E-A3C3-4BFA-BCC2-46B98B6E41B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7" name="CaixaDeTexto 4">
          <a:extLst>
            <a:ext uri="{FF2B5EF4-FFF2-40B4-BE49-F238E27FC236}">
              <a16:creationId xmlns:a16="http://schemas.microsoft.com/office/drawing/2014/main" id="{71507E9C-414D-41F0-A7B9-EC695C5A6F1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8" name="CaixaDeTexto 9">
          <a:extLst>
            <a:ext uri="{FF2B5EF4-FFF2-40B4-BE49-F238E27FC236}">
              <a16:creationId xmlns:a16="http://schemas.microsoft.com/office/drawing/2014/main" id="{B54C6692-7563-4A35-95FB-407278F2849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09" name="CaixaDeTexto 12">
          <a:extLst>
            <a:ext uri="{FF2B5EF4-FFF2-40B4-BE49-F238E27FC236}">
              <a16:creationId xmlns:a16="http://schemas.microsoft.com/office/drawing/2014/main" id="{D5E9941F-1322-46F3-A5F2-F494D08FAB6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0" name="CaixaDeTexto 14">
          <a:extLst>
            <a:ext uri="{FF2B5EF4-FFF2-40B4-BE49-F238E27FC236}">
              <a16:creationId xmlns:a16="http://schemas.microsoft.com/office/drawing/2014/main" id="{B9F74873-39DD-47EC-89B9-BFFC03CF3EB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1" name="CaixaDeTexto 16">
          <a:extLst>
            <a:ext uri="{FF2B5EF4-FFF2-40B4-BE49-F238E27FC236}">
              <a16:creationId xmlns:a16="http://schemas.microsoft.com/office/drawing/2014/main" id="{1BDAA4AF-B968-4BD9-B480-1656BB8C2AF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2" name="CaixaDeTexto 18">
          <a:extLst>
            <a:ext uri="{FF2B5EF4-FFF2-40B4-BE49-F238E27FC236}">
              <a16:creationId xmlns:a16="http://schemas.microsoft.com/office/drawing/2014/main" id="{79778FCA-ABA5-40CC-BF2B-6EFEA93E8E7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3" name="CaixaDeTexto 20">
          <a:extLst>
            <a:ext uri="{FF2B5EF4-FFF2-40B4-BE49-F238E27FC236}">
              <a16:creationId xmlns:a16="http://schemas.microsoft.com/office/drawing/2014/main" id="{68EF73F8-20AA-4C2C-B24F-BB0482D37B5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4" name="CaixaDeTexto 21">
          <a:extLst>
            <a:ext uri="{FF2B5EF4-FFF2-40B4-BE49-F238E27FC236}">
              <a16:creationId xmlns:a16="http://schemas.microsoft.com/office/drawing/2014/main" id="{055A06F7-BEC6-4829-918E-4BE6CB2D578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5" name="CaixaDeTexto 2">
          <a:extLst>
            <a:ext uri="{FF2B5EF4-FFF2-40B4-BE49-F238E27FC236}">
              <a16:creationId xmlns:a16="http://schemas.microsoft.com/office/drawing/2014/main" id="{4280DA49-B6A2-4727-8464-917D1EB0A55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6" name="CaixaDeTexto 4">
          <a:extLst>
            <a:ext uri="{FF2B5EF4-FFF2-40B4-BE49-F238E27FC236}">
              <a16:creationId xmlns:a16="http://schemas.microsoft.com/office/drawing/2014/main" id="{5DF067E2-5351-4FBC-910C-2C5321036C5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7" name="CaixaDeTexto 9">
          <a:extLst>
            <a:ext uri="{FF2B5EF4-FFF2-40B4-BE49-F238E27FC236}">
              <a16:creationId xmlns:a16="http://schemas.microsoft.com/office/drawing/2014/main" id="{D07152E0-1668-4612-B3E7-E86EC450C58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8" name="CaixaDeTexto 12">
          <a:extLst>
            <a:ext uri="{FF2B5EF4-FFF2-40B4-BE49-F238E27FC236}">
              <a16:creationId xmlns:a16="http://schemas.microsoft.com/office/drawing/2014/main" id="{4D747E2D-83DE-44D2-865C-0AA438317DA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19" name="CaixaDeTexto 14">
          <a:extLst>
            <a:ext uri="{FF2B5EF4-FFF2-40B4-BE49-F238E27FC236}">
              <a16:creationId xmlns:a16="http://schemas.microsoft.com/office/drawing/2014/main" id="{B68B3A13-373D-443D-A2F3-D6E34CB754E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0" name="CaixaDeTexto 16">
          <a:extLst>
            <a:ext uri="{FF2B5EF4-FFF2-40B4-BE49-F238E27FC236}">
              <a16:creationId xmlns:a16="http://schemas.microsoft.com/office/drawing/2014/main" id="{AFB021D6-F36A-452C-B8C8-AC6EC7917C2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1" name="CaixaDeTexto 18">
          <a:extLst>
            <a:ext uri="{FF2B5EF4-FFF2-40B4-BE49-F238E27FC236}">
              <a16:creationId xmlns:a16="http://schemas.microsoft.com/office/drawing/2014/main" id="{7143098C-B835-47EF-990C-6498ADEDC9B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2" name="CaixaDeTexto 20">
          <a:extLst>
            <a:ext uri="{FF2B5EF4-FFF2-40B4-BE49-F238E27FC236}">
              <a16:creationId xmlns:a16="http://schemas.microsoft.com/office/drawing/2014/main" id="{2F7E069B-0345-48E2-A516-71ADE7DAFFA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3" name="CaixaDeTexto 21">
          <a:extLst>
            <a:ext uri="{FF2B5EF4-FFF2-40B4-BE49-F238E27FC236}">
              <a16:creationId xmlns:a16="http://schemas.microsoft.com/office/drawing/2014/main" id="{07F26D69-0787-4F50-83EC-A26A4669FD9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4" name="CaixaDeTexto 24">
          <a:extLst>
            <a:ext uri="{FF2B5EF4-FFF2-40B4-BE49-F238E27FC236}">
              <a16:creationId xmlns:a16="http://schemas.microsoft.com/office/drawing/2014/main" id="{86D63BA4-1A16-4F2E-81A4-305126D008F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5" name="CaixaDeTexto 2">
          <a:extLst>
            <a:ext uri="{FF2B5EF4-FFF2-40B4-BE49-F238E27FC236}">
              <a16:creationId xmlns:a16="http://schemas.microsoft.com/office/drawing/2014/main" id="{C48DD12B-18A4-4624-B5DB-D28775E6F50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6" name="CaixaDeTexto 4">
          <a:extLst>
            <a:ext uri="{FF2B5EF4-FFF2-40B4-BE49-F238E27FC236}">
              <a16:creationId xmlns:a16="http://schemas.microsoft.com/office/drawing/2014/main" id="{1CC65C06-6E23-4562-8BD9-3FB201E02CF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7" name="CaixaDeTexto 9">
          <a:extLst>
            <a:ext uri="{FF2B5EF4-FFF2-40B4-BE49-F238E27FC236}">
              <a16:creationId xmlns:a16="http://schemas.microsoft.com/office/drawing/2014/main" id="{80C203A2-54EA-40E9-BAC3-F78FFF5705B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8" name="CaixaDeTexto 12">
          <a:extLst>
            <a:ext uri="{FF2B5EF4-FFF2-40B4-BE49-F238E27FC236}">
              <a16:creationId xmlns:a16="http://schemas.microsoft.com/office/drawing/2014/main" id="{B6828CCE-16F0-44E9-ACAE-3790FEB74BB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29" name="CaixaDeTexto 14">
          <a:extLst>
            <a:ext uri="{FF2B5EF4-FFF2-40B4-BE49-F238E27FC236}">
              <a16:creationId xmlns:a16="http://schemas.microsoft.com/office/drawing/2014/main" id="{3FB4DA53-F8C6-4BA3-9D7A-6A83B762675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0" name="CaixaDeTexto 16">
          <a:extLst>
            <a:ext uri="{FF2B5EF4-FFF2-40B4-BE49-F238E27FC236}">
              <a16:creationId xmlns:a16="http://schemas.microsoft.com/office/drawing/2014/main" id="{FF9B804F-DAAA-4CFA-9A66-B05123993FD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1" name="CaixaDeTexto 18">
          <a:extLst>
            <a:ext uri="{FF2B5EF4-FFF2-40B4-BE49-F238E27FC236}">
              <a16:creationId xmlns:a16="http://schemas.microsoft.com/office/drawing/2014/main" id="{D9DBC5C1-883C-4B66-988D-F880C313212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2" name="CaixaDeTexto 20">
          <a:extLst>
            <a:ext uri="{FF2B5EF4-FFF2-40B4-BE49-F238E27FC236}">
              <a16:creationId xmlns:a16="http://schemas.microsoft.com/office/drawing/2014/main" id="{86375F67-D8A6-4E5E-828E-F5CA2943754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3" name="CaixaDeTexto 21">
          <a:extLst>
            <a:ext uri="{FF2B5EF4-FFF2-40B4-BE49-F238E27FC236}">
              <a16:creationId xmlns:a16="http://schemas.microsoft.com/office/drawing/2014/main" id="{EA5140BF-2D51-40DA-A15F-0BA1F0272A2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4" name="CaixaDeTexto 24">
          <a:extLst>
            <a:ext uri="{FF2B5EF4-FFF2-40B4-BE49-F238E27FC236}">
              <a16:creationId xmlns:a16="http://schemas.microsoft.com/office/drawing/2014/main" id="{F65CAE34-0272-40D7-82AE-59F2CCE9564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5" name="CaixaDeTexto 2">
          <a:extLst>
            <a:ext uri="{FF2B5EF4-FFF2-40B4-BE49-F238E27FC236}">
              <a16:creationId xmlns:a16="http://schemas.microsoft.com/office/drawing/2014/main" id="{5656245B-E1A0-4A75-A2AB-2D51F4DF4BC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6" name="CaixaDeTexto 4">
          <a:extLst>
            <a:ext uri="{FF2B5EF4-FFF2-40B4-BE49-F238E27FC236}">
              <a16:creationId xmlns:a16="http://schemas.microsoft.com/office/drawing/2014/main" id="{3CA154C9-899A-4218-A50B-118D67BF041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7" name="CaixaDeTexto 9">
          <a:extLst>
            <a:ext uri="{FF2B5EF4-FFF2-40B4-BE49-F238E27FC236}">
              <a16:creationId xmlns:a16="http://schemas.microsoft.com/office/drawing/2014/main" id="{56FEFE38-A46A-4249-8E40-FBF496F349C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8" name="CaixaDeTexto 12">
          <a:extLst>
            <a:ext uri="{FF2B5EF4-FFF2-40B4-BE49-F238E27FC236}">
              <a16:creationId xmlns:a16="http://schemas.microsoft.com/office/drawing/2014/main" id="{CC15828A-EC2B-42D7-8307-C32DA9C32BC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39" name="CaixaDeTexto 14">
          <a:extLst>
            <a:ext uri="{FF2B5EF4-FFF2-40B4-BE49-F238E27FC236}">
              <a16:creationId xmlns:a16="http://schemas.microsoft.com/office/drawing/2014/main" id="{51C063B5-3931-4279-8817-DD0A3C544A9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0" name="CaixaDeTexto 16">
          <a:extLst>
            <a:ext uri="{FF2B5EF4-FFF2-40B4-BE49-F238E27FC236}">
              <a16:creationId xmlns:a16="http://schemas.microsoft.com/office/drawing/2014/main" id="{035C3140-0D4D-4D06-B8B3-BA94AE97D3F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1" name="CaixaDeTexto 18">
          <a:extLst>
            <a:ext uri="{FF2B5EF4-FFF2-40B4-BE49-F238E27FC236}">
              <a16:creationId xmlns:a16="http://schemas.microsoft.com/office/drawing/2014/main" id="{A64C8DEB-1CD6-4199-81CF-B9B718AB7C0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2" name="CaixaDeTexto 20">
          <a:extLst>
            <a:ext uri="{FF2B5EF4-FFF2-40B4-BE49-F238E27FC236}">
              <a16:creationId xmlns:a16="http://schemas.microsoft.com/office/drawing/2014/main" id="{68D4F4ED-9159-4F59-906A-7DEBEE5724A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3" name="CaixaDeTexto 21">
          <a:extLst>
            <a:ext uri="{FF2B5EF4-FFF2-40B4-BE49-F238E27FC236}">
              <a16:creationId xmlns:a16="http://schemas.microsoft.com/office/drawing/2014/main" id="{5CEF653E-B9EC-4074-881A-66F06C803AA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4" name="CaixaDeTexto 24">
          <a:extLst>
            <a:ext uri="{FF2B5EF4-FFF2-40B4-BE49-F238E27FC236}">
              <a16:creationId xmlns:a16="http://schemas.microsoft.com/office/drawing/2014/main" id="{532CF4EF-7465-48EC-92A3-4A5AFB36AA8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5" name="CaixaDeTexto 2">
          <a:extLst>
            <a:ext uri="{FF2B5EF4-FFF2-40B4-BE49-F238E27FC236}">
              <a16:creationId xmlns:a16="http://schemas.microsoft.com/office/drawing/2014/main" id="{C669640F-D79A-4032-A1B9-95D57119439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6" name="CaixaDeTexto 4">
          <a:extLst>
            <a:ext uri="{FF2B5EF4-FFF2-40B4-BE49-F238E27FC236}">
              <a16:creationId xmlns:a16="http://schemas.microsoft.com/office/drawing/2014/main" id="{F2E5B9BB-1CCB-4730-9882-F1FDCC32110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7" name="CaixaDeTexto 9">
          <a:extLst>
            <a:ext uri="{FF2B5EF4-FFF2-40B4-BE49-F238E27FC236}">
              <a16:creationId xmlns:a16="http://schemas.microsoft.com/office/drawing/2014/main" id="{9AFDE7E2-EAA7-4B48-9DA7-C6E03C34BD9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8" name="CaixaDeTexto 12">
          <a:extLst>
            <a:ext uri="{FF2B5EF4-FFF2-40B4-BE49-F238E27FC236}">
              <a16:creationId xmlns:a16="http://schemas.microsoft.com/office/drawing/2014/main" id="{E0BE5CC8-6B05-432D-AC8D-3C692B84E51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49" name="CaixaDeTexto 14">
          <a:extLst>
            <a:ext uri="{FF2B5EF4-FFF2-40B4-BE49-F238E27FC236}">
              <a16:creationId xmlns:a16="http://schemas.microsoft.com/office/drawing/2014/main" id="{CAF4585E-210A-4A37-9E5B-1425268BEFE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0" name="CaixaDeTexto 16">
          <a:extLst>
            <a:ext uri="{FF2B5EF4-FFF2-40B4-BE49-F238E27FC236}">
              <a16:creationId xmlns:a16="http://schemas.microsoft.com/office/drawing/2014/main" id="{3E965384-6531-4DD8-A291-96D15A9180E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1" name="CaixaDeTexto 18">
          <a:extLst>
            <a:ext uri="{FF2B5EF4-FFF2-40B4-BE49-F238E27FC236}">
              <a16:creationId xmlns:a16="http://schemas.microsoft.com/office/drawing/2014/main" id="{3DCD2E3B-3FB0-4E6E-9573-BC912B75D9C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2" name="CaixaDeTexto 20">
          <a:extLst>
            <a:ext uri="{FF2B5EF4-FFF2-40B4-BE49-F238E27FC236}">
              <a16:creationId xmlns:a16="http://schemas.microsoft.com/office/drawing/2014/main" id="{0F57A270-0750-4ABF-B7A7-F50AD071E51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3" name="CaixaDeTexto 2">
          <a:extLst>
            <a:ext uri="{FF2B5EF4-FFF2-40B4-BE49-F238E27FC236}">
              <a16:creationId xmlns:a16="http://schemas.microsoft.com/office/drawing/2014/main" id="{A8E93277-BF49-411B-8192-66BB636428A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4" name="CaixaDeTexto 4">
          <a:extLst>
            <a:ext uri="{FF2B5EF4-FFF2-40B4-BE49-F238E27FC236}">
              <a16:creationId xmlns:a16="http://schemas.microsoft.com/office/drawing/2014/main" id="{64D20DA5-E64E-4E55-9041-BF1EE095BF5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5" name="CaixaDeTexto 9">
          <a:extLst>
            <a:ext uri="{FF2B5EF4-FFF2-40B4-BE49-F238E27FC236}">
              <a16:creationId xmlns:a16="http://schemas.microsoft.com/office/drawing/2014/main" id="{137815B1-4F10-4A0D-A41E-DEFE30CF5CB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6" name="CaixaDeTexto 12">
          <a:extLst>
            <a:ext uri="{FF2B5EF4-FFF2-40B4-BE49-F238E27FC236}">
              <a16:creationId xmlns:a16="http://schemas.microsoft.com/office/drawing/2014/main" id="{3DC215E6-9DE7-4D52-A9F5-8ABB31E71D4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7" name="CaixaDeTexto 14">
          <a:extLst>
            <a:ext uri="{FF2B5EF4-FFF2-40B4-BE49-F238E27FC236}">
              <a16:creationId xmlns:a16="http://schemas.microsoft.com/office/drawing/2014/main" id="{9E9AFA37-07B6-49F0-9358-2C34937837B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8" name="CaixaDeTexto 16">
          <a:extLst>
            <a:ext uri="{FF2B5EF4-FFF2-40B4-BE49-F238E27FC236}">
              <a16:creationId xmlns:a16="http://schemas.microsoft.com/office/drawing/2014/main" id="{641D81A4-5EF7-41BC-AABB-268C0412CA6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59" name="CaixaDeTexto 18">
          <a:extLst>
            <a:ext uri="{FF2B5EF4-FFF2-40B4-BE49-F238E27FC236}">
              <a16:creationId xmlns:a16="http://schemas.microsoft.com/office/drawing/2014/main" id="{A5D8ED32-52AD-42BB-9F98-4BA3AE60274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0" name="CaixaDeTexto 20">
          <a:extLst>
            <a:ext uri="{FF2B5EF4-FFF2-40B4-BE49-F238E27FC236}">
              <a16:creationId xmlns:a16="http://schemas.microsoft.com/office/drawing/2014/main" id="{06955BC0-C904-47F6-AC8F-60354128904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1" name="CaixaDeTexto 21">
          <a:extLst>
            <a:ext uri="{FF2B5EF4-FFF2-40B4-BE49-F238E27FC236}">
              <a16:creationId xmlns:a16="http://schemas.microsoft.com/office/drawing/2014/main" id="{01390F6C-A452-4481-B86A-3A198D0A4A0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2" name="CaixaDeTexto 24">
          <a:extLst>
            <a:ext uri="{FF2B5EF4-FFF2-40B4-BE49-F238E27FC236}">
              <a16:creationId xmlns:a16="http://schemas.microsoft.com/office/drawing/2014/main" id="{CDCF47C1-12B7-45A7-AF82-8FDC1B82D2C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3" name="CaixaDeTexto 2">
          <a:extLst>
            <a:ext uri="{FF2B5EF4-FFF2-40B4-BE49-F238E27FC236}">
              <a16:creationId xmlns:a16="http://schemas.microsoft.com/office/drawing/2014/main" id="{8EF4BD36-FAA2-4FEE-BAFE-8A8C025BBA9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4" name="CaixaDeTexto 4">
          <a:extLst>
            <a:ext uri="{FF2B5EF4-FFF2-40B4-BE49-F238E27FC236}">
              <a16:creationId xmlns:a16="http://schemas.microsoft.com/office/drawing/2014/main" id="{1032ED77-4B8C-4D6D-962B-43BA3617048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5" name="CaixaDeTexto 9">
          <a:extLst>
            <a:ext uri="{FF2B5EF4-FFF2-40B4-BE49-F238E27FC236}">
              <a16:creationId xmlns:a16="http://schemas.microsoft.com/office/drawing/2014/main" id="{E0A76B4F-87AE-45C3-975A-4F989F5B5C7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6" name="CaixaDeTexto 12">
          <a:extLst>
            <a:ext uri="{FF2B5EF4-FFF2-40B4-BE49-F238E27FC236}">
              <a16:creationId xmlns:a16="http://schemas.microsoft.com/office/drawing/2014/main" id="{5CD2D872-F585-4D9D-93CA-6CF4245AB52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7" name="CaixaDeTexto 14">
          <a:extLst>
            <a:ext uri="{FF2B5EF4-FFF2-40B4-BE49-F238E27FC236}">
              <a16:creationId xmlns:a16="http://schemas.microsoft.com/office/drawing/2014/main" id="{EC7AE522-9A42-45C9-8771-4A2BC04365F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8" name="CaixaDeTexto 16">
          <a:extLst>
            <a:ext uri="{FF2B5EF4-FFF2-40B4-BE49-F238E27FC236}">
              <a16:creationId xmlns:a16="http://schemas.microsoft.com/office/drawing/2014/main" id="{2D24F835-C1A9-46C4-BB20-3B7ED59D32C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69" name="CaixaDeTexto 18">
          <a:extLst>
            <a:ext uri="{FF2B5EF4-FFF2-40B4-BE49-F238E27FC236}">
              <a16:creationId xmlns:a16="http://schemas.microsoft.com/office/drawing/2014/main" id="{E94AED11-BC25-4125-8E76-133D28DBC52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0" name="CaixaDeTexto 20">
          <a:extLst>
            <a:ext uri="{FF2B5EF4-FFF2-40B4-BE49-F238E27FC236}">
              <a16:creationId xmlns:a16="http://schemas.microsoft.com/office/drawing/2014/main" id="{F88C13F6-1234-4FBD-B6D7-3338F1B2B25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1" name="CaixaDeTexto 2">
          <a:extLst>
            <a:ext uri="{FF2B5EF4-FFF2-40B4-BE49-F238E27FC236}">
              <a16:creationId xmlns:a16="http://schemas.microsoft.com/office/drawing/2014/main" id="{DDEF5234-8DB6-44E6-8A81-9885C0E8AA1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2" name="CaixaDeTexto 4">
          <a:extLst>
            <a:ext uri="{FF2B5EF4-FFF2-40B4-BE49-F238E27FC236}">
              <a16:creationId xmlns:a16="http://schemas.microsoft.com/office/drawing/2014/main" id="{3CA5E6AC-653D-4F23-BF2A-C4F2264BE95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3" name="CaixaDeTexto 9">
          <a:extLst>
            <a:ext uri="{FF2B5EF4-FFF2-40B4-BE49-F238E27FC236}">
              <a16:creationId xmlns:a16="http://schemas.microsoft.com/office/drawing/2014/main" id="{91D475FF-34EE-487F-8786-1E116DD604D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4" name="CaixaDeTexto 12">
          <a:extLst>
            <a:ext uri="{FF2B5EF4-FFF2-40B4-BE49-F238E27FC236}">
              <a16:creationId xmlns:a16="http://schemas.microsoft.com/office/drawing/2014/main" id="{8C8708D1-B0B3-4493-A8A6-FE0344D0170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5" name="CaixaDeTexto 14">
          <a:extLst>
            <a:ext uri="{FF2B5EF4-FFF2-40B4-BE49-F238E27FC236}">
              <a16:creationId xmlns:a16="http://schemas.microsoft.com/office/drawing/2014/main" id="{FBAEE1CF-B2B8-4341-839F-367D7DE45A2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6" name="CaixaDeTexto 16">
          <a:extLst>
            <a:ext uri="{FF2B5EF4-FFF2-40B4-BE49-F238E27FC236}">
              <a16:creationId xmlns:a16="http://schemas.microsoft.com/office/drawing/2014/main" id="{1AC70C22-6021-4909-89B9-654DB972B22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7" name="CaixaDeTexto 18">
          <a:extLst>
            <a:ext uri="{FF2B5EF4-FFF2-40B4-BE49-F238E27FC236}">
              <a16:creationId xmlns:a16="http://schemas.microsoft.com/office/drawing/2014/main" id="{FE01E24A-5440-4D46-8956-792B77390BB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8" name="CaixaDeTexto 20">
          <a:extLst>
            <a:ext uri="{FF2B5EF4-FFF2-40B4-BE49-F238E27FC236}">
              <a16:creationId xmlns:a16="http://schemas.microsoft.com/office/drawing/2014/main" id="{65518DA7-D310-4F54-AA7E-0D7D29EBD70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79" name="CaixaDeTexto 21">
          <a:extLst>
            <a:ext uri="{FF2B5EF4-FFF2-40B4-BE49-F238E27FC236}">
              <a16:creationId xmlns:a16="http://schemas.microsoft.com/office/drawing/2014/main" id="{8A8ED928-8004-41BA-ADFA-66749493606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0" name="CaixaDeTexto 24">
          <a:extLst>
            <a:ext uri="{FF2B5EF4-FFF2-40B4-BE49-F238E27FC236}">
              <a16:creationId xmlns:a16="http://schemas.microsoft.com/office/drawing/2014/main" id="{18083BF6-F59B-4147-A0B7-41D21315BC7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1" name="CaixaDeTexto 2">
          <a:extLst>
            <a:ext uri="{FF2B5EF4-FFF2-40B4-BE49-F238E27FC236}">
              <a16:creationId xmlns:a16="http://schemas.microsoft.com/office/drawing/2014/main" id="{C634C2DC-ACCD-407C-A2F6-6A505A1C20D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2" name="CaixaDeTexto 4">
          <a:extLst>
            <a:ext uri="{FF2B5EF4-FFF2-40B4-BE49-F238E27FC236}">
              <a16:creationId xmlns:a16="http://schemas.microsoft.com/office/drawing/2014/main" id="{F9967AA9-7B1F-48D6-B295-C17927252C6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3" name="CaixaDeTexto 9">
          <a:extLst>
            <a:ext uri="{FF2B5EF4-FFF2-40B4-BE49-F238E27FC236}">
              <a16:creationId xmlns:a16="http://schemas.microsoft.com/office/drawing/2014/main" id="{559F6ED9-3D82-4137-8034-44F5E98D626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4" name="CaixaDeTexto 12">
          <a:extLst>
            <a:ext uri="{FF2B5EF4-FFF2-40B4-BE49-F238E27FC236}">
              <a16:creationId xmlns:a16="http://schemas.microsoft.com/office/drawing/2014/main" id="{C00FBCFE-C2D3-45A0-9919-A83F6D633B2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5" name="CaixaDeTexto 14">
          <a:extLst>
            <a:ext uri="{FF2B5EF4-FFF2-40B4-BE49-F238E27FC236}">
              <a16:creationId xmlns:a16="http://schemas.microsoft.com/office/drawing/2014/main" id="{40DB6D45-E765-4161-AAF9-A452428DDD9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6" name="CaixaDeTexto 16">
          <a:extLst>
            <a:ext uri="{FF2B5EF4-FFF2-40B4-BE49-F238E27FC236}">
              <a16:creationId xmlns:a16="http://schemas.microsoft.com/office/drawing/2014/main" id="{7C8FCFF9-78ED-46C8-9497-1913CBE8EAB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7" name="CaixaDeTexto 18">
          <a:extLst>
            <a:ext uri="{FF2B5EF4-FFF2-40B4-BE49-F238E27FC236}">
              <a16:creationId xmlns:a16="http://schemas.microsoft.com/office/drawing/2014/main" id="{17D9B3AE-8049-4EE3-8B4A-6AB11ADA47F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8" name="CaixaDeTexto 20">
          <a:extLst>
            <a:ext uri="{FF2B5EF4-FFF2-40B4-BE49-F238E27FC236}">
              <a16:creationId xmlns:a16="http://schemas.microsoft.com/office/drawing/2014/main" id="{F00FF9C5-7B83-4457-B988-72167C35747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89" name="CaixaDeTexto 21">
          <a:extLst>
            <a:ext uri="{FF2B5EF4-FFF2-40B4-BE49-F238E27FC236}">
              <a16:creationId xmlns:a16="http://schemas.microsoft.com/office/drawing/2014/main" id="{2D08DB1A-A23D-43B4-9128-AD1D26E40FA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0" name="CaixaDeTexto 24">
          <a:extLst>
            <a:ext uri="{FF2B5EF4-FFF2-40B4-BE49-F238E27FC236}">
              <a16:creationId xmlns:a16="http://schemas.microsoft.com/office/drawing/2014/main" id="{5213BBD2-AB24-4DEE-BB51-26A3D58597E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1" name="CaixaDeTexto 2">
          <a:extLst>
            <a:ext uri="{FF2B5EF4-FFF2-40B4-BE49-F238E27FC236}">
              <a16:creationId xmlns:a16="http://schemas.microsoft.com/office/drawing/2014/main" id="{F29D02F6-6AC9-4A4C-97E3-D04390B0AAC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2" name="CaixaDeTexto 4">
          <a:extLst>
            <a:ext uri="{FF2B5EF4-FFF2-40B4-BE49-F238E27FC236}">
              <a16:creationId xmlns:a16="http://schemas.microsoft.com/office/drawing/2014/main" id="{4A18B327-B8BD-45AA-8E2D-640A24C13D7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3" name="CaixaDeTexto 9">
          <a:extLst>
            <a:ext uri="{FF2B5EF4-FFF2-40B4-BE49-F238E27FC236}">
              <a16:creationId xmlns:a16="http://schemas.microsoft.com/office/drawing/2014/main" id="{2D66EBB5-7B74-4E24-AFCD-7CF3B9ACF5B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4" name="CaixaDeTexto 12">
          <a:extLst>
            <a:ext uri="{FF2B5EF4-FFF2-40B4-BE49-F238E27FC236}">
              <a16:creationId xmlns:a16="http://schemas.microsoft.com/office/drawing/2014/main" id="{7AA9D5C4-3AC8-4E95-B132-72D9AABF928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5" name="CaixaDeTexto 14">
          <a:extLst>
            <a:ext uri="{FF2B5EF4-FFF2-40B4-BE49-F238E27FC236}">
              <a16:creationId xmlns:a16="http://schemas.microsoft.com/office/drawing/2014/main" id="{21C95FB3-2859-4720-831A-89D62498454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6" name="CaixaDeTexto 16">
          <a:extLst>
            <a:ext uri="{FF2B5EF4-FFF2-40B4-BE49-F238E27FC236}">
              <a16:creationId xmlns:a16="http://schemas.microsoft.com/office/drawing/2014/main" id="{77C6E455-B4D2-4446-9DC1-2D21A028BBB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7" name="CaixaDeTexto 18">
          <a:extLst>
            <a:ext uri="{FF2B5EF4-FFF2-40B4-BE49-F238E27FC236}">
              <a16:creationId xmlns:a16="http://schemas.microsoft.com/office/drawing/2014/main" id="{4EDB70AC-FCD8-412F-840D-02663F577F3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8" name="CaixaDeTexto 20">
          <a:extLst>
            <a:ext uri="{FF2B5EF4-FFF2-40B4-BE49-F238E27FC236}">
              <a16:creationId xmlns:a16="http://schemas.microsoft.com/office/drawing/2014/main" id="{230CC18E-24A2-45C8-B999-065544A95E8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999" name="CaixaDeTexto 2">
          <a:extLst>
            <a:ext uri="{FF2B5EF4-FFF2-40B4-BE49-F238E27FC236}">
              <a16:creationId xmlns:a16="http://schemas.microsoft.com/office/drawing/2014/main" id="{A9D1C4D3-6955-4C0C-9263-F936907A702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0" name="CaixaDeTexto 4">
          <a:extLst>
            <a:ext uri="{FF2B5EF4-FFF2-40B4-BE49-F238E27FC236}">
              <a16:creationId xmlns:a16="http://schemas.microsoft.com/office/drawing/2014/main" id="{A019AA56-FAA6-44D2-9073-1145A9EE1A5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1" name="CaixaDeTexto 9">
          <a:extLst>
            <a:ext uri="{FF2B5EF4-FFF2-40B4-BE49-F238E27FC236}">
              <a16:creationId xmlns:a16="http://schemas.microsoft.com/office/drawing/2014/main" id="{F232411A-E533-4142-9CDF-E89623F6471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2" name="CaixaDeTexto 12">
          <a:extLst>
            <a:ext uri="{FF2B5EF4-FFF2-40B4-BE49-F238E27FC236}">
              <a16:creationId xmlns:a16="http://schemas.microsoft.com/office/drawing/2014/main" id="{2DD1CB33-BD83-444D-8002-C026CAA9E9F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3" name="CaixaDeTexto 14">
          <a:extLst>
            <a:ext uri="{FF2B5EF4-FFF2-40B4-BE49-F238E27FC236}">
              <a16:creationId xmlns:a16="http://schemas.microsoft.com/office/drawing/2014/main" id="{B8CEB44D-B342-447B-A684-A92F7B9CFA6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4" name="CaixaDeTexto 16">
          <a:extLst>
            <a:ext uri="{FF2B5EF4-FFF2-40B4-BE49-F238E27FC236}">
              <a16:creationId xmlns:a16="http://schemas.microsoft.com/office/drawing/2014/main" id="{FAD19826-B243-4A0E-A2C5-2E0E8257051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5" name="CaixaDeTexto 18">
          <a:extLst>
            <a:ext uri="{FF2B5EF4-FFF2-40B4-BE49-F238E27FC236}">
              <a16:creationId xmlns:a16="http://schemas.microsoft.com/office/drawing/2014/main" id="{50B263A2-4483-4AA6-A73F-20F5E1874E9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6" name="CaixaDeTexto 20">
          <a:extLst>
            <a:ext uri="{FF2B5EF4-FFF2-40B4-BE49-F238E27FC236}">
              <a16:creationId xmlns:a16="http://schemas.microsoft.com/office/drawing/2014/main" id="{1289B802-BA58-478B-9F6C-08FDA28848A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7" name="CaixaDeTexto 21">
          <a:extLst>
            <a:ext uri="{FF2B5EF4-FFF2-40B4-BE49-F238E27FC236}">
              <a16:creationId xmlns:a16="http://schemas.microsoft.com/office/drawing/2014/main" id="{88432D28-F02E-440B-BFAF-6CD8D4E85CF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8" name="CaixaDeTexto 24">
          <a:extLst>
            <a:ext uri="{FF2B5EF4-FFF2-40B4-BE49-F238E27FC236}">
              <a16:creationId xmlns:a16="http://schemas.microsoft.com/office/drawing/2014/main" id="{775A221C-3E64-40EB-B987-FE83138C3A9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09" name="CaixaDeTexto 2">
          <a:extLst>
            <a:ext uri="{FF2B5EF4-FFF2-40B4-BE49-F238E27FC236}">
              <a16:creationId xmlns:a16="http://schemas.microsoft.com/office/drawing/2014/main" id="{11B18E41-3E6E-4A5B-9249-71347714995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0" name="CaixaDeTexto 4">
          <a:extLst>
            <a:ext uri="{FF2B5EF4-FFF2-40B4-BE49-F238E27FC236}">
              <a16:creationId xmlns:a16="http://schemas.microsoft.com/office/drawing/2014/main" id="{513F160F-6932-438C-8AC6-ED4E1DF9E0A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1" name="CaixaDeTexto 9">
          <a:extLst>
            <a:ext uri="{FF2B5EF4-FFF2-40B4-BE49-F238E27FC236}">
              <a16:creationId xmlns:a16="http://schemas.microsoft.com/office/drawing/2014/main" id="{B532B36D-D697-46E9-8681-59E4E35C37D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2" name="CaixaDeTexto 12">
          <a:extLst>
            <a:ext uri="{FF2B5EF4-FFF2-40B4-BE49-F238E27FC236}">
              <a16:creationId xmlns:a16="http://schemas.microsoft.com/office/drawing/2014/main" id="{6ABF5508-85E7-4159-A0C5-644B446459B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3" name="CaixaDeTexto 14">
          <a:extLst>
            <a:ext uri="{FF2B5EF4-FFF2-40B4-BE49-F238E27FC236}">
              <a16:creationId xmlns:a16="http://schemas.microsoft.com/office/drawing/2014/main" id="{EA459D79-8697-4A08-9901-E6FEFC198F7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4" name="CaixaDeTexto 16">
          <a:extLst>
            <a:ext uri="{FF2B5EF4-FFF2-40B4-BE49-F238E27FC236}">
              <a16:creationId xmlns:a16="http://schemas.microsoft.com/office/drawing/2014/main" id="{D87E8E0B-BB33-4A59-9385-3630DE6E78F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5" name="CaixaDeTexto 18">
          <a:extLst>
            <a:ext uri="{FF2B5EF4-FFF2-40B4-BE49-F238E27FC236}">
              <a16:creationId xmlns:a16="http://schemas.microsoft.com/office/drawing/2014/main" id="{B0A51A68-FA3F-44E6-A8E3-55F1D50A868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6" name="CaixaDeTexto 20">
          <a:extLst>
            <a:ext uri="{FF2B5EF4-FFF2-40B4-BE49-F238E27FC236}">
              <a16:creationId xmlns:a16="http://schemas.microsoft.com/office/drawing/2014/main" id="{0CC2ECCB-F9AA-4113-8CBA-357E4F60541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7" name="CaixaDeTexto 21">
          <a:extLst>
            <a:ext uri="{FF2B5EF4-FFF2-40B4-BE49-F238E27FC236}">
              <a16:creationId xmlns:a16="http://schemas.microsoft.com/office/drawing/2014/main" id="{05BD1CFB-3D18-424D-94FB-4344E613072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8" name="CaixaDeTexto 24">
          <a:extLst>
            <a:ext uri="{FF2B5EF4-FFF2-40B4-BE49-F238E27FC236}">
              <a16:creationId xmlns:a16="http://schemas.microsoft.com/office/drawing/2014/main" id="{1E48104C-862A-44A5-B16A-26535B7A526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19" name="CaixaDeTexto 2">
          <a:extLst>
            <a:ext uri="{FF2B5EF4-FFF2-40B4-BE49-F238E27FC236}">
              <a16:creationId xmlns:a16="http://schemas.microsoft.com/office/drawing/2014/main" id="{31E68348-1A33-4BE7-92DA-3455016BC75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0" name="CaixaDeTexto 4">
          <a:extLst>
            <a:ext uri="{FF2B5EF4-FFF2-40B4-BE49-F238E27FC236}">
              <a16:creationId xmlns:a16="http://schemas.microsoft.com/office/drawing/2014/main" id="{1F0FD53B-AC17-453C-8B2E-FBC61853ABD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1" name="CaixaDeTexto 9">
          <a:extLst>
            <a:ext uri="{FF2B5EF4-FFF2-40B4-BE49-F238E27FC236}">
              <a16:creationId xmlns:a16="http://schemas.microsoft.com/office/drawing/2014/main" id="{3B669AA8-518A-4A38-B4C3-8E1A3649DD2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2" name="CaixaDeTexto 12">
          <a:extLst>
            <a:ext uri="{FF2B5EF4-FFF2-40B4-BE49-F238E27FC236}">
              <a16:creationId xmlns:a16="http://schemas.microsoft.com/office/drawing/2014/main" id="{CEABC679-6E24-4F74-BD7C-70F3A41F1BF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3" name="CaixaDeTexto 14">
          <a:extLst>
            <a:ext uri="{FF2B5EF4-FFF2-40B4-BE49-F238E27FC236}">
              <a16:creationId xmlns:a16="http://schemas.microsoft.com/office/drawing/2014/main" id="{7387E609-0586-4231-B77F-FAFAFD7A91A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4" name="CaixaDeTexto 16">
          <a:extLst>
            <a:ext uri="{FF2B5EF4-FFF2-40B4-BE49-F238E27FC236}">
              <a16:creationId xmlns:a16="http://schemas.microsoft.com/office/drawing/2014/main" id="{CB2BC416-321F-45CA-896A-74F88021ECA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5" name="CaixaDeTexto 18">
          <a:extLst>
            <a:ext uri="{FF2B5EF4-FFF2-40B4-BE49-F238E27FC236}">
              <a16:creationId xmlns:a16="http://schemas.microsoft.com/office/drawing/2014/main" id="{B9662EA4-F57F-42AD-BF8A-DDFE7B158E8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6" name="CaixaDeTexto 20">
          <a:extLst>
            <a:ext uri="{FF2B5EF4-FFF2-40B4-BE49-F238E27FC236}">
              <a16:creationId xmlns:a16="http://schemas.microsoft.com/office/drawing/2014/main" id="{CE8C3441-5A04-41E3-9AE0-BFC449235C8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7" name="CaixaDeTexto 2">
          <a:extLst>
            <a:ext uri="{FF2B5EF4-FFF2-40B4-BE49-F238E27FC236}">
              <a16:creationId xmlns:a16="http://schemas.microsoft.com/office/drawing/2014/main" id="{C6800688-9564-4798-8D8E-5DD5F95CA0F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8" name="CaixaDeTexto 4">
          <a:extLst>
            <a:ext uri="{FF2B5EF4-FFF2-40B4-BE49-F238E27FC236}">
              <a16:creationId xmlns:a16="http://schemas.microsoft.com/office/drawing/2014/main" id="{D815BB3A-E399-4115-8568-EEF2384FDE5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29" name="CaixaDeTexto 9">
          <a:extLst>
            <a:ext uri="{FF2B5EF4-FFF2-40B4-BE49-F238E27FC236}">
              <a16:creationId xmlns:a16="http://schemas.microsoft.com/office/drawing/2014/main" id="{193510BE-F089-476C-8CA0-5D84EE52EEA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0" name="CaixaDeTexto 12">
          <a:extLst>
            <a:ext uri="{FF2B5EF4-FFF2-40B4-BE49-F238E27FC236}">
              <a16:creationId xmlns:a16="http://schemas.microsoft.com/office/drawing/2014/main" id="{D92F90A1-0825-4856-9410-1F8DC1EF77D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1" name="CaixaDeTexto 14">
          <a:extLst>
            <a:ext uri="{FF2B5EF4-FFF2-40B4-BE49-F238E27FC236}">
              <a16:creationId xmlns:a16="http://schemas.microsoft.com/office/drawing/2014/main" id="{588DF698-CCDB-4E0D-A996-2843CAA66A6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2" name="CaixaDeTexto 16">
          <a:extLst>
            <a:ext uri="{FF2B5EF4-FFF2-40B4-BE49-F238E27FC236}">
              <a16:creationId xmlns:a16="http://schemas.microsoft.com/office/drawing/2014/main" id="{711540F5-9262-4E3D-8E19-96F511BD0E6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3" name="CaixaDeTexto 18">
          <a:extLst>
            <a:ext uri="{FF2B5EF4-FFF2-40B4-BE49-F238E27FC236}">
              <a16:creationId xmlns:a16="http://schemas.microsoft.com/office/drawing/2014/main" id="{63899001-F9E2-443A-8903-E50293EB7D5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4" name="CaixaDeTexto 20">
          <a:extLst>
            <a:ext uri="{FF2B5EF4-FFF2-40B4-BE49-F238E27FC236}">
              <a16:creationId xmlns:a16="http://schemas.microsoft.com/office/drawing/2014/main" id="{F4EA69FC-85FC-409F-BC67-A3B9E076562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5" name="CaixaDeTexto 21">
          <a:extLst>
            <a:ext uri="{FF2B5EF4-FFF2-40B4-BE49-F238E27FC236}">
              <a16:creationId xmlns:a16="http://schemas.microsoft.com/office/drawing/2014/main" id="{62B91633-0EAC-4591-B86D-3D16D0BBF65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6" name="CaixaDeTexto 24">
          <a:extLst>
            <a:ext uri="{FF2B5EF4-FFF2-40B4-BE49-F238E27FC236}">
              <a16:creationId xmlns:a16="http://schemas.microsoft.com/office/drawing/2014/main" id="{ACE72788-87FD-41D3-BFFC-74A295C228A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7" name="CaixaDeTexto 2">
          <a:extLst>
            <a:ext uri="{FF2B5EF4-FFF2-40B4-BE49-F238E27FC236}">
              <a16:creationId xmlns:a16="http://schemas.microsoft.com/office/drawing/2014/main" id="{6BB26332-9ACE-4FD9-A705-29D57A9C0AB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8" name="CaixaDeTexto 4">
          <a:extLst>
            <a:ext uri="{FF2B5EF4-FFF2-40B4-BE49-F238E27FC236}">
              <a16:creationId xmlns:a16="http://schemas.microsoft.com/office/drawing/2014/main" id="{38378486-4C33-4406-9F50-7D0FD93B52E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39" name="CaixaDeTexto 9">
          <a:extLst>
            <a:ext uri="{FF2B5EF4-FFF2-40B4-BE49-F238E27FC236}">
              <a16:creationId xmlns:a16="http://schemas.microsoft.com/office/drawing/2014/main" id="{3E8428F3-FBAC-4997-8847-6ACFC41DFBB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0" name="CaixaDeTexto 12">
          <a:extLst>
            <a:ext uri="{FF2B5EF4-FFF2-40B4-BE49-F238E27FC236}">
              <a16:creationId xmlns:a16="http://schemas.microsoft.com/office/drawing/2014/main" id="{6F74BA84-4EE3-45A7-A87E-E481F4FEE78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1" name="CaixaDeTexto 14">
          <a:extLst>
            <a:ext uri="{FF2B5EF4-FFF2-40B4-BE49-F238E27FC236}">
              <a16:creationId xmlns:a16="http://schemas.microsoft.com/office/drawing/2014/main" id="{411A06FB-C397-4675-A3FE-E45277D36FC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2" name="CaixaDeTexto 16">
          <a:extLst>
            <a:ext uri="{FF2B5EF4-FFF2-40B4-BE49-F238E27FC236}">
              <a16:creationId xmlns:a16="http://schemas.microsoft.com/office/drawing/2014/main" id="{F8F62F4B-1C36-4D33-9C7E-DC7251FFF85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3" name="CaixaDeTexto 18">
          <a:extLst>
            <a:ext uri="{FF2B5EF4-FFF2-40B4-BE49-F238E27FC236}">
              <a16:creationId xmlns:a16="http://schemas.microsoft.com/office/drawing/2014/main" id="{EF9276DC-E733-4039-B810-F356FD377A2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4" name="CaixaDeTexto 20">
          <a:extLst>
            <a:ext uri="{FF2B5EF4-FFF2-40B4-BE49-F238E27FC236}">
              <a16:creationId xmlns:a16="http://schemas.microsoft.com/office/drawing/2014/main" id="{C8617EE2-1E65-4275-B3A8-587D43D17F6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5" name="CaixaDeTexto 21">
          <a:extLst>
            <a:ext uri="{FF2B5EF4-FFF2-40B4-BE49-F238E27FC236}">
              <a16:creationId xmlns:a16="http://schemas.microsoft.com/office/drawing/2014/main" id="{3FDA6BA6-5C71-42BC-B389-0C30F4FEB46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6" name="CaixaDeTexto 24">
          <a:extLst>
            <a:ext uri="{FF2B5EF4-FFF2-40B4-BE49-F238E27FC236}">
              <a16:creationId xmlns:a16="http://schemas.microsoft.com/office/drawing/2014/main" id="{2247FD4D-DE05-4D35-A261-99F0733DE59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7" name="CaixaDeTexto 2">
          <a:extLst>
            <a:ext uri="{FF2B5EF4-FFF2-40B4-BE49-F238E27FC236}">
              <a16:creationId xmlns:a16="http://schemas.microsoft.com/office/drawing/2014/main" id="{A397BEC8-A383-44AF-949E-DDC5974F4C0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8" name="CaixaDeTexto 4">
          <a:extLst>
            <a:ext uri="{FF2B5EF4-FFF2-40B4-BE49-F238E27FC236}">
              <a16:creationId xmlns:a16="http://schemas.microsoft.com/office/drawing/2014/main" id="{546F3A90-2A0E-42B1-A6AE-399A4A35AC0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49" name="CaixaDeTexto 9">
          <a:extLst>
            <a:ext uri="{FF2B5EF4-FFF2-40B4-BE49-F238E27FC236}">
              <a16:creationId xmlns:a16="http://schemas.microsoft.com/office/drawing/2014/main" id="{3834506B-6AA5-44C3-B625-DCFBEFC818E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0" name="CaixaDeTexto 12">
          <a:extLst>
            <a:ext uri="{FF2B5EF4-FFF2-40B4-BE49-F238E27FC236}">
              <a16:creationId xmlns:a16="http://schemas.microsoft.com/office/drawing/2014/main" id="{50092A0C-2459-4249-AAF3-9A58A333192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1" name="CaixaDeTexto 14">
          <a:extLst>
            <a:ext uri="{FF2B5EF4-FFF2-40B4-BE49-F238E27FC236}">
              <a16:creationId xmlns:a16="http://schemas.microsoft.com/office/drawing/2014/main" id="{F635596B-4659-4B0F-B5B3-0B5C0516EBB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2" name="CaixaDeTexto 16">
          <a:extLst>
            <a:ext uri="{FF2B5EF4-FFF2-40B4-BE49-F238E27FC236}">
              <a16:creationId xmlns:a16="http://schemas.microsoft.com/office/drawing/2014/main" id="{B91A8AF9-FD14-4BAD-B892-594E1634511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3" name="CaixaDeTexto 18">
          <a:extLst>
            <a:ext uri="{FF2B5EF4-FFF2-40B4-BE49-F238E27FC236}">
              <a16:creationId xmlns:a16="http://schemas.microsoft.com/office/drawing/2014/main" id="{80A0BD59-C5B0-4265-8E88-D82BBF99C1B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4" name="CaixaDeTexto 20">
          <a:extLst>
            <a:ext uri="{FF2B5EF4-FFF2-40B4-BE49-F238E27FC236}">
              <a16:creationId xmlns:a16="http://schemas.microsoft.com/office/drawing/2014/main" id="{E2AB4D41-F999-4754-B75A-A9C0DA94402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5" name="CaixaDeTexto 2">
          <a:extLst>
            <a:ext uri="{FF2B5EF4-FFF2-40B4-BE49-F238E27FC236}">
              <a16:creationId xmlns:a16="http://schemas.microsoft.com/office/drawing/2014/main" id="{8F3776F9-447B-459D-BC05-7251C599324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6" name="CaixaDeTexto 4">
          <a:extLst>
            <a:ext uri="{FF2B5EF4-FFF2-40B4-BE49-F238E27FC236}">
              <a16:creationId xmlns:a16="http://schemas.microsoft.com/office/drawing/2014/main" id="{A67B4364-41AD-4344-8641-CDB91506F51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7" name="CaixaDeTexto 9">
          <a:extLst>
            <a:ext uri="{FF2B5EF4-FFF2-40B4-BE49-F238E27FC236}">
              <a16:creationId xmlns:a16="http://schemas.microsoft.com/office/drawing/2014/main" id="{C939746B-E49E-4BC1-B8AB-011EC95A1A8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8" name="CaixaDeTexto 12">
          <a:extLst>
            <a:ext uri="{FF2B5EF4-FFF2-40B4-BE49-F238E27FC236}">
              <a16:creationId xmlns:a16="http://schemas.microsoft.com/office/drawing/2014/main" id="{59746CD9-2C8B-4ABD-9ADE-E6EEE227DBB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59" name="CaixaDeTexto 14">
          <a:extLst>
            <a:ext uri="{FF2B5EF4-FFF2-40B4-BE49-F238E27FC236}">
              <a16:creationId xmlns:a16="http://schemas.microsoft.com/office/drawing/2014/main" id="{F5D0F1D3-8626-4E85-80C5-D77A60C9886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0" name="CaixaDeTexto 16">
          <a:extLst>
            <a:ext uri="{FF2B5EF4-FFF2-40B4-BE49-F238E27FC236}">
              <a16:creationId xmlns:a16="http://schemas.microsoft.com/office/drawing/2014/main" id="{5385B84F-26B0-4B2E-8A8E-22BCB9D2D02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1" name="CaixaDeTexto 18">
          <a:extLst>
            <a:ext uri="{FF2B5EF4-FFF2-40B4-BE49-F238E27FC236}">
              <a16:creationId xmlns:a16="http://schemas.microsoft.com/office/drawing/2014/main" id="{73F94B67-D6B6-486F-A053-F9DF1F42AAE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2" name="CaixaDeTexto 20">
          <a:extLst>
            <a:ext uri="{FF2B5EF4-FFF2-40B4-BE49-F238E27FC236}">
              <a16:creationId xmlns:a16="http://schemas.microsoft.com/office/drawing/2014/main" id="{2EAB7625-B742-48A9-AF81-246D22BB05D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3" name="CaixaDeTexto 21">
          <a:extLst>
            <a:ext uri="{FF2B5EF4-FFF2-40B4-BE49-F238E27FC236}">
              <a16:creationId xmlns:a16="http://schemas.microsoft.com/office/drawing/2014/main" id="{B6B84DD6-0A01-43EB-B88D-4307785F919F}"/>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4" name="CaixaDeTexto 24">
          <a:extLst>
            <a:ext uri="{FF2B5EF4-FFF2-40B4-BE49-F238E27FC236}">
              <a16:creationId xmlns:a16="http://schemas.microsoft.com/office/drawing/2014/main" id="{100FD156-2244-4520-B79F-ED6673738AD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5" name="CaixaDeTexto 2">
          <a:extLst>
            <a:ext uri="{FF2B5EF4-FFF2-40B4-BE49-F238E27FC236}">
              <a16:creationId xmlns:a16="http://schemas.microsoft.com/office/drawing/2014/main" id="{64680B25-C908-4BCD-98F0-42969C90D34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6" name="CaixaDeTexto 4">
          <a:extLst>
            <a:ext uri="{FF2B5EF4-FFF2-40B4-BE49-F238E27FC236}">
              <a16:creationId xmlns:a16="http://schemas.microsoft.com/office/drawing/2014/main" id="{00D4A5DC-9F29-4706-84E9-DFE48540FCC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7" name="CaixaDeTexto 9">
          <a:extLst>
            <a:ext uri="{FF2B5EF4-FFF2-40B4-BE49-F238E27FC236}">
              <a16:creationId xmlns:a16="http://schemas.microsoft.com/office/drawing/2014/main" id="{6643C463-78FD-4BE4-9698-8494C629F37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8" name="CaixaDeTexto 12">
          <a:extLst>
            <a:ext uri="{FF2B5EF4-FFF2-40B4-BE49-F238E27FC236}">
              <a16:creationId xmlns:a16="http://schemas.microsoft.com/office/drawing/2014/main" id="{98BF78D5-68B5-4611-A55F-C951028C24E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69" name="CaixaDeTexto 14">
          <a:extLst>
            <a:ext uri="{FF2B5EF4-FFF2-40B4-BE49-F238E27FC236}">
              <a16:creationId xmlns:a16="http://schemas.microsoft.com/office/drawing/2014/main" id="{EFAE8AEC-970E-4538-8E73-9A5823B04A2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0" name="CaixaDeTexto 16">
          <a:extLst>
            <a:ext uri="{FF2B5EF4-FFF2-40B4-BE49-F238E27FC236}">
              <a16:creationId xmlns:a16="http://schemas.microsoft.com/office/drawing/2014/main" id="{B878DCC6-5A7F-4C3C-8EB4-D51B38E3AF5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1" name="CaixaDeTexto 18">
          <a:extLst>
            <a:ext uri="{FF2B5EF4-FFF2-40B4-BE49-F238E27FC236}">
              <a16:creationId xmlns:a16="http://schemas.microsoft.com/office/drawing/2014/main" id="{D836729B-BA21-4716-B86B-AA5A5DA3F90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2" name="CaixaDeTexto 20">
          <a:extLst>
            <a:ext uri="{FF2B5EF4-FFF2-40B4-BE49-F238E27FC236}">
              <a16:creationId xmlns:a16="http://schemas.microsoft.com/office/drawing/2014/main" id="{EFBE6D9B-91F4-4EF2-8C4F-035F565E825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3" name="CaixaDeTexto 21">
          <a:extLst>
            <a:ext uri="{FF2B5EF4-FFF2-40B4-BE49-F238E27FC236}">
              <a16:creationId xmlns:a16="http://schemas.microsoft.com/office/drawing/2014/main" id="{A6C5BEEC-3E58-4F59-8E85-19E4CE6750F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4" name="CaixaDeTexto 24">
          <a:extLst>
            <a:ext uri="{FF2B5EF4-FFF2-40B4-BE49-F238E27FC236}">
              <a16:creationId xmlns:a16="http://schemas.microsoft.com/office/drawing/2014/main" id="{C8DFDE83-F625-46CA-834C-25CF4D638D3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5" name="CaixaDeTexto 2">
          <a:extLst>
            <a:ext uri="{FF2B5EF4-FFF2-40B4-BE49-F238E27FC236}">
              <a16:creationId xmlns:a16="http://schemas.microsoft.com/office/drawing/2014/main" id="{8B777BE2-29B2-4C27-9DD0-494AE63E819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6" name="CaixaDeTexto 4">
          <a:extLst>
            <a:ext uri="{FF2B5EF4-FFF2-40B4-BE49-F238E27FC236}">
              <a16:creationId xmlns:a16="http://schemas.microsoft.com/office/drawing/2014/main" id="{B1AA032A-3CB9-42BA-A963-CF1ADFC422B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7" name="CaixaDeTexto 9">
          <a:extLst>
            <a:ext uri="{FF2B5EF4-FFF2-40B4-BE49-F238E27FC236}">
              <a16:creationId xmlns:a16="http://schemas.microsoft.com/office/drawing/2014/main" id="{3AC1CBAA-CE2D-473D-8C31-49396595BCF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8" name="CaixaDeTexto 12">
          <a:extLst>
            <a:ext uri="{FF2B5EF4-FFF2-40B4-BE49-F238E27FC236}">
              <a16:creationId xmlns:a16="http://schemas.microsoft.com/office/drawing/2014/main" id="{28B170CB-9158-41A9-9C96-72C2111A3AD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79" name="CaixaDeTexto 14">
          <a:extLst>
            <a:ext uri="{FF2B5EF4-FFF2-40B4-BE49-F238E27FC236}">
              <a16:creationId xmlns:a16="http://schemas.microsoft.com/office/drawing/2014/main" id="{51493C8E-481F-4DE1-BB4E-26E05F7463B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0" name="CaixaDeTexto 16">
          <a:extLst>
            <a:ext uri="{FF2B5EF4-FFF2-40B4-BE49-F238E27FC236}">
              <a16:creationId xmlns:a16="http://schemas.microsoft.com/office/drawing/2014/main" id="{8BF52A43-B9E6-46DE-99B7-FBD4F0D4F51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1" name="CaixaDeTexto 18">
          <a:extLst>
            <a:ext uri="{FF2B5EF4-FFF2-40B4-BE49-F238E27FC236}">
              <a16:creationId xmlns:a16="http://schemas.microsoft.com/office/drawing/2014/main" id="{47C939B7-F267-41E7-A4EE-C4EB8432C9FD}"/>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2" name="CaixaDeTexto 20">
          <a:extLst>
            <a:ext uri="{FF2B5EF4-FFF2-40B4-BE49-F238E27FC236}">
              <a16:creationId xmlns:a16="http://schemas.microsoft.com/office/drawing/2014/main" id="{F50BEA4E-DE10-4B73-95DA-56D30365DBE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3" name="CaixaDeTexto 2">
          <a:extLst>
            <a:ext uri="{FF2B5EF4-FFF2-40B4-BE49-F238E27FC236}">
              <a16:creationId xmlns:a16="http://schemas.microsoft.com/office/drawing/2014/main" id="{926FA6FE-2891-46D0-92C9-2DFF5EB9B1C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4" name="CaixaDeTexto 4">
          <a:extLst>
            <a:ext uri="{FF2B5EF4-FFF2-40B4-BE49-F238E27FC236}">
              <a16:creationId xmlns:a16="http://schemas.microsoft.com/office/drawing/2014/main" id="{C7C88033-4EF5-4FB8-883B-9ADB81AC615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5" name="CaixaDeTexto 9">
          <a:extLst>
            <a:ext uri="{FF2B5EF4-FFF2-40B4-BE49-F238E27FC236}">
              <a16:creationId xmlns:a16="http://schemas.microsoft.com/office/drawing/2014/main" id="{1A5EAE90-86CB-425D-B806-F3AD1533EC7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6" name="CaixaDeTexto 12">
          <a:extLst>
            <a:ext uri="{FF2B5EF4-FFF2-40B4-BE49-F238E27FC236}">
              <a16:creationId xmlns:a16="http://schemas.microsoft.com/office/drawing/2014/main" id="{0CFC9BFE-4780-4BD7-8B87-6112C085F57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7" name="CaixaDeTexto 14">
          <a:extLst>
            <a:ext uri="{FF2B5EF4-FFF2-40B4-BE49-F238E27FC236}">
              <a16:creationId xmlns:a16="http://schemas.microsoft.com/office/drawing/2014/main" id="{A272EF09-3797-458F-B2A2-44F482C11DB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8" name="CaixaDeTexto 16">
          <a:extLst>
            <a:ext uri="{FF2B5EF4-FFF2-40B4-BE49-F238E27FC236}">
              <a16:creationId xmlns:a16="http://schemas.microsoft.com/office/drawing/2014/main" id="{2D7B7DD0-2496-4F08-A493-09759A9D0C4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89" name="CaixaDeTexto 18">
          <a:extLst>
            <a:ext uri="{FF2B5EF4-FFF2-40B4-BE49-F238E27FC236}">
              <a16:creationId xmlns:a16="http://schemas.microsoft.com/office/drawing/2014/main" id="{4B92BC3F-EA59-408C-89A9-105F70BBEB1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0" name="CaixaDeTexto 20">
          <a:extLst>
            <a:ext uri="{FF2B5EF4-FFF2-40B4-BE49-F238E27FC236}">
              <a16:creationId xmlns:a16="http://schemas.microsoft.com/office/drawing/2014/main" id="{E7C78114-8D90-4931-94CB-A62421D96FD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1" name="CaixaDeTexto 21">
          <a:extLst>
            <a:ext uri="{FF2B5EF4-FFF2-40B4-BE49-F238E27FC236}">
              <a16:creationId xmlns:a16="http://schemas.microsoft.com/office/drawing/2014/main" id="{A5BD547D-5F0E-4B3C-B58E-4749716E5C3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2" name="CaixaDeTexto 24">
          <a:extLst>
            <a:ext uri="{FF2B5EF4-FFF2-40B4-BE49-F238E27FC236}">
              <a16:creationId xmlns:a16="http://schemas.microsoft.com/office/drawing/2014/main" id="{3DAAD841-8839-4A23-8564-3622466872D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3" name="CaixaDeTexto 2">
          <a:extLst>
            <a:ext uri="{FF2B5EF4-FFF2-40B4-BE49-F238E27FC236}">
              <a16:creationId xmlns:a16="http://schemas.microsoft.com/office/drawing/2014/main" id="{E9E761BF-C830-47AD-9458-EF2A0AECC91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4" name="CaixaDeTexto 4">
          <a:extLst>
            <a:ext uri="{FF2B5EF4-FFF2-40B4-BE49-F238E27FC236}">
              <a16:creationId xmlns:a16="http://schemas.microsoft.com/office/drawing/2014/main" id="{42346654-F1DE-4335-BAD1-45F45122D63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5" name="CaixaDeTexto 9">
          <a:extLst>
            <a:ext uri="{FF2B5EF4-FFF2-40B4-BE49-F238E27FC236}">
              <a16:creationId xmlns:a16="http://schemas.microsoft.com/office/drawing/2014/main" id="{2CC05A00-F5C9-498A-B8C3-49C33C58776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6" name="CaixaDeTexto 12">
          <a:extLst>
            <a:ext uri="{FF2B5EF4-FFF2-40B4-BE49-F238E27FC236}">
              <a16:creationId xmlns:a16="http://schemas.microsoft.com/office/drawing/2014/main" id="{DC117DAE-E157-4A47-A8D8-D7C5EFAB3BF3}"/>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7" name="CaixaDeTexto 14">
          <a:extLst>
            <a:ext uri="{FF2B5EF4-FFF2-40B4-BE49-F238E27FC236}">
              <a16:creationId xmlns:a16="http://schemas.microsoft.com/office/drawing/2014/main" id="{C42CD329-09C3-4CC4-B64B-ABF3E420033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8" name="CaixaDeTexto 16">
          <a:extLst>
            <a:ext uri="{FF2B5EF4-FFF2-40B4-BE49-F238E27FC236}">
              <a16:creationId xmlns:a16="http://schemas.microsoft.com/office/drawing/2014/main" id="{5FC8079A-824F-454A-9DC2-373030946A9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099" name="CaixaDeTexto 18">
          <a:extLst>
            <a:ext uri="{FF2B5EF4-FFF2-40B4-BE49-F238E27FC236}">
              <a16:creationId xmlns:a16="http://schemas.microsoft.com/office/drawing/2014/main" id="{FB8126B5-8876-4149-BFA4-BDB8BF45FC9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0" name="CaixaDeTexto 20">
          <a:extLst>
            <a:ext uri="{FF2B5EF4-FFF2-40B4-BE49-F238E27FC236}">
              <a16:creationId xmlns:a16="http://schemas.microsoft.com/office/drawing/2014/main" id="{2CA18F8A-8006-46FE-BC0D-F620F798F4F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1" name="CaixaDeTexto 21">
          <a:extLst>
            <a:ext uri="{FF2B5EF4-FFF2-40B4-BE49-F238E27FC236}">
              <a16:creationId xmlns:a16="http://schemas.microsoft.com/office/drawing/2014/main" id="{08DCD189-6AD3-4B83-AD13-EDE8AB97582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2" name="CaixaDeTexto 24">
          <a:extLst>
            <a:ext uri="{FF2B5EF4-FFF2-40B4-BE49-F238E27FC236}">
              <a16:creationId xmlns:a16="http://schemas.microsoft.com/office/drawing/2014/main" id="{3FCB7582-E120-4A11-BF11-ABE74225A939}"/>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3" name="CaixaDeTexto 2">
          <a:extLst>
            <a:ext uri="{FF2B5EF4-FFF2-40B4-BE49-F238E27FC236}">
              <a16:creationId xmlns:a16="http://schemas.microsoft.com/office/drawing/2014/main" id="{402D531A-D251-415A-A0DA-5F545A1FE4E5}"/>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4" name="CaixaDeTexto 4">
          <a:extLst>
            <a:ext uri="{FF2B5EF4-FFF2-40B4-BE49-F238E27FC236}">
              <a16:creationId xmlns:a16="http://schemas.microsoft.com/office/drawing/2014/main" id="{95F2CC31-1582-475E-A03B-C1A3FAFF642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5" name="CaixaDeTexto 9">
          <a:extLst>
            <a:ext uri="{FF2B5EF4-FFF2-40B4-BE49-F238E27FC236}">
              <a16:creationId xmlns:a16="http://schemas.microsoft.com/office/drawing/2014/main" id="{B221EF88-A6F1-485D-B4C0-1A2D47CDB5DC}"/>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6" name="CaixaDeTexto 12">
          <a:extLst>
            <a:ext uri="{FF2B5EF4-FFF2-40B4-BE49-F238E27FC236}">
              <a16:creationId xmlns:a16="http://schemas.microsoft.com/office/drawing/2014/main" id="{81B2C5A4-E999-4626-A82B-EE6033E26DF2}"/>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7" name="CaixaDeTexto 14">
          <a:extLst>
            <a:ext uri="{FF2B5EF4-FFF2-40B4-BE49-F238E27FC236}">
              <a16:creationId xmlns:a16="http://schemas.microsoft.com/office/drawing/2014/main" id="{519DEECE-9816-4038-A385-3AA057FCFB80}"/>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8" name="CaixaDeTexto 16">
          <a:extLst>
            <a:ext uri="{FF2B5EF4-FFF2-40B4-BE49-F238E27FC236}">
              <a16:creationId xmlns:a16="http://schemas.microsoft.com/office/drawing/2014/main" id="{663005FD-F11B-4061-A2BC-1407677E205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09" name="CaixaDeTexto 18">
          <a:extLst>
            <a:ext uri="{FF2B5EF4-FFF2-40B4-BE49-F238E27FC236}">
              <a16:creationId xmlns:a16="http://schemas.microsoft.com/office/drawing/2014/main" id="{48DE9313-BCFF-4FB0-921B-9165A4C109A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0" name="CaixaDeTexto 20">
          <a:extLst>
            <a:ext uri="{FF2B5EF4-FFF2-40B4-BE49-F238E27FC236}">
              <a16:creationId xmlns:a16="http://schemas.microsoft.com/office/drawing/2014/main" id="{4B988B0D-5CD1-47FD-89CF-ED459BB5DF44}"/>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1" name="CaixaDeTexto 2">
          <a:extLst>
            <a:ext uri="{FF2B5EF4-FFF2-40B4-BE49-F238E27FC236}">
              <a16:creationId xmlns:a16="http://schemas.microsoft.com/office/drawing/2014/main" id="{A2029AF7-5FEA-406D-80AA-7876E89BCA5A}"/>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2" name="CaixaDeTexto 4">
          <a:extLst>
            <a:ext uri="{FF2B5EF4-FFF2-40B4-BE49-F238E27FC236}">
              <a16:creationId xmlns:a16="http://schemas.microsoft.com/office/drawing/2014/main" id="{555664C0-6097-4650-BD9E-AB2DF806B55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3" name="CaixaDeTexto 9">
          <a:extLst>
            <a:ext uri="{FF2B5EF4-FFF2-40B4-BE49-F238E27FC236}">
              <a16:creationId xmlns:a16="http://schemas.microsoft.com/office/drawing/2014/main" id="{CC3CADB9-2487-4CF0-A697-9FE04EAFCC4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4" name="CaixaDeTexto 12">
          <a:extLst>
            <a:ext uri="{FF2B5EF4-FFF2-40B4-BE49-F238E27FC236}">
              <a16:creationId xmlns:a16="http://schemas.microsoft.com/office/drawing/2014/main" id="{896F775B-0263-45C7-A2E9-E0E5E5B60B1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5" name="CaixaDeTexto 14">
          <a:extLst>
            <a:ext uri="{FF2B5EF4-FFF2-40B4-BE49-F238E27FC236}">
              <a16:creationId xmlns:a16="http://schemas.microsoft.com/office/drawing/2014/main" id="{7BC5F50E-BEA8-4F3D-A01A-8D5917A0EC88}"/>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6" name="CaixaDeTexto 16">
          <a:extLst>
            <a:ext uri="{FF2B5EF4-FFF2-40B4-BE49-F238E27FC236}">
              <a16:creationId xmlns:a16="http://schemas.microsoft.com/office/drawing/2014/main" id="{60119DA7-9B76-47E0-B2C8-3FD7321D5D1E}"/>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7" name="CaixaDeTexto 18">
          <a:extLst>
            <a:ext uri="{FF2B5EF4-FFF2-40B4-BE49-F238E27FC236}">
              <a16:creationId xmlns:a16="http://schemas.microsoft.com/office/drawing/2014/main" id="{AF75749C-9DD4-47C0-A7E7-870E856E02DB}"/>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8" name="CaixaDeTexto 20">
          <a:extLst>
            <a:ext uri="{FF2B5EF4-FFF2-40B4-BE49-F238E27FC236}">
              <a16:creationId xmlns:a16="http://schemas.microsoft.com/office/drawing/2014/main" id="{CA1ED353-2B35-4C77-B71B-8C666A39E336}"/>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19" name="CaixaDeTexto 21">
          <a:extLst>
            <a:ext uri="{FF2B5EF4-FFF2-40B4-BE49-F238E27FC236}">
              <a16:creationId xmlns:a16="http://schemas.microsoft.com/office/drawing/2014/main" id="{F90A1E2B-0F88-49C7-8D9A-FB9AE3802051}"/>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561975</xdr:colOff>
      <xdr:row>250</xdr:row>
      <xdr:rowOff>0</xdr:rowOff>
    </xdr:from>
    <xdr:ext cx="184731" cy="273683"/>
    <xdr:sp macro="" textlink="">
      <xdr:nvSpPr>
        <xdr:cNvPr id="1120" name="CaixaDeTexto 24">
          <a:extLst>
            <a:ext uri="{FF2B5EF4-FFF2-40B4-BE49-F238E27FC236}">
              <a16:creationId xmlns:a16="http://schemas.microsoft.com/office/drawing/2014/main" id="{0FC22ADF-8CB1-440B-8F25-89E0E4EAE3E7}"/>
            </a:ext>
          </a:extLst>
        </xdr:cNvPr>
        <xdr:cNvSpPr txBox="1"/>
      </xdr:nvSpPr>
      <xdr:spPr>
        <a:xfrm>
          <a:off x="565150" y="3162300"/>
          <a:ext cx="184731" cy="273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21" name="CaixaDeTexto 2">
          <a:extLst>
            <a:ext uri="{FF2B5EF4-FFF2-40B4-BE49-F238E27FC236}">
              <a16:creationId xmlns:a16="http://schemas.microsoft.com/office/drawing/2014/main" id="{1188C401-3BE0-437E-9AFE-5457917507EA}"/>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22" name="CaixaDeTexto 4">
          <a:extLst>
            <a:ext uri="{FF2B5EF4-FFF2-40B4-BE49-F238E27FC236}">
              <a16:creationId xmlns:a16="http://schemas.microsoft.com/office/drawing/2014/main" id="{60D50BCB-CE6C-4BFD-B78D-D7F35A96CC80}"/>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23" name="CaixaDeTexto 9">
          <a:extLst>
            <a:ext uri="{FF2B5EF4-FFF2-40B4-BE49-F238E27FC236}">
              <a16:creationId xmlns:a16="http://schemas.microsoft.com/office/drawing/2014/main" id="{A1AFF58E-7A51-4C98-BCC0-D71E00949D42}"/>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24" name="CaixaDeTexto 12">
          <a:extLst>
            <a:ext uri="{FF2B5EF4-FFF2-40B4-BE49-F238E27FC236}">
              <a16:creationId xmlns:a16="http://schemas.microsoft.com/office/drawing/2014/main" id="{2BCA5563-8E57-4B0C-BAF2-62AB4848E57B}"/>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25" name="CaixaDeTexto 14">
          <a:extLst>
            <a:ext uri="{FF2B5EF4-FFF2-40B4-BE49-F238E27FC236}">
              <a16:creationId xmlns:a16="http://schemas.microsoft.com/office/drawing/2014/main" id="{3B6EBB7E-FF0D-4E7E-88FC-31E9D2CC8DFC}"/>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26" name="CaixaDeTexto 16">
          <a:extLst>
            <a:ext uri="{FF2B5EF4-FFF2-40B4-BE49-F238E27FC236}">
              <a16:creationId xmlns:a16="http://schemas.microsoft.com/office/drawing/2014/main" id="{B646A1D1-C5D0-4896-AAC9-53BB12374882}"/>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27" name="CaixaDeTexto 18">
          <a:extLst>
            <a:ext uri="{FF2B5EF4-FFF2-40B4-BE49-F238E27FC236}">
              <a16:creationId xmlns:a16="http://schemas.microsoft.com/office/drawing/2014/main" id="{99FFA186-CCE3-46CD-A60A-F07AEE6B7F33}"/>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28" name="CaixaDeTexto 20">
          <a:extLst>
            <a:ext uri="{FF2B5EF4-FFF2-40B4-BE49-F238E27FC236}">
              <a16:creationId xmlns:a16="http://schemas.microsoft.com/office/drawing/2014/main" id="{C7A5D10D-5A9E-42F9-B424-F935FB6B9BFA}"/>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29" name="CaixaDeTexto 21">
          <a:extLst>
            <a:ext uri="{FF2B5EF4-FFF2-40B4-BE49-F238E27FC236}">
              <a16:creationId xmlns:a16="http://schemas.microsoft.com/office/drawing/2014/main" id="{5A928A39-FD8B-4913-8AE2-412EEC495095}"/>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0</xdr:col>
      <xdr:colOff>571500</xdr:colOff>
      <xdr:row>258</xdr:row>
      <xdr:rowOff>0</xdr:rowOff>
    </xdr:from>
    <xdr:ext cx="184731" cy="264560"/>
    <xdr:sp macro="" textlink="">
      <xdr:nvSpPr>
        <xdr:cNvPr id="1130" name="CaixaDeTexto 24">
          <a:extLst>
            <a:ext uri="{FF2B5EF4-FFF2-40B4-BE49-F238E27FC236}">
              <a16:creationId xmlns:a16="http://schemas.microsoft.com/office/drawing/2014/main" id="{CE4DB89D-32E6-4558-B3AC-AC0390794655}"/>
            </a:ext>
          </a:extLst>
        </xdr:cNvPr>
        <xdr:cNvSpPr txBox="1"/>
      </xdr:nvSpPr>
      <xdr:spPr>
        <a:xfrm>
          <a:off x="571500" y="5242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4.%20Price,%20MOQ,%20Disabled%20List,%20Database,%20Manufacturer/04.%20Database/Foreign%20Trade%20-%20Products%20database%20-%20Single%20list.xlsx" TargetMode="External"/><Relationship Id="rId2" Type="http://schemas.openxmlformats.org/officeDocument/2006/relationships/externalLinkPath" Target="file:///S:\Supply%20Chain\COMEX\02.%20IMPORTA&#199;&#195;O\01.%20PR&#201;-EMBARQUE\04.%20Price,%20MOQ,%20Disabled%20List,%20Database,%20Manufacturer\04.%20Database\Foreign%20Trade%20-%20Products%20database%20-%20Single%20list.xlsx" TargetMode="External"/><Relationship Id="rId1" Type="http://schemas.openxmlformats.org/officeDocument/2006/relationships/externalLinkPath" Target="/Supply%20Chain/COMEX/02.%20IMPORTA&#199;&#195;O/01.%20PR&#201;-EMBARQUE/04.%20Price,%20MOQ,%20Disabled%20List,%20Database,%20Manufacturer/04.%20Database/Foreign%20Trade%20-%20Products%20database%20-%20Single%20lis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04.%20Price,%20MOQ,%20Disabled%20List,%20Database,%20Manufacturer/02.%20Price%20List/Hexing%20-%20Unit%20Price/ANTIGO%20-%20Abril%20de%202026/Brazil%20Price%20List%20Updated%202026.05.08.xlsx" TargetMode="External"/><Relationship Id="rId2" Type="http://schemas.openxmlformats.org/officeDocument/2006/relationships/externalLinkPath" Target="file:///S:\Supply%20Chain\COMEX\02.%20IMPORTA&#199;&#195;O\01.%20PR&#201;-EMBARQUE\04.%20Price,%20MOQ,%20Disabled%20List,%20Database,%20Manufacturer\02.%20Price%20List\Hexing%20-%20Unit%20Price\ANTIGO%20-%20Abril%20de%202026\Brazil%20Price%20List%20Updated%202026.05.08.xlsx" TargetMode="External"/><Relationship Id="rId1" Type="http://schemas.openxmlformats.org/officeDocument/2006/relationships/externalLinkPath" Target="/Supply%20Chain/COMEX/02.%20IMPORTA&#199;&#195;O/01.%20PR&#201;-EMBARQUE/04.%20Price,%20MOQ,%20Disabled%20List,%20Database,%20Manufacturer/02.%20Price%20List/Hexing%20-%20Unit%20Price/ANTIGO%20-%20Abril%20de%202026/Brazil%20Price%20List%20Updated%202026.05.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base"/>
      <sheetName val="Planilha1"/>
      <sheetName val="ICMS benefit - MP -imobil-reve "/>
      <sheetName val="REVOGADO"/>
      <sheetName val="EX Tarifário_Resolução CAMEX"/>
      <sheetName val="Revision status"/>
      <sheetName val="Correlação NCMs extintas"/>
      <sheetName val="EX Tarifário (backup)"/>
      <sheetName val="II rates"/>
    </sheetNames>
    <sheetDataSet>
      <sheetData sheetId="0">
        <row r="1">
          <cell r="B1" t="str">
            <v xml:space="preserve">                                       </v>
          </cell>
          <cell r="H1" t="str">
            <v xml:space="preserve"> </v>
          </cell>
        </row>
        <row r="2">
          <cell r="B2" t="str">
            <v>Hexing COde</v>
          </cell>
          <cell r="C2" t="str">
            <v>COD. TOTVS</v>
          </cell>
          <cell r="D2" t="str">
            <v>EletrA COde</v>
          </cell>
          <cell r="E2" t="str">
            <v>NCM</v>
          </cell>
          <cell r="F2" t="str">
            <v>NCM has benefits?</v>
          </cell>
          <cell r="G2" t="str">
            <v>NCM TOp MAnAger</v>
          </cell>
          <cell r="H2" t="str">
            <v>DesCriCAO dO item pArA registrO de DI</v>
          </cell>
        </row>
        <row r="3">
          <cell r="B3">
            <v>3030300700</v>
          </cell>
          <cell r="D3">
            <v>21182015</v>
          </cell>
          <cell r="E3">
            <v>73181500</v>
          </cell>
          <cell r="F3">
            <v>73181500</v>
          </cell>
          <cell r="G3">
            <v>73181500</v>
          </cell>
          <cell r="H3" t="str">
            <v>Parafuso em aco baixo carbono (1022) com cabeca cilindrica e fenda cruzada, de processo de fabricacAo por usinagem, com 8,0mm de comprimento e diAmetro do corpo da rosca de 4,5mm, com acabamento superficial zincado branco. (Ref.3030300700)</v>
          </cell>
        </row>
        <row r="4">
          <cell r="B4">
            <v>2050700071</v>
          </cell>
          <cell r="D4">
            <v>20660343</v>
          </cell>
          <cell r="E4">
            <v>85423920</v>
          </cell>
          <cell r="F4">
            <v>85423920</v>
          </cell>
          <cell r="G4">
            <v>85423920</v>
          </cell>
          <cell r="H4" t="str">
            <v xml:space="preserve">CIRCUITO INTEGRADO ELETRoNICO TIPO REGULADOR DE TENSAO, NAO MONTADO - 5~30V bps SOT23-6 (2050700071) 
</v>
          </cell>
        </row>
        <row r="5">
          <cell r="B5" t="str">
            <v>MJN53.R31201</v>
          </cell>
          <cell r="D5">
            <v>20691352</v>
          </cell>
          <cell r="E5">
            <v>85176272</v>
          </cell>
          <cell r="F5">
            <v>85176272</v>
          </cell>
          <cell r="G5">
            <v>85176272</v>
          </cell>
          <cell r="H5" t="str">
            <v>APARELHOS PARA RECEPcAO, CONVERSAO, TRANSMISSAO OU REGENERAcAO DE VOZ OU OUTROS DADOS, COMUTAcAO, ROTEAMENTO, FAIXA DE AJUSTE DE FREQUeNCIA DE 902 A 907,5MHZ E 915 A 928MHZ, PODENDO TRABALHAR COMO BASE, REPETIDOR OU REMOTO, TEMPERATURA DE TRABALHO ENTRE 40 A 70 GRAUS CELSIUS, COM ATe 95por cento DE UMIDADE - MoDULOS DE RaDIO FREQUeNCIA PARA COMUNICAcAO DE DADOS, COMPATÍVEIS COM O PADRAO WISUN E IEEE802.15.4G, PARA MEDIDORES INTELIGENTES DE ENERGIA ELeTRICA, CAPAZES DE OPERAR EM REDES DE TOPOLOGIA "MESH" OU "ESTRELA" COM ESPALHAMENTO ESPECTRAL POR SALTO EM FREQUeNCIA (FHSS), ENDEREcAMENTO IPV6 E POTeNCIA DE TRANSMISSAO DE ATe +30DBM, TAXA DE TRANSMISSAO MaXIMA DE 150 KBPS (0,15 MBPS), COM INTERFACE DE COMUNICAcAO DE DADOS SERIAL TTL E ALIMENTAcAO 8VDC - COMUNICAcAO DE DADOS SEM FIO, DIGITAIS, EMISSORES DE RaDIO FREQUeNCIA COM RECEPTOR INCORPORADO. modelo AAAA, marca BBBB, ano de fabricacAo XXXX, numero de serie de YYYY a ZZZZ.</v>
          </cell>
        </row>
        <row r="6">
          <cell r="B6" t="str">
            <v>MJN53.R31202</v>
          </cell>
          <cell r="D6">
            <v>20691354</v>
          </cell>
          <cell r="E6">
            <v>85176272</v>
          </cell>
          <cell r="F6">
            <v>85176272</v>
          </cell>
          <cell r="G6">
            <v>85176272</v>
          </cell>
          <cell r="H6" t="str">
            <v>APARELHOS PARA RECEPcAO, CONVERSAO, TRANSMISSAO OU REGENERAcAO DE VOZ OU OUTROS DADOS, COMUTAcAO, ROTEAMENTO, FAIXA DE AJUSTE DE FREQUeNCIA DE 902 A 907,5MHZ E 915 A 928MHZ, PODENDO TRABALHAR COMO BASE, REPETIDOR OU REMOTO, TEMPERATURA DE TRABALHO ENTRE 40 A 70 GRAUS CELSIUS, COM ATe 95por cento DE UMIDADE - MoDULOS DE RaDIO FREQUeNCIA PARA COMUNICAcAO DE DADOS, COMPATÍVEIS COM O PADRAO WISUN E IEEE802.15.4G, PARA MEDIDORES INTELIGENTES DE ENERGIA ELeTRICA, CAPAZES DE OPERAR EM REDES DE TOPOLOGIA "MESH" OU "ESTRELA" COM ESPALHAMENTO ESPECTRAL POR SALTO EM FREQUeNCIA (FHSS), ENDEREcAMENTO IPV6 E POTeNCIA DE TRANSMISSAO DE ATe +30DBM, TAXA DE TRANSMISSAO MaXIMA DE 150 KBPS (0,15 MBPS), COM INTERFACE DE COMUNICAcAO DE DADOS SERIAL TTL E ALIMENTAcAO 8VDC - COMUNICAcAO DE DADOS SEM FIO, DIGITAIS, EMISSORES DE RaDIO FREQUeNCIA COM RECEPTOR INCORPORADO. modelo AAAA, marca BBBB, ano de fabricacAo XXXX, numero de serie de YYYY a ZZZZ.</v>
          </cell>
        </row>
        <row r="7">
          <cell r="B7">
            <v>2110100062</v>
          </cell>
          <cell r="D7">
            <v>20691571</v>
          </cell>
          <cell r="E7">
            <v>85416090</v>
          </cell>
          <cell r="F7">
            <v>85416090</v>
          </cell>
          <cell r="G7">
            <v>85416090</v>
          </cell>
          <cell r="H7" t="str">
            <v>Cristal piezeletrico montado, de frequencia 0.032768MHz (2110100062)</v>
          </cell>
        </row>
        <row r="8">
          <cell r="B8">
            <v>2110301290</v>
          </cell>
          <cell r="D8">
            <v>20691553</v>
          </cell>
          <cell r="E8">
            <v>85416010</v>
          </cell>
          <cell r="F8">
            <v>85416010</v>
          </cell>
          <cell r="G8">
            <v>85416010</v>
          </cell>
          <cell r="H8" t="str">
            <v>Cristal piezeletrico montado de frequencia 6,5536 MHz (2110301290)</v>
          </cell>
        </row>
        <row r="9">
          <cell r="B9">
            <v>2140100021</v>
          </cell>
          <cell r="D9">
            <v>20691951</v>
          </cell>
          <cell r="E9">
            <v>85177190</v>
          </cell>
          <cell r="F9">
            <v>85177190</v>
          </cell>
          <cell r="G9">
            <v>85177190</v>
          </cell>
          <cell r="H9" t="str">
            <v>CABO DE EXTENSAO PARA UTILIZAcAO CONJUNTA COM ANTENAS PARA EQUIPAMENTOS DE COMUNICAcAO DE DADOS POR REDES SEM FIO E REFLETORES POR RADIOFREQUeNCIA (2140100021)</v>
          </cell>
        </row>
        <row r="10">
          <cell r="B10">
            <v>2050101971</v>
          </cell>
          <cell r="D10">
            <v>20660342</v>
          </cell>
          <cell r="E10">
            <v>85423120</v>
          </cell>
          <cell r="F10">
            <v>85423120</v>
          </cell>
          <cell r="G10">
            <v>85423120</v>
          </cell>
          <cell r="H10" t="str">
            <v>CIRCUITO INTEGRADO ELETRoNICO TIPO PROCESSADOR (MICROCONTROLADOR) MODELO DE PROCESSADOR RISC DE 32 BITS, MONTADO, PRoPRIO PARA MONTAGEM EM SUPERFÍCIE SMD, FREQUeNCIA DE CLOCK 8MHz COMBINADO COM MEMoRIAS DE 32K+16B E 512KB; ENCAPSULAMENTO MONTADO LQFP128, RANGE DE TENSAO 3.0~3.6V (2050101971) SMD</v>
          </cell>
        </row>
        <row r="11">
          <cell r="B11">
            <v>2050101961</v>
          </cell>
          <cell r="D11">
            <v>20660340</v>
          </cell>
          <cell r="E11">
            <v>85423120</v>
          </cell>
          <cell r="F11">
            <v>85423120</v>
          </cell>
          <cell r="G11">
            <v>85423120</v>
          </cell>
          <cell r="H11" t="str">
            <v>CIRCUITO INTEGRADO ELETRoNICO TIPO PROCESSADOR (MICROCONTROLADOR), MODELO DE PROCESSADOR RISC DE 32 BITS, FREQUeNCIA DE clock 8MHz, MONTADO, PRoPRIO PARA MONTAGEM EM SUPERFÍCIE SMD, COMBINADO COM MEMoRIAS DE 32K+16B E 512KB; ENCAPSULAMENTO MONTADO LQFP128; RANGE DE TENSAO 3.0~3.6V (2050101961) SMD</v>
          </cell>
        </row>
        <row r="12">
          <cell r="B12">
            <v>2050100831</v>
          </cell>
          <cell r="D12">
            <v>20660360</v>
          </cell>
          <cell r="E12">
            <v>85423120</v>
          </cell>
          <cell r="F12">
            <v>85423120</v>
          </cell>
          <cell r="G12">
            <v>85423120</v>
          </cell>
          <cell r="H12" t="str">
            <v>CIRCUITO INTEGRADO ELETRoNICO MICROPROCESSADOR TIPO MICROCONTROLADOR, MONTADO, PRoPRIO PARA MONTAGEM EM SUPERFÍCIE SMD, MODELO DE PROCESSADOR DE 8 BITS, FREQUeNCIA DE CLOCK 8MHz  COMBINADO COM MEMoRIAS DE 3kB E 64kB, ENCAPSULAMENTO MONTADO LQFP48, RANGE DE TENSAO 2.2~3.8V  proprios para montagem em superfície (SMD - Surface Mounted Device) ( ref.2050100831)</v>
          </cell>
        </row>
        <row r="13">
          <cell r="B13">
            <v>3012707260</v>
          </cell>
          <cell r="D13">
            <v>20694118</v>
          </cell>
          <cell r="E13">
            <v>85043119</v>
          </cell>
          <cell r="F13">
            <v>85043119</v>
          </cell>
          <cell r="G13">
            <v>85043119</v>
          </cell>
          <cell r="H13" t="str">
            <v>Transformador eletrico de tensAo externo modelo MV JDZW-15, de potencia 0,5kVA e frequencia 60Hz, tensAo 13.8kV (3012707260)</v>
          </cell>
        </row>
        <row r="14">
          <cell r="B14">
            <v>3012707270</v>
          </cell>
          <cell r="D14">
            <v>20694119</v>
          </cell>
          <cell r="E14">
            <v>85043119</v>
          </cell>
          <cell r="F14">
            <v>85043119</v>
          </cell>
          <cell r="G14">
            <v>85043119</v>
          </cell>
          <cell r="H14" t="str">
            <v>Transformador eletrico de tensAo externa, de potencia 0,5kVA (500VA), de frequencia 60Hz, modelo MV JDZXW-36, tensAo 34.5kV (3012707270)</v>
          </cell>
        </row>
        <row r="15">
          <cell r="B15">
            <v>6001007080</v>
          </cell>
          <cell r="D15">
            <v>20692020</v>
          </cell>
          <cell r="E15">
            <v>85044010</v>
          </cell>
          <cell r="F15">
            <v>85044010</v>
          </cell>
          <cell r="G15">
            <v>85044010</v>
          </cell>
          <cell r="H15" t="str">
            <v>CONVERSOR ELeTRICO ESTaTICO DC-DC, CARREGADOR DE ACUMULADOR (CONTROLADOR DE BATERIA) 12.5~15.5V 40A -  (6001007080)</v>
          </cell>
        </row>
        <row r="16">
          <cell r="B16">
            <v>2050902711</v>
          </cell>
          <cell r="D16">
            <v>20691618</v>
          </cell>
          <cell r="E16">
            <v>85423991</v>
          </cell>
          <cell r="F16">
            <v>85423991</v>
          </cell>
          <cell r="G16">
            <v>85423991</v>
          </cell>
          <cell r="H16" t="str">
            <v>Circuito integrado eletronico do tipo chipset, montado, proprio para montagem por insercAo PTH - 0.0mA TO220-5 (2050902711)</v>
          </cell>
        </row>
        <row r="17">
          <cell r="B17" t="str">
            <v>MJN87.R110</v>
          </cell>
          <cell r="D17">
            <v>20600000</v>
          </cell>
          <cell r="E17">
            <v>85176277</v>
          </cell>
          <cell r="F17">
            <v>85176277</v>
          </cell>
          <cell r="G17">
            <v>85176277</v>
          </cell>
          <cell r="H17" t="str">
            <v>Modulo de comunicacAo para medidor WEG, comunicacAo sem fio, tensAo de 4V e 3,3V capazes de operar na faixa frequencia ISM de 902 a 928MHz em redes de topologia "Mesh" ou "Estrela" (MJN87.R110)</v>
          </cell>
        </row>
        <row r="18">
          <cell r="B18">
            <v>2050100031</v>
          </cell>
          <cell r="D18">
            <v>20660318</v>
          </cell>
          <cell r="E18">
            <v>85423221</v>
          </cell>
          <cell r="F18">
            <v>85423221</v>
          </cell>
          <cell r="G18">
            <v>85423221</v>
          </cell>
          <cell r="H18" t="str">
            <v xml:space="preserve">CIRCUITO INTEGRADO ELETRoNICO TIPO MEMoRIA FLASH DE CAPACIDADE DE MEMoRIA 128 KB MONTADO, PRoPRIO PARA MONTAGEM EM SUPERFÍCIE SMD COM TEMPO DE ACESSO 25 ns (REF. E01467-1 - REF.2050100031)         </v>
          </cell>
        </row>
        <row r="19">
          <cell r="B19">
            <v>2020500091</v>
          </cell>
          <cell r="D19">
            <v>20672613</v>
          </cell>
          <cell r="E19">
            <v>85322420</v>
          </cell>
          <cell r="F19">
            <v>85322420</v>
          </cell>
          <cell r="G19">
            <v>85322420</v>
          </cell>
          <cell r="H19" t="str">
            <v>CAPACITOR (CONDENSADOR ELeTRICO FIXO) COM DIELeTRICO DE CERAMICA, DE MuLTIPLAS CAMADAS, PRoPRIOS PARA MONTAGEM POR INSERcAO PTH  0.39uF 10por cento 330V RAD-22.5mm 26.5*19*10mm (REF. C09065 - CoD. 2020500091)</v>
          </cell>
        </row>
        <row r="20">
          <cell r="B20">
            <v>2040301013</v>
          </cell>
          <cell r="D20">
            <v>20691977</v>
          </cell>
          <cell r="E20">
            <v>85423939</v>
          </cell>
          <cell r="F20">
            <v>85423939</v>
          </cell>
          <cell r="G20">
            <v>85423939</v>
          </cell>
          <cell r="H20" t="str">
            <v>Circuito integrado eletronico tipo opto-acoplador, montado, proprio para montagem em superfície SMD - 50mA;300~450lf=5mAVce=5V/200~400lf=2mAVce=5V;80V;1.4V;5000V SO4 (2040301013)</v>
          </cell>
        </row>
        <row r="21">
          <cell r="B21">
            <v>2040301011</v>
          </cell>
          <cell r="D21">
            <v>20691976</v>
          </cell>
          <cell r="E21">
            <v>85423939</v>
          </cell>
          <cell r="F21">
            <v>85423939</v>
          </cell>
          <cell r="G21">
            <v>85423939</v>
          </cell>
          <cell r="H21" t="str">
            <v>Circuito integrado eletronico tipo optoacoplador, montado, proprio para montagem em superfície SMD - 50mA;300~450If=5mAVce=5V/200~400If=2mAVce=5V;80V;5000V 5V(2040301011)</v>
          </cell>
        </row>
        <row r="22">
          <cell r="B22">
            <v>2140103650</v>
          </cell>
          <cell r="D22">
            <v>20292213</v>
          </cell>
          <cell r="E22">
            <v>85177190</v>
          </cell>
          <cell r="F22">
            <v>85177190</v>
          </cell>
          <cell r="G22">
            <v>85177190</v>
          </cell>
          <cell r="H22" t="str">
            <v>Antena propria para modulos de comunicacAo de dados por rede sem fio, de Fibra de Vidro (1,1 m) - 902~928MHz, 50ohms, 8dbi (2140103650)</v>
          </cell>
        </row>
        <row r="23">
          <cell r="B23">
            <v>2060501361</v>
          </cell>
          <cell r="D23">
            <v>20630110</v>
          </cell>
          <cell r="E23">
            <v>85411021</v>
          </cell>
          <cell r="F23">
            <v>85411021</v>
          </cell>
          <cell r="G23">
            <v>85411021</v>
          </cell>
          <cell r="H23" t="str">
            <v>DISPOSITIVO SEMICONDUTOR TIPO DIODO ZENER, MONTADO, PRoPRIO PARA MONTAGEM EM SUPERFÍCIE SMD DE INTENSIDADE DE CORRENTE 0,3A (2060501361)</v>
          </cell>
        </row>
        <row r="24">
          <cell r="B24">
            <v>2140103280</v>
          </cell>
          <cell r="D24">
            <v>20693415</v>
          </cell>
          <cell r="E24">
            <v>85177190</v>
          </cell>
          <cell r="F24">
            <v>85177190</v>
          </cell>
          <cell r="G24">
            <v>85177190</v>
          </cell>
          <cell r="H24" t="str">
            <v>ANTENA DE COMUNICAcAO TIPO OMNIDIRECIONAL POR RADIOFREQUeNCIA 3G, PARA UTILIZAcAO EM CONJUNTO COM EQUIPAMENTOS DE COMUNICAcAO DE DADOS POR REDES SEM FIO, DE 1,5m E FORMATO PATCH (2140103280)</v>
          </cell>
        </row>
        <row r="25">
          <cell r="B25">
            <v>2140103300</v>
          </cell>
          <cell r="D25">
            <v>20693416</v>
          </cell>
          <cell r="E25">
            <v>85177190</v>
          </cell>
          <cell r="F25">
            <v>85177190</v>
          </cell>
          <cell r="G25">
            <v>85177190</v>
          </cell>
          <cell r="H25" t="str">
            <v>ANTENA DE COMUNICAcAO TIPO OMNIDIRECIONAL POR RADIOFREQUeNCIA 3G, PARA UTILIZAcAO EM CONJUNTO COM EQUIPAMENTOS DE COMUNICAcAO DE DADOS POR REDES SEM FIO, DE 1,5m E FORMATO SUCKER (2140103300)</v>
          </cell>
        </row>
        <row r="26">
          <cell r="B26">
            <v>3021701219</v>
          </cell>
          <cell r="D26">
            <v>20468500</v>
          </cell>
          <cell r="E26">
            <v>90289010</v>
          </cell>
          <cell r="F26">
            <v>90289010</v>
          </cell>
          <cell r="G26">
            <v>90289010</v>
          </cell>
          <cell r="H26" t="str">
            <v>Tampa plastica do SIM Card para o modulo da linha Zeus, parte para montagem de medidores de energia eletrica (contadores de eletricidade) ( ref.3021701219)</v>
          </cell>
        </row>
        <row r="27">
          <cell r="B27">
            <v>3022302269</v>
          </cell>
          <cell r="D27">
            <v>20468400</v>
          </cell>
          <cell r="E27">
            <v>90289010</v>
          </cell>
          <cell r="F27">
            <v>90289010</v>
          </cell>
          <cell r="G27">
            <v>90289010</v>
          </cell>
          <cell r="H27" t="str">
            <v>Tampa plastica do modulo com abertura para SIM Card da linha Zeus, parte para montagem de medidores de energia eletrica (contadores de eletricidade) (Ref. 3022302269)</v>
          </cell>
        </row>
        <row r="28">
          <cell r="B28">
            <v>3040302540</v>
          </cell>
          <cell r="D28">
            <v>20291401</v>
          </cell>
          <cell r="E28">
            <v>85444200</v>
          </cell>
          <cell r="F28">
            <v>85444200</v>
          </cell>
          <cell r="G28">
            <v>85444200</v>
          </cell>
          <cell r="H28" t="str">
            <v>PONTE DE COBRE NEUTRO MUNIDA DE PINO RÍGIDO PARA CONEXAO, CONDUTORA ELeTRICA PARA APLICAcAO EM ATe TENSAO DE ATe 240V, ESTANHADA, DIMENSoES 34x30,5x10,1mm, CORRENTE MaXIMA DE 120A (3040302540)</v>
          </cell>
        </row>
        <row r="29">
          <cell r="B29">
            <v>2020500094</v>
          </cell>
          <cell r="D29">
            <v>20672668</v>
          </cell>
          <cell r="E29">
            <v>85322420</v>
          </cell>
          <cell r="F29">
            <v>85322420</v>
          </cell>
          <cell r="G29">
            <v>85322420</v>
          </cell>
          <cell r="H29" t="str">
            <v>CAPACITOR (CONDENSADOR ELeTRICO FIXO) COM DIELeTRICO DE CERAMICA, DE MuLTIPLAS CAMADAS, PRoPRIOS PARA MONTAGEM POR INSERcAO PTH 0.39uF 10por cento 330V RAD-22.5mm/26.5*19*10mm (2020500094)</v>
          </cell>
        </row>
        <row r="30">
          <cell r="B30">
            <v>2020500463</v>
          </cell>
          <cell r="D30">
            <v>20672669</v>
          </cell>
          <cell r="E30">
            <v>85322420</v>
          </cell>
          <cell r="F30">
            <v>85322420</v>
          </cell>
          <cell r="G30">
            <v>85322420</v>
          </cell>
          <cell r="H30" t="str">
            <v>CAPACITOR (CONDENSADOR ELeTRICO FIXO) COM DIELeTRICO DE CERAMICA, DE MuLTIPLAS CAMADAS, PRoPRIOS PARA MONTAGEM POR INSERcAO PTH 0.47uF 10por cento 330V RAD-22.5mm/26.5*18*9mm  (2020500463)</v>
          </cell>
        </row>
        <row r="31">
          <cell r="B31">
            <v>1010100020</v>
          </cell>
          <cell r="D31">
            <v>10910600</v>
          </cell>
          <cell r="E31">
            <v>39074090</v>
          </cell>
          <cell r="F31">
            <v>39074090</v>
          </cell>
          <cell r="H31" t="str">
            <v>Policarbonato em formas primarias em grAnulos de cor: transparente, virgem sem fibra de vidro (1010100020)</v>
          </cell>
        </row>
        <row r="32">
          <cell r="B32">
            <v>1010100340</v>
          </cell>
          <cell r="D32">
            <v>10914102</v>
          </cell>
          <cell r="E32">
            <v>39074090</v>
          </cell>
          <cell r="F32">
            <v>39074090</v>
          </cell>
          <cell r="H32" t="str">
            <v>Policarbonato em formas primarias em grAnulos de cor: preto, virgem com 10por cento de fibra de vidro (1010100340)</v>
          </cell>
        </row>
        <row r="33">
          <cell r="B33">
            <v>1010100290</v>
          </cell>
          <cell r="D33">
            <v>10910607</v>
          </cell>
          <cell r="E33">
            <v>39074090</v>
          </cell>
          <cell r="F33">
            <v>39074090</v>
          </cell>
          <cell r="G33">
            <v>39074090</v>
          </cell>
          <cell r="H33" t="str">
            <v>Policarbonato em formas primarias em grAnulos de cor: cinza, virgem sem fibra de vidro (1010100290)</v>
          </cell>
        </row>
        <row r="34">
          <cell r="B34">
            <v>1010100350</v>
          </cell>
          <cell r="D34">
            <v>10914106</v>
          </cell>
          <cell r="E34">
            <v>39074090</v>
          </cell>
          <cell r="F34">
            <v>39074090</v>
          </cell>
          <cell r="G34">
            <v>39074090</v>
          </cell>
          <cell r="H34" t="str">
            <v>EX 002 - EM GRANULOS (PELLETS). POLICARBONATO EM FORMAS PRIMaRIAS (EM GRAOS) DE COR: PRETA, VIRGEM SEM FIBRA DE VIDRO, MATERIAL COM PROTEcAO ANTICHAMA V-0, DESTINADO ESPECIALMENTE PARA APLICAcoES ELeTRICAS (1010100350).</v>
          </cell>
        </row>
        <row r="35">
          <cell r="B35">
            <v>10910626</v>
          </cell>
          <cell r="D35">
            <v>10910626</v>
          </cell>
          <cell r="E35">
            <v>39074090</v>
          </cell>
          <cell r="F35">
            <v>39074090</v>
          </cell>
          <cell r="H35" t="str">
            <v>Policarbonato em formas primarias em grAnulos estabilizado contra radiacoes uv anti-chama - cinza claro ral7035</v>
          </cell>
        </row>
        <row r="36">
          <cell r="B36">
            <v>2010500031</v>
          </cell>
          <cell r="D36">
            <v>20633602</v>
          </cell>
          <cell r="E36">
            <v>85332190</v>
          </cell>
          <cell r="F36">
            <v>85332190</v>
          </cell>
          <cell r="G36">
            <v>85332190</v>
          </cell>
          <cell r="H36" t="str">
            <v>RESISTOR (RESISTeNCIA ELeTRICA FIXA) PRoPRIO PARA MONTAGEM EM SUPERFÍCIE PTH, DE POTeNCIA 3W 150R 5por cento 300PPM ?5.5*15mm (REF. R12027-L/R12027-1-L - CoD. 2010500031)</v>
          </cell>
        </row>
        <row r="37">
          <cell r="B37">
            <v>2010500201</v>
          </cell>
          <cell r="D37">
            <v>20660957</v>
          </cell>
          <cell r="E37">
            <v>85332190</v>
          </cell>
          <cell r="F37">
            <v>85332190</v>
          </cell>
          <cell r="G37">
            <v>85332190</v>
          </cell>
          <cell r="H37" t="str">
            <v>RESISTOR (RESISTeNCIA ELeTRICA FIXA) PRoPRIO PARA MONTAGEM EM SUPERFÍCIE PTH, DE POTeNCIA 3W 51R 5por cento 5.5*15mm Anti-Surto 6KV (2010500201)</v>
          </cell>
        </row>
        <row r="38">
          <cell r="B38">
            <v>2010500300</v>
          </cell>
          <cell r="D38">
            <v>20660944</v>
          </cell>
          <cell r="E38">
            <v>85332190</v>
          </cell>
          <cell r="F38">
            <v>85332190</v>
          </cell>
          <cell r="G38">
            <v>85332190</v>
          </cell>
          <cell r="H38" t="str">
            <v>RESISTOR (RESISTeNCIA ELeTRICA FIXA) PRoPRIO PARA MONTAGEM EM SUPERFÍCIE PTH, DE POTeNCIA 3W 150O 5por cento  5.5*15mm MB (Ref.2010500300)</v>
          </cell>
        </row>
        <row r="39">
          <cell r="B39">
            <v>2011100111</v>
          </cell>
          <cell r="D39">
            <v>20680104</v>
          </cell>
          <cell r="E39">
            <v>85334012</v>
          </cell>
          <cell r="F39">
            <v>85334012</v>
          </cell>
          <cell r="G39">
            <v>85334012</v>
          </cell>
          <cell r="H39" t="str">
            <v>VARISTOR (RESISTeNCIA ELeTRICA VARIaVEL NAO LINEAR SEMICONDUTORA) PARA TENSAO DE  820V - 10por cento 6500A 460pF F21 10mm 25.8mm  PTH (REF. R09009-1-W - Ref. 2011100111)</v>
          </cell>
        </row>
        <row r="40">
          <cell r="B40">
            <v>2011100161</v>
          </cell>
          <cell r="D40">
            <v>20624902</v>
          </cell>
          <cell r="E40">
            <v>85334012</v>
          </cell>
          <cell r="F40">
            <v>85334012</v>
          </cell>
          <cell r="G40">
            <v>85334012</v>
          </cell>
          <cell r="H40" t="str">
            <v>VARISTOR (RESISTeNCIA ELeTRICA VARIaVEL NAO LINEAR SEMICONDUTORA) PARA TENSAO DE 680V 10por cento 6000A 320pF F15.6 RAD-7.5mm ± 1 3.5+/-0.5mm PTH (Ref.2011100161)</v>
          </cell>
        </row>
        <row r="41">
          <cell r="B41">
            <v>2011100213</v>
          </cell>
          <cell r="D41">
            <v>20680112</v>
          </cell>
          <cell r="E41">
            <v>85334012</v>
          </cell>
          <cell r="F41">
            <v>85334012</v>
          </cell>
          <cell r="G41">
            <v>85334012</v>
          </cell>
          <cell r="H41" t="str">
            <v>VARISTOR (RESISTeNCIA ELeTRICA VARIaVEL NAO LINEAR SEMICONDUTORA) PARA TENSAO DE 820V 10000A 10por cento F18mm/8.4mm (Ref. 2011100213)</v>
          </cell>
        </row>
        <row r="42">
          <cell r="B42">
            <v>2010100030</v>
          </cell>
          <cell r="D42">
            <v>20624402</v>
          </cell>
          <cell r="E42">
            <v>85332120</v>
          </cell>
          <cell r="F42">
            <v>85332120</v>
          </cell>
          <cell r="G42">
            <v>85332120</v>
          </cell>
          <cell r="H42" t="str">
            <v>RESISTOR (RESISTeNCIA ELeTRICA FIXA) PRoPRIO PARA MONTAGEM EM SUPERFÍCIE SMD 3.9K 1por cento 100PPM POTeNCIA DE 1/4W (R06042) (Ref.2010100030)</v>
          </cell>
        </row>
        <row r="43">
          <cell r="B43">
            <v>2010100040</v>
          </cell>
          <cell r="D43">
            <v>20624403</v>
          </cell>
          <cell r="E43">
            <v>85332120</v>
          </cell>
          <cell r="F43">
            <v>85332120</v>
          </cell>
          <cell r="G43">
            <v>85332120</v>
          </cell>
          <cell r="H43" t="str">
            <v>RESISTOR (RESISTeNCIA ELeTRICA FIXA) PRoPRIO PARA MONTAGEM EM SUPERFÍCIE SMD 390K 1por cento 100PPMM POTeNCIA DE 1/4W (R06027) (Ref.2010100040)</v>
          </cell>
        </row>
        <row r="44">
          <cell r="B44">
            <v>2010100080</v>
          </cell>
          <cell r="D44">
            <v>20633539</v>
          </cell>
          <cell r="E44">
            <v>85332120</v>
          </cell>
          <cell r="F44">
            <v>85332120</v>
          </cell>
          <cell r="G44">
            <v>85332120</v>
          </cell>
          <cell r="H44" t="str">
            <v>RESISTOR (RESISTeNCIA ELeTRICA FIXA) PRoPRIO PARA MONTAGEM EM SUPERFÍCIE SMD 3R 1por cento 50PPM POTeNCIA DE 1/8 W (REF. R06015-1 - Ref. 2010100080)</v>
          </cell>
        </row>
        <row r="45">
          <cell r="B45">
            <v>2010100100</v>
          </cell>
          <cell r="D45">
            <v>20633548</v>
          </cell>
          <cell r="E45">
            <v>85332120</v>
          </cell>
          <cell r="F45">
            <v>85332120</v>
          </cell>
          <cell r="G45">
            <v>85332120</v>
          </cell>
          <cell r="H45" t="str">
            <v>RESISTOR (RESISTeNCIA ELeTRICA FIXA) PRoPRIO PARA MONTAGEM EM SUPERFÍCIE SMD 200K 1％ 100PPM POTeNCIA DE 1/4W (REF. R06008 - Ref. 2010100100)</v>
          </cell>
        </row>
        <row r="46">
          <cell r="B46">
            <v>2010100130</v>
          </cell>
          <cell r="D46">
            <v>20633553</v>
          </cell>
          <cell r="E46">
            <v>85332120</v>
          </cell>
          <cell r="F46">
            <v>85332120</v>
          </cell>
          <cell r="G46">
            <v>85332120</v>
          </cell>
          <cell r="H46" t="str">
            <v>RESISTOR (RESISTeNCIA ELeTRICA FIXA) PRoPRIO PARA MONTAGEM EM SUPERFÍCIE SMD 1.5K 1％ 100PPM POTeNCIA DE 1/8 W (REF. R06004 - Ref. 2010100130)</v>
          </cell>
        </row>
        <row r="47">
          <cell r="B47">
            <v>2010100150</v>
          </cell>
          <cell r="D47">
            <v>20633558</v>
          </cell>
          <cell r="E47">
            <v>85332120</v>
          </cell>
          <cell r="F47">
            <v>85332120</v>
          </cell>
          <cell r="G47">
            <v>85332120</v>
          </cell>
          <cell r="H47" t="str">
            <v>RESISTOR (RESISTeNCIA ELeTRICA FIXA) PRoPRIO PARA MONTAGEM EM SUPERFÍCIE SMD 2.2M 5％ 100PPM POTeNCIA DE 1/4W (REF. R05024 - Ref. 2010100150)</v>
          </cell>
        </row>
        <row r="48">
          <cell r="B48">
            <v>2010100160</v>
          </cell>
          <cell r="D48">
            <v>20624404</v>
          </cell>
          <cell r="E48">
            <v>85332120</v>
          </cell>
          <cell r="F48">
            <v>85332120</v>
          </cell>
          <cell r="G48">
            <v>85332120</v>
          </cell>
          <cell r="H48" t="str">
            <v>RESISTOR (RESISTeNCIA ELeTRICA FIXA) PRoPRIO PARA MONTAGEM EM SUPERFÍCIE SMD 1M 5 100PPM POTeNCIA DE 1/4W (R05017) (ref. 2010100160)</v>
          </cell>
        </row>
        <row r="49">
          <cell r="B49">
            <v>2010100170</v>
          </cell>
          <cell r="D49">
            <v>20633561</v>
          </cell>
          <cell r="E49">
            <v>85332120</v>
          </cell>
          <cell r="F49">
            <v>85332120</v>
          </cell>
          <cell r="G49">
            <v>85332120</v>
          </cell>
          <cell r="H49" t="str">
            <v>RESISTOR (RESISTeNCIA ELeTRICA FIXA) PRoPRIO PARA MONTAGEM EM SUPERFÍCIE SMD 100R 5％ 200PPM POTeNCIA DE 1/4W (REF. R05001 -Ref. 2010100170)</v>
          </cell>
        </row>
        <row r="50">
          <cell r="B50">
            <v>2010100370</v>
          </cell>
          <cell r="D50">
            <v>20633550</v>
          </cell>
          <cell r="E50">
            <v>85332120</v>
          </cell>
          <cell r="F50">
            <v>85332120</v>
          </cell>
          <cell r="G50">
            <v>85332120</v>
          </cell>
          <cell r="H50" t="str">
            <v>RESISTOR (RESISTeNCIA ELeTRICA FIXA) PRoPRIO PARA MONTAGEM EM SUPERFÍCIE SMD 1K 1por cento 100PPM POTeNCIA DE 1/8 W (REF. R04020 - REf. 2010100370)</v>
          </cell>
        </row>
        <row r="51">
          <cell r="B51">
            <v>2010100380</v>
          </cell>
          <cell r="D51">
            <v>20633562</v>
          </cell>
          <cell r="E51">
            <v>85332120</v>
          </cell>
          <cell r="F51">
            <v>85332120</v>
          </cell>
          <cell r="G51">
            <v>85332120</v>
          </cell>
          <cell r="H51" t="str">
            <v>RESISTOR (RESISTeNCIA ELeTRICA FIXA) PRoPRIO PARA MONTAGEM EM SUPERFÍCIE SMD 150R 1％ 100PPM POTeNCIA DE 1/8 W (REF. R04016 - Ref. 2010100380)</v>
          </cell>
        </row>
        <row r="52">
          <cell r="B52">
            <v>2010100390</v>
          </cell>
          <cell r="D52">
            <v>20633573</v>
          </cell>
          <cell r="E52">
            <v>85332120</v>
          </cell>
          <cell r="F52">
            <v>85332120</v>
          </cell>
          <cell r="G52">
            <v>85332120</v>
          </cell>
          <cell r="H52" t="str">
            <v>RESISTOR (RESISTeNCIA ELeTRICA FIXA) PRoPRIO PARA MONTAGEM EM SUPERFÍCIE SMD 100R 1％ 200PPM POTeNCIA DE 1/8 W (REF. R04008 - Ref. 2010100390)</v>
          </cell>
        </row>
        <row r="53">
          <cell r="B53">
            <v>2010100400</v>
          </cell>
          <cell r="D53">
            <v>20633557</v>
          </cell>
          <cell r="E53">
            <v>85332120</v>
          </cell>
          <cell r="F53">
            <v>85332120</v>
          </cell>
          <cell r="G53">
            <v>85332120</v>
          </cell>
          <cell r="H53" t="str">
            <v>RESISTOR (RESISTeNCIA ELeTRICA FIXA) PRoPRIO PARA MONTAGEM EM SUPERFÍCIE SMD 4.7K  1％ 100PPM POTeNCIA DE 1/8 W (REF. R04007 - Ref. 2010100400)</v>
          </cell>
        </row>
        <row r="54">
          <cell r="B54">
            <v>2010100420</v>
          </cell>
          <cell r="D54">
            <v>20633572</v>
          </cell>
          <cell r="E54">
            <v>85332120</v>
          </cell>
          <cell r="F54">
            <v>85332120</v>
          </cell>
          <cell r="G54">
            <v>85332120</v>
          </cell>
          <cell r="H54" t="str">
            <v>RESISTOR (RESISTeNCIA ELeTRICA FIXA) PRoPRIO PARA MONTAGEM EM SUPERFÍCIE SMD 240R 1％ 100PPM POTeNCIA DE 1/8 W (REF. R04004 - Ref. 2010100420)</v>
          </cell>
        </row>
        <row r="55">
          <cell r="B55">
            <v>2010100440</v>
          </cell>
          <cell r="D55">
            <v>20624401</v>
          </cell>
          <cell r="E55">
            <v>85332120</v>
          </cell>
          <cell r="F55">
            <v>85332120</v>
          </cell>
          <cell r="G55">
            <v>85332120</v>
          </cell>
          <cell r="H55" t="str">
            <v>RESISTOR (RESISTeNCIA ELeTRICA FIXA) PRoPRIO PARA MONTAGEM EM SUPERFÍCIE SMD 6.8R 5 400PPM POTeNCIA DE 1/8W (R03075) (ref.2010100440)</v>
          </cell>
        </row>
        <row r="56">
          <cell r="B56">
            <v>2010100460</v>
          </cell>
          <cell r="D56">
            <v>20633582</v>
          </cell>
          <cell r="E56">
            <v>85332120</v>
          </cell>
          <cell r="F56">
            <v>85332120</v>
          </cell>
          <cell r="G56">
            <v>85332120</v>
          </cell>
          <cell r="H56" t="str">
            <v>RESISTOR (RESISTeNCIA ELeTRICA FIXA) PRoPRIO PARA MONTAGEM EM SUPERFÍCIE SMD 0R 5por cento 400PPM DE POTeNCIA 1/8W 0805 (ref. 2010100460)</v>
          </cell>
        </row>
        <row r="57">
          <cell r="B57">
            <v>2010100480</v>
          </cell>
          <cell r="D57">
            <v>20633543</v>
          </cell>
          <cell r="E57">
            <v>85332120</v>
          </cell>
          <cell r="F57">
            <v>85332120</v>
          </cell>
          <cell r="G57">
            <v>85332120</v>
          </cell>
          <cell r="H57" t="str">
            <v>RESISTOR (RESISTeNCIA ELeTRICA FIXA) PRoPRIO PARA MONTAGEM EM SUPERFÍCIE SMD 20R 5％ 100PPM POTeNCIA DE 1/8W (REF. R03023 - Ref. 2010100480)</v>
          </cell>
        </row>
        <row r="58">
          <cell r="B58">
            <v>2010100510</v>
          </cell>
          <cell r="D58">
            <v>20633662</v>
          </cell>
          <cell r="E58">
            <v>85332120</v>
          </cell>
          <cell r="F58">
            <v>85332120</v>
          </cell>
          <cell r="G58">
            <v>85332120</v>
          </cell>
          <cell r="H58" t="str">
            <v>RESISTOR (RESISTeNCIA ELeTRICA FIXA) PRoPRIO PARA MONTAGEM EM SUPERFÍCIE SMD 10k 5por cento 100PPM POTeNCIA DE 1/8W 0805 (R03008) SMD (5000)(2010100510)</v>
          </cell>
        </row>
        <row r="59">
          <cell r="B59">
            <v>2010100520</v>
          </cell>
          <cell r="D59">
            <v>20624410</v>
          </cell>
          <cell r="E59">
            <v>85332120</v>
          </cell>
          <cell r="F59">
            <v>85332120</v>
          </cell>
          <cell r="G59">
            <v>85332120</v>
          </cell>
          <cell r="H59" t="str">
            <v>RESISTOR (RESISTeNCIA ELeTRICA FIXA) PRoPRIO PARA MONTAGEM EM SUPERFÍCIE SMD 750R 1por cento 25PPM POTeNCIA DE 1/10W 0603 (R02082) (ref.2010100520)</v>
          </cell>
        </row>
        <row r="60">
          <cell r="B60">
            <v>2010100570</v>
          </cell>
          <cell r="D60">
            <v>20633509</v>
          </cell>
          <cell r="E60">
            <v>85332120</v>
          </cell>
          <cell r="F60">
            <v>85332120</v>
          </cell>
          <cell r="G60">
            <v>85332120</v>
          </cell>
          <cell r="H60" t="str">
            <v>RESISTOR (RESISTeNCIA ELeTRICA FIXA) PRoPRIO PARA MONTAGEM EM SUPERFÍCIE SMD 39K 1por cento 100PPM POTeNCIA DE 1/10W (REF. R02048 - Ref. 2010100570)</v>
          </cell>
        </row>
        <row r="61">
          <cell r="B61">
            <v>2010100580</v>
          </cell>
          <cell r="D61">
            <v>20624409</v>
          </cell>
          <cell r="E61">
            <v>85332120</v>
          </cell>
          <cell r="F61">
            <v>85332120</v>
          </cell>
          <cell r="G61">
            <v>85332120</v>
          </cell>
          <cell r="H61" t="str">
            <v>RESISTOR (RESISTeNCIA ELeTRICA FIXA) PRoPRIO PARA MONTAGEM EM SUPERFÍCIE SMD 750R 1por cento 100PPM POTeNCIA DE 1/10W (R02046) (Ref.2010100580)</v>
          </cell>
        </row>
        <row r="62">
          <cell r="B62">
            <v>2010100590</v>
          </cell>
          <cell r="D62">
            <v>20624407</v>
          </cell>
          <cell r="E62">
            <v>85332120</v>
          </cell>
          <cell r="F62">
            <v>85332120</v>
          </cell>
          <cell r="G62">
            <v>85332120</v>
          </cell>
          <cell r="H62" t="str">
            <v>RESISTOR (RESISTeNCIA ELeTRICA FIXA) PRoPRIO PARA MONTAGEM EM SUPERFÍCIE SMD 20R 1 200PPM POTeNCIA DE 1/10W (R02040) (Ref.2010100590)</v>
          </cell>
        </row>
        <row r="63">
          <cell r="B63">
            <v>2010100640</v>
          </cell>
          <cell r="D63">
            <v>20633564</v>
          </cell>
          <cell r="E63">
            <v>85332120</v>
          </cell>
          <cell r="F63">
            <v>85332120</v>
          </cell>
          <cell r="G63">
            <v>85332120</v>
          </cell>
          <cell r="H63" t="str">
            <v>RESISTOR (RESISTeNCIA ELeTRICA FIXA) PRoPRIO PARA MONTAGEM EM SUPERFÍCIE SMD 2K 1％ 100PPM POTeNCIA DE 1/10 W (REF. R02025 - REf. 2010100640)</v>
          </cell>
        </row>
        <row r="64">
          <cell r="B64">
            <v>2010100650</v>
          </cell>
          <cell r="D64">
            <v>20633570</v>
          </cell>
          <cell r="E64">
            <v>85332120</v>
          </cell>
          <cell r="F64">
            <v>85332120</v>
          </cell>
          <cell r="G64">
            <v>85332120</v>
          </cell>
          <cell r="H64" t="str">
            <v>RESISTOR (RESISTeNCIA ELeTRICA FIXA) PRoPRIO PARA MONTAGEM EM SUPERFÍCIE SMD 51K 1％ 100PPM POTeNCIA DE 1/10 W (REF. R02020 -Ref. 2010100650)</v>
          </cell>
        </row>
        <row r="65">
          <cell r="B65">
            <v>2010100700</v>
          </cell>
          <cell r="D65">
            <v>20633577</v>
          </cell>
          <cell r="E65">
            <v>85332120</v>
          </cell>
          <cell r="F65">
            <v>85332120</v>
          </cell>
          <cell r="G65">
            <v>85332120</v>
          </cell>
          <cell r="H65" t="str">
            <v>RESISTOR (RESISTeNCIA ELeTRICA FIXA) PRoPRIO PARA MONTAGEM EM SUPERFÍCIE SMD 240R 1por cento 100PPM POTeNCIA 1/10W (REF. R02010 - Ref. 2010100700)</v>
          </cell>
        </row>
        <row r="66">
          <cell r="B66">
            <v>2010100730</v>
          </cell>
          <cell r="D66">
            <v>20633506</v>
          </cell>
          <cell r="E66">
            <v>85332120</v>
          </cell>
          <cell r="F66">
            <v>85332120</v>
          </cell>
          <cell r="G66">
            <v>85332120</v>
          </cell>
          <cell r="H66" t="str">
            <v>RESISTOR (RESISTeNCIA ELeTRICA FIXA) PRoPRIO PARA MONTAGEM EM SUPERFÍCIE SMD 10K 1por cento 100PPM POTeNCIA DE 1/10W (REF. R02007 - Ref. 2010100730)</v>
          </cell>
        </row>
        <row r="67">
          <cell r="B67">
            <v>2010100750</v>
          </cell>
          <cell r="D67">
            <v>20633502</v>
          </cell>
          <cell r="E67">
            <v>85332120</v>
          </cell>
          <cell r="F67">
            <v>85332120</v>
          </cell>
          <cell r="G67">
            <v>85332120</v>
          </cell>
          <cell r="H67" t="str">
            <v>RESISTOR (RESISTeNCIA ELeTRICA FIXA) PRoPRIO PARA MONTAGEM EM SUPERFÍCIE SMD 1K 1por cento 100PPM POTeNCIA DE 1/10W (REF. R02002 - Ref. 2010100750)</v>
          </cell>
        </row>
        <row r="68">
          <cell r="B68">
            <v>2010100760</v>
          </cell>
          <cell r="D68">
            <v>20624411</v>
          </cell>
          <cell r="E68">
            <v>85332120</v>
          </cell>
          <cell r="F68">
            <v>85332120</v>
          </cell>
          <cell r="G68">
            <v>85332120</v>
          </cell>
          <cell r="H68" t="str">
            <v>RESISTOR (RESISTeNCIA ELeTRICA FIXA) PRoPRIO PARA MONTAGEM EM SUPERFÍCIE SMD 62R 5por cento 200PPM POTeNCIA DE 1/10W (R01072) (Ref.2010100760)</v>
          </cell>
        </row>
        <row r="69">
          <cell r="B69">
            <v>2010100780</v>
          </cell>
          <cell r="D69">
            <v>20633500</v>
          </cell>
          <cell r="E69">
            <v>85332120</v>
          </cell>
          <cell r="F69">
            <v>85332120</v>
          </cell>
          <cell r="G69">
            <v>85332120</v>
          </cell>
          <cell r="H69" t="str">
            <v>RESISTOR (RESISTeNCIA ELeTRICA FIXA) PRoPRIO PARA MONTAGEM EM SUPERFÍCIE SMD 0R 5por cento 100PPM POTeNCIA DE 1/10W (REF. R01050 - Ref. 2010100780)</v>
          </cell>
        </row>
        <row r="70">
          <cell r="B70">
            <v>2010100810</v>
          </cell>
          <cell r="D70">
            <v>20633535</v>
          </cell>
          <cell r="E70">
            <v>85332120</v>
          </cell>
          <cell r="F70">
            <v>85332120</v>
          </cell>
          <cell r="G70">
            <v>85332120</v>
          </cell>
          <cell r="H70" t="str">
            <v>RESISTOR (RESISTeNCIA ELeTRICA FIXA) PRoPRIO PARA MONTAGEM EM SUPERFÍCIE SMD 2M 5por cento 100PPM POTeNCIA DE 1/10W 0603 (R01040) SMD (5000) (2010100810)</v>
          </cell>
        </row>
        <row r="71">
          <cell r="B71">
            <v>2010100820</v>
          </cell>
          <cell r="D71">
            <v>20633530</v>
          </cell>
          <cell r="E71">
            <v>85332120</v>
          </cell>
          <cell r="F71">
            <v>85332120</v>
          </cell>
          <cell r="G71">
            <v>85332120</v>
          </cell>
          <cell r="H71" t="str">
            <v>RESISTOR (RESISTeNCIA ELeTRICA FIXA) PRoPRIO PARA MONTAGEM EM SUPERFÍCIE SMD 240R 5por cento 200PPM  POTeNCIA DE 1/10 W (REF. R01038 - Ref. 2010100820)</v>
          </cell>
        </row>
        <row r="72">
          <cell r="B72">
            <v>2010100830</v>
          </cell>
          <cell r="D72">
            <v>20633579</v>
          </cell>
          <cell r="E72">
            <v>85332120</v>
          </cell>
          <cell r="F72">
            <v>85332120</v>
          </cell>
          <cell r="G72">
            <v>85332120</v>
          </cell>
          <cell r="H72" t="str">
            <v>RESISTOR (RESISTeNCIA ELeTRICA FIXA) PRoPRIO PARA MONTAGEM EM SUPERFÍCIE SMD 2.4K 5por cento 100PPM POTeNCIA 1/10W (REF. R01036 - Ref. 2010100830)</v>
          </cell>
        </row>
        <row r="73">
          <cell r="B73">
            <v>2010100840</v>
          </cell>
          <cell r="D73">
            <v>20633531</v>
          </cell>
          <cell r="E73">
            <v>85332120</v>
          </cell>
          <cell r="F73">
            <v>85332120</v>
          </cell>
          <cell r="G73">
            <v>85332120</v>
          </cell>
          <cell r="H73" t="str">
            <v>RESISTOR (RESISTeNCIA ELeTRICA FIXA) PRoPRIO PARA MONTAGEM EM SUPERFÍCIE SMD 5.1K 5por cento 100PPM POTeNCIA DE 1/10W (REF. R01032 - Ref. 2010100840)</v>
          </cell>
        </row>
        <row r="74">
          <cell r="B74">
            <v>2010100850</v>
          </cell>
          <cell r="D74">
            <v>20633517</v>
          </cell>
          <cell r="E74">
            <v>85332120</v>
          </cell>
          <cell r="F74">
            <v>85332120</v>
          </cell>
          <cell r="G74">
            <v>85332120</v>
          </cell>
          <cell r="H74" t="str">
            <v>RESISTOR (RESISTeNCIA ELeTRICA FIXA) PRoPRIO PARA MONTAGEM EM SUPERFÍCIE SMD 4.7K 5por cento 100PPM POTeNCIA DE 1/10W (REF. R01031 - Ref. 2010100850)</v>
          </cell>
        </row>
        <row r="75">
          <cell r="B75">
            <v>2010100860</v>
          </cell>
          <cell r="D75">
            <v>20633522</v>
          </cell>
          <cell r="E75">
            <v>85332120</v>
          </cell>
          <cell r="F75">
            <v>85332120</v>
          </cell>
          <cell r="G75">
            <v>85332120</v>
          </cell>
          <cell r="H75" t="str">
            <v>RESISTOR (RESISTeNCIA ELeTRICA FIXA) PRoPRIO PARA MONTAGEM EM SUPERFÍCIE SMD 10K 5por cento 100PPM POTeNCIA DE 1/10W (REF. R01029 - Ref. 2010100860)</v>
          </cell>
        </row>
        <row r="76">
          <cell r="B76">
            <v>2010100900</v>
          </cell>
          <cell r="D76">
            <v>20624408</v>
          </cell>
          <cell r="E76">
            <v>85332120</v>
          </cell>
          <cell r="F76">
            <v>85332120</v>
          </cell>
          <cell r="G76">
            <v>85332120</v>
          </cell>
          <cell r="H76" t="str">
            <v>RESISTOR (RESISTeNCIA ELeTRICA FIXA) PRoPRIO PARA MONTAGEM EM SUPERFÍCIE SMD 390R  5 200PPM POTeNCIA DE 1/10W (R01022) (ref.2010100900)</v>
          </cell>
        </row>
        <row r="77">
          <cell r="B77">
            <v>2010100920</v>
          </cell>
          <cell r="D77">
            <v>20633527</v>
          </cell>
          <cell r="E77">
            <v>85332120</v>
          </cell>
          <cell r="F77">
            <v>85332120</v>
          </cell>
          <cell r="G77">
            <v>85332120</v>
          </cell>
          <cell r="H77" t="str">
            <v>RESISTOR (RESISTeNCIA ELeTRICA FIXA) PRoPRIO PARA MONTAGEM EM SUPERFÍCIE SMD 100K 5por cento 100PPM POTeNCIA DE 1/10W (REF. R01020 - Ref. 22010100920)</v>
          </cell>
        </row>
        <row r="78">
          <cell r="B78">
            <v>2010100930</v>
          </cell>
          <cell r="D78">
            <v>20633510</v>
          </cell>
          <cell r="E78">
            <v>85332120</v>
          </cell>
          <cell r="F78">
            <v>85332120</v>
          </cell>
          <cell r="G78">
            <v>85332120</v>
          </cell>
          <cell r="H78" t="str">
            <v>RESISTOR (RESISTeNCIA ELeTRICA FIXA) PRoPRIO PARA MONTAGEM EM SUPERFÍCIE SMD SMD 39K 5por cento 100PPM POTeNCIA DE 1/10W (REF. R01016 - Ref. 2010100930)</v>
          </cell>
        </row>
        <row r="79">
          <cell r="B79">
            <v>2010100950</v>
          </cell>
          <cell r="D79">
            <v>20633526</v>
          </cell>
          <cell r="E79">
            <v>85332120</v>
          </cell>
          <cell r="F79">
            <v>85332120</v>
          </cell>
          <cell r="H79" t="str">
            <v>RESISTOR (RESISTeNCIA ELeTRICA FIXA) PRoPRIO PARA MONTAGEM EM SUPERFÍCIE SMD 06033K 5％ 200PPM DE POTeNCIA 1/10W (REF. R01013 -Ref. 2010100950)</v>
          </cell>
        </row>
        <row r="80">
          <cell r="B80">
            <v>2010101000</v>
          </cell>
          <cell r="D80">
            <v>20633580</v>
          </cell>
          <cell r="E80">
            <v>85332120</v>
          </cell>
          <cell r="F80">
            <v>85332120</v>
          </cell>
          <cell r="G80">
            <v>85332120</v>
          </cell>
          <cell r="H80" t="str">
            <v>RESISTOR (RESISTeNCIA ELeTRICA FIXA) PRoPRIO PARA MONTAGEM EM SUPERFÍCIE SMD 20K 5por cento 100PPM POTeNCIA 1/10W (REF. R01006 - Ref. 2010101000)</v>
          </cell>
        </row>
        <row r="81">
          <cell r="B81">
            <v>2010101010</v>
          </cell>
          <cell r="D81">
            <v>20624406</v>
          </cell>
          <cell r="E81">
            <v>85332120</v>
          </cell>
          <cell r="F81">
            <v>85332120</v>
          </cell>
          <cell r="G81">
            <v>85332120</v>
          </cell>
          <cell r="H81" t="str">
            <v>RESISTOR (RESISTeNCIA ELeTRICA FIXA)  PRoPRIO PARA MONTAGEM EM SUPERFÍCIE SMD 2K 5 200PPM POTeNCIA DE 1/10W (R01004)(ref.2010101010)</v>
          </cell>
        </row>
        <row r="82">
          <cell r="B82">
            <v>2010101020</v>
          </cell>
          <cell r="D82">
            <v>20633536</v>
          </cell>
          <cell r="E82">
            <v>85332120</v>
          </cell>
          <cell r="F82">
            <v>85332120</v>
          </cell>
          <cell r="G82">
            <v>85332120</v>
          </cell>
          <cell r="H82" t="str">
            <v>RESISTOR (RESISTeNCIA ELeTRICA FIXA) PRoPRIO PARA MONTAGEM EM SUPERFÍCIE SMD 1K 5por cento 100PPM POTeNCIA 1/10W (REF. R01003 - Ref.2010101020)</v>
          </cell>
        </row>
        <row r="83">
          <cell r="B83">
            <v>2010101040</v>
          </cell>
          <cell r="D83">
            <v>20624412</v>
          </cell>
          <cell r="E83">
            <v>85332120</v>
          </cell>
          <cell r="F83">
            <v>85332120</v>
          </cell>
          <cell r="G83">
            <v>85332120</v>
          </cell>
          <cell r="H83" t="str">
            <v>RESISTOR (RESISTeNCIA ELeTRICA FIXA) PRoPRIO PARA MONTAGEM EM SUPERFÍCIE SMD DE POTeNCIA 1/10W 510R 5por cento 100PPM  1/10W 0603 (Ref.2010101040)</v>
          </cell>
        </row>
        <row r="84">
          <cell r="B84">
            <v>2010101200</v>
          </cell>
          <cell r="D84">
            <v>20624413</v>
          </cell>
          <cell r="E84">
            <v>85332120</v>
          </cell>
          <cell r="F84">
            <v>85332120</v>
          </cell>
          <cell r="G84">
            <v>85332120</v>
          </cell>
          <cell r="H84" t="str">
            <v>RESISTOR (RESISTeNCIA ELeTRICA FIXA) PRoPRIO PARA MONTAGEM EM SUPERFÍCIE SMD DE POTeNCIA 1/10W 100R  5por cento 100PPM 1/10W 0603 (Ref.2010101200)</v>
          </cell>
        </row>
        <row r="85">
          <cell r="B85">
            <v>2010101490</v>
          </cell>
          <cell r="D85">
            <v>20660915</v>
          </cell>
          <cell r="E85">
            <v>85332120</v>
          </cell>
          <cell r="F85">
            <v>85332120</v>
          </cell>
          <cell r="G85">
            <v>85332120</v>
          </cell>
          <cell r="H85" t="str">
            <v>RESISTOR (RESISTeNCIA ELeTRICA FIXA) PRoPRIO PARA MONTAGEM EM SUPERFÍCIE SMD 20kO 5por cento 100ppm POTeNCIA DE 1/16W 0402 (2010101490) SMD</v>
          </cell>
        </row>
        <row r="86">
          <cell r="B86">
            <v>2010101510</v>
          </cell>
          <cell r="D86">
            <v>20624429</v>
          </cell>
          <cell r="E86">
            <v>85332120</v>
          </cell>
          <cell r="F86">
            <v>85332120</v>
          </cell>
          <cell r="H86" t="str">
            <v>RESISTOR (RESISTeNCIA ELeTRICA FIXA) PRoPRIO PARA MONTAGEM EM SUPERFÍCIE SMD 330K 5por cento 100ppm DE POTeNCIA 1/16W 0402 (ref.2010101510)</v>
          </cell>
        </row>
        <row r="87">
          <cell r="B87">
            <v>2010101560</v>
          </cell>
          <cell r="D87">
            <v>20660916</v>
          </cell>
          <cell r="E87">
            <v>85332120</v>
          </cell>
          <cell r="F87">
            <v>85332120</v>
          </cell>
          <cell r="G87">
            <v>85332120</v>
          </cell>
          <cell r="H87" t="str">
            <v>RESISTOR (RESISTeNCIA ELeTRICA FIXA) PRoPRIO PARA MONTAGEM EM SUPERFÍCIE SMD 240R 5por cento 100ppm POTeNCIA DE 1/16W 0402 (2010101560) SMD</v>
          </cell>
        </row>
        <row r="88">
          <cell r="B88">
            <v>2010101580</v>
          </cell>
          <cell r="D88">
            <v>20624433</v>
          </cell>
          <cell r="E88">
            <v>85332120</v>
          </cell>
          <cell r="F88">
            <v>85332120</v>
          </cell>
          <cell r="G88">
            <v>85332120</v>
          </cell>
          <cell r="H88" t="str">
            <v>RESISTOR (RESISTeNCIA ELeTRICA FIXA) PRoPRIO PARA MONTAGEM EM SUPERFÍCIE SMD 2.4K 5por cento 100PPM DE POTeNCIA 1/16W 0402 (ref.2010101580)</v>
          </cell>
        </row>
        <row r="89">
          <cell r="B89">
            <v>2010101590</v>
          </cell>
          <cell r="D89">
            <v>20660910</v>
          </cell>
          <cell r="E89">
            <v>85332120</v>
          </cell>
          <cell r="F89">
            <v>85332120</v>
          </cell>
          <cell r="G89">
            <v>85332120</v>
          </cell>
          <cell r="H89" t="str">
            <v>RESISTOR (RESISTeNCIA ELeTRICA FIXA) PRoPRIO PARA MONTAGEM EM SUPERFÍCIE SMD 2.2K 1por cento 100PPM DE POTeNCIA 1/16W 0402 (ref.2010101590)</v>
          </cell>
        </row>
        <row r="90">
          <cell r="B90">
            <v>2010101620</v>
          </cell>
          <cell r="D90">
            <v>20624424</v>
          </cell>
          <cell r="E90">
            <v>85332120</v>
          </cell>
          <cell r="F90">
            <v>85332120</v>
          </cell>
          <cell r="G90">
            <v>85332120</v>
          </cell>
          <cell r="H90" t="str">
            <v>RESISTOR (RESISTeNCIA ELeTRICA FIXA) PRoPRIO PARA MONTAGEM EM SUPERFÍCIE SMD 5.1K 5por cento 100PPM DE POTeNCIA 1/16W 0402 (ref.2010101620)</v>
          </cell>
        </row>
        <row r="91">
          <cell r="B91">
            <v>2010101680</v>
          </cell>
          <cell r="D91">
            <v>20633677</v>
          </cell>
          <cell r="E91">
            <v>85332120</v>
          </cell>
          <cell r="F91">
            <v>85332120</v>
          </cell>
          <cell r="G91">
            <v>85332120</v>
          </cell>
          <cell r="H91" t="str">
            <v>RESISTOR (RESISTeNCIA ELeTRICA FIXA) PRoPRIO PARA MONTAGEM EM SUPERFÍCIE SMD 2MO 5por cento 100ppm POTeNCIA DE 1/16W 0402 (2010101680) SMD</v>
          </cell>
        </row>
        <row r="92">
          <cell r="B92">
            <v>2010101700</v>
          </cell>
          <cell r="D92">
            <v>20633683</v>
          </cell>
          <cell r="E92">
            <v>85332120</v>
          </cell>
          <cell r="F92">
            <v>85332120</v>
          </cell>
          <cell r="G92">
            <v>85332120</v>
          </cell>
          <cell r="H92" t="str">
            <v>RESISTOR (RESISTeNCIA ELeTRICA FIXA) PRoPRIO PARA MONTAGEM EM SUPERFÍCIE SMD 680R 5por cento 100.0ppm POTeNCIA DE 1/16W 0402 SMD (2010101700)</v>
          </cell>
        </row>
        <row r="93">
          <cell r="B93">
            <v>2010101800</v>
          </cell>
          <cell r="D93">
            <v>20660917</v>
          </cell>
          <cell r="E93">
            <v>85332120</v>
          </cell>
          <cell r="F93">
            <v>85332120</v>
          </cell>
          <cell r="G93">
            <v>85332120</v>
          </cell>
          <cell r="H93" t="str">
            <v>RESISTOR (RESISTeNCIA ELeTRICA FIXA)  PRoPRIO PARA MONTAGEM EM SUPERFÍCIE SMD 750R 1por cento 100ppm POTeNCIA DE 1/16W 0402 (2010101800) SMD</v>
          </cell>
        </row>
        <row r="94">
          <cell r="B94">
            <v>2010101820</v>
          </cell>
          <cell r="D94">
            <v>20660960</v>
          </cell>
          <cell r="E94">
            <v>85332120</v>
          </cell>
          <cell r="F94">
            <v>85332120</v>
          </cell>
          <cell r="G94">
            <v>85332120</v>
          </cell>
          <cell r="H94" t="str">
            <v>RESISTOR (RESISTeNCIA ELeTRICA FIXA)  PRoPRIO PARA MONTAGEM EM SUPERFÍCIE SMD 62R 5por cento 100.0ppm POTeNCIA DE 1/16W 0402 (2010101820) SMD</v>
          </cell>
        </row>
        <row r="95">
          <cell r="B95">
            <v>2010101960</v>
          </cell>
          <cell r="D95">
            <v>20624451</v>
          </cell>
          <cell r="E95">
            <v>85332120</v>
          </cell>
          <cell r="F95">
            <v>85332120</v>
          </cell>
          <cell r="G95">
            <v>85332120</v>
          </cell>
          <cell r="H95" t="str">
            <v>RESISTOR (RESISTeNCIA ELeTRICA FIXA) PRoPRIO PARA MONTAGEM EM SUPERFÍCIE SMD 1k 5por cento 100PPM DE POTeNCIA 1/16W 0402 (ref.2010101960)</v>
          </cell>
        </row>
        <row r="96">
          <cell r="B96">
            <v>2010101990</v>
          </cell>
          <cell r="D96">
            <v>20624430</v>
          </cell>
          <cell r="E96">
            <v>85332120</v>
          </cell>
          <cell r="F96">
            <v>85332120</v>
          </cell>
          <cell r="G96">
            <v>85332120</v>
          </cell>
          <cell r="H96" t="str">
            <v>RESISTOR (RESISTeNCIA ELeTRICA FIXA) PRoPRIO PARA MONTAGEM EM SUPERFÍCIE SMD 3.3K 1por cento 100PPM DE POTeNCIA 1/16W 0402 (ref.2010101990)</v>
          </cell>
        </row>
        <row r="97">
          <cell r="B97">
            <v>2010102000</v>
          </cell>
          <cell r="D97">
            <v>20624431</v>
          </cell>
          <cell r="E97">
            <v>85332120</v>
          </cell>
          <cell r="F97">
            <v>85332120</v>
          </cell>
          <cell r="G97">
            <v>85332120</v>
          </cell>
          <cell r="H97" t="str">
            <v>RESISTOR (RESISTeNCIA ELeTRICA FIXA) PRoPRIO PARA MONTAGEM EM SUPERFÍCIE SMD 12K 1por cento 100PPM DE POTeNCIA 1/16W 0402 (ref.2010102000)</v>
          </cell>
        </row>
        <row r="98">
          <cell r="B98">
            <v>2010102020</v>
          </cell>
          <cell r="D98">
            <v>20624423</v>
          </cell>
          <cell r="E98">
            <v>85332120</v>
          </cell>
          <cell r="F98">
            <v>85332120</v>
          </cell>
          <cell r="G98">
            <v>85332120</v>
          </cell>
          <cell r="H98" t="str">
            <v>RESISTOR (RESISTeNCIA ELeTRICA FIXA) PRoPRIO PARA MONTAGEM EM SUPERFÍCIE SMD 100K 1por cento 100ppm DE POTeNCIA 1/16W 0402 (ref.2010102020)</v>
          </cell>
        </row>
        <row r="99">
          <cell r="B99">
            <v>2010102250</v>
          </cell>
          <cell r="D99">
            <v>20624442</v>
          </cell>
          <cell r="E99">
            <v>85332120</v>
          </cell>
          <cell r="F99">
            <v>85332120</v>
          </cell>
          <cell r="H99" t="str">
            <v>RESISTOR (RESISTeNCIA ELeTRICA FIXA) PRoPRIO PARA MONTAGEM EM SUPERFÍCIE SMD 1.5K 1por cento 100PPM DE POTeNCIA 1/10W 0603 (ref.2010102250)</v>
          </cell>
        </row>
        <row r="100">
          <cell r="B100">
            <v>2010102270</v>
          </cell>
          <cell r="D100">
            <v>20624461</v>
          </cell>
          <cell r="E100">
            <v>85332120</v>
          </cell>
          <cell r="F100">
            <v>85332120</v>
          </cell>
          <cell r="G100">
            <v>85332120</v>
          </cell>
          <cell r="H100" t="str">
            <v>RESISTOR (RESISTeNCIA ELeTRICA FIXA) PRoPRIO PARA MONTAGEM EM SUPERFÍCIE SMD 28k 1por cento 100PPM POTeNCIA DE 1/10W 0603 (2010102270) SMD</v>
          </cell>
        </row>
        <row r="101">
          <cell r="B101">
            <v>2010102300</v>
          </cell>
          <cell r="D101">
            <v>20660955</v>
          </cell>
          <cell r="E101">
            <v>85332120</v>
          </cell>
          <cell r="F101">
            <v>85332120</v>
          </cell>
          <cell r="G101">
            <v>85332120</v>
          </cell>
          <cell r="H101" t="str">
            <v>RESISTOR (RESISTeNCIA ELeTRICA FIXA) PRoPRIO PARA MONTAGEM EM SUPERFÍCIE SMD 820R 1por cento 100.0ppm POTeNCIA DE 1/10W 0603 (2010102300) SMD</v>
          </cell>
        </row>
        <row r="102">
          <cell r="B102">
            <v>2010102420</v>
          </cell>
          <cell r="D102">
            <v>20660954</v>
          </cell>
          <cell r="E102">
            <v>85332120</v>
          </cell>
          <cell r="F102">
            <v>85332120</v>
          </cell>
          <cell r="G102">
            <v>85332120</v>
          </cell>
          <cell r="H102" t="str">
            <v>RESISTOR (RESISTeNCIA ELeTRICA FIXA) PRoPRIO PARA MONTAGEM EM SUPERFÍCIE SMD  330O 1por cento 100ppm POTeNCIA DE 1/10W 0603 (2010102420) SMD</v>
          </cell>
        </row>
        <row r="103">
          <cell r="B103">
            <v>2010102550</v>
          </cell>
          <cell r="D103">
            <v>20660965</v>
          </cell>
          <cell r="E103">
            <v>85332120</v>
          </cell>
          <cell r="F103">
            <v>85332120</v>
          </cell>
          <cell r="G103">
            <v>85332120</v>
          </cell>
          <cell r="H103" t="str">
            <v>RESISTOR (RESISTeNCIA ELeTRICA FIXA) PRoPRIO PARA MONTAGEM EM SUPERFÍCIE SMD 360R 1por cento 100.0ppm POTeNCIA DE 1/10W 0603 (2010102550) SMD</v>
          </cell>
        </row>
        <row r="104">
          <cell r="B104">
            <v>2010102750</v>
          </cell>
          <cell r="D104">
            <v>20624453</v>
          </cell>
          <cell r="E104">
            <v>85332120</v>
          </cell>
          <cell r="F104">
            <v>85332120</v>
          </cell>
          <cell r="G104">
            <v>85332120</v>
          </cell>
          <cell r="H104" t="str">
            <v>RESISTOR (RESISTeNCIA ELeTRICA FIXA) PRoPRIO PARA MONTAGEM EM SUPERFÍCIE SMD 1K 5por cento 200PPM DE POTeNCIA 1/8W (ref.2010102750)</v>
          </cell>
        </row>
        <row r="105">
          <cell r="B105">
            <v>2010103000</v>
          </cell>
          <cell r="D105">
            <v>20660962</v>
          </cell>
          <cell r="E105">
            <v>85332120</v>
          </cell>
          <cell r="F105">
            <v>85332120</v>
          </cell>
          <cell r="G105">
            <v>85332120</v>
          </cell>
          <cell r="H105" t="str">
            <v>RESISTOR (RESISTeNCIA ELeTRICA FIXA) PRoPRIO PARA MONTAGEM EM SUPERFÍCIE SMD  2M 5por cento 100.0ppm POTeNCIA DE 1/8W 0805 (2010103000) SMD</v>
          </cell>
        </row>
        <row r="106">
          <cell r="B106">
            <v>2010103190</v>
          </cell>
          <cell r="D106">
            <v>20624454</v>
          </cell>
          <cell r="E106">
            <v>85332120</v>
          </cell>
          <cell r="F106">
            <v>85332120</v>
          </cell>
          <cell r="H106" t="str">
            <v>RESISTOR (RESISTeNCIA ELeTRICA FIXA) PRoPRIO PARA MONTAGEM EM SUPERFÍCIE SMD 6.8K 5por cento 200PPM DE POTeNCIA 1/8W (ref.2010103190)</v>
          </cell>
        </row>
        <row r="107">
          <cell r="B107">
            <v>2010103280</v>
          </cell>
          <cell r="D107">
            <v>20660966</v>
          </cell>
          <cell r="E107">
            <v>85332120</v>
          </cell>
          <cell r="F107">
            <v>85332120</v>
          </cell>
          <cell r="G107">
            <v>85332120</v>
          </cell>
          <cell r="H107" t="str">
            <v>RESISTOR (RESISTeNCIA ELeTRICA FIXA) PRoPRIO PARA MONTAGEM EM SUPERFÍCIE SMD  1.5R 5por cento 200.0ppm POTeNCIA DE 1/8W 0805 (2010103280) SMD</v>
          </cell>
        </row>
        <row r="108">
          <cell r="B108">
            <v>2010103340</v>
          </cell>
          <cell r="D108">
            <v>20660956</v>
          </cell>
          <cell r="E108">
            <v>85332120</v>
          </cell>
          <cell r="F108">
            <v>85332120</v>
          </cell>
          <cell r="G108">
            <v>85332120</v>
          </cell>
          <cell r="H108" t="str">
            <v>RESISTOR (RESISTeNCIA ELeTRICA FIXA) PRoPRIO PARA MONTAGEM EM SUPERFÍCIE SMD  3kR 5por cento 100.0ppm POTeNCIA DE 1/8W 0805 (2010103340) SMD</v>
          </cell>
        </row>
        <row r="109">
          <cell r="B109">
            <v>2010103440</v>
          </cell>
          <cell r="D109">
            <v>20624414</v>
          </cell>
          <cell r="E109">
            <v>85332120</v>
          </cell>
          <cell r="F109">
            <v>85332120</v>
          </cell>
          <cell r="H109" t="str">
            <v>RESISTOR (RESISTeNCIA ELeTRICA FIXA) PRoPRIO PARA MONTAGEM EM SUPERFÍCIE SMD DE POTeNCIA 1/8W 240R 5por cento 100PPM (ref.2010103440)</v>
          </cell>
        </row>
        <row r="110">
          <cell r="B110">
            <v>2010103590</v>
          </cell>
          <cell r="D110">
            <v>20660963</v>
          </cell>
          <cell r="E110">
            <v>85332120</v>
          </cell>
          <cell r="F110">
            <v>85332120</v>
          </cell>
          <cell r="G110">
            <v>85332120</v>
          </cell>
          <cell r="H110" t="str">
            <v>RESISTOR (RESISTeNCIA ELeTRICA FIXA) PRoPRIO PARA MONTAGEM EM SUPERFÍCIE SMD  33R 5por cento 100.0ppm POTeNCIA DE 1/8W 0805 (2010103590) SMD</v>
          </cell>
        </row>
        <row r="111">
          <cell r="B111">
            <v>2010103920</v>
          </cell>
          <cell r="D111">
            <v>20624456</v>
          </cell>
          <cell r="E111">
            <v>85332120</v>
          </cell>
          <cell r="F111">
            <v>85332120</v>
          </cell>
          <cell r="H111" t="str">
            <v>RESISTOR (RESISTeNCIA ELeTRICA FIXA) PRoPRIO PARA MONTAGEM EM SUPERFÍCIE SMD 1M  1por cento 100PPM DE POTeNCIA 1/8W SMD (REF.2010103920)</v>
          </cell>
        </row>
        <row r="112">
          <cell r="B112">
            <v>2010104020</v>
          </cell>
          <cell r="D112">
            <v>20624416</v>
          </cell>
          <cell r="E112">
            <v>85332120</v>
          </cell>
          <cell r="F112">
            <v>85332120</v>
          </cell>
          <cell r="G112">
            <v>85332120</v>
          </cell>
          <cell r="H112" t="str">
            <v>RESISTOR (RESISTeNCIA ELeTRICA FIXA) PRoPRIO PARA MONTAGEM EM SUPERFÍCIE SMD DE POTeNCIA 1/8W 390R 1por cento 100PPM 0805 (REF.2010104020)</v>
          </cell>
        </row>
        <row r="113">
          <cell r="B113">
            <v>2010104500</v>
          </cell>
          <cell r="D113">
            <v>20660904</v>
          </cell>
          <cell r="E113">
            <v>85332120</v>
          </cell>
          <cell r="F113">
            <v>85332120</v>
          </cell>
          <cell r="G113">
            <v>85332120</v>
          </cell>
          <cell r="H113" t="str">
            <v>RESISTOR (RESISTeNCIA ELeTRICA FIXA) PRoPRIO PARA MONTAGEM EM SUPERFÍCIE SMD DE POTeNCIA 1/10W 750R 1por cento 25PPM 0805 (ref.2010104500)</v>
          </cell>
        </row>
        <row r="114">
          <cell r="B114">
            <v>2010104510</v>
          </cell>
          <cell r="D114">
            <v>20624439</v>
          </cell>
          <cell r="E114">
            <v>85332120</v>
          </cell>
          <cell r="F114">
            <v>85332120</v>
          </cell>
          <cell r="H114" t="str">
            <v>RESISTOR (RESISTeNCIA ELeTRICA FIXA) PRoPRIO PARA MONTAGEM EM SUPERFÍCIE SMD 39K 5por cento 100PPM DE POTeNCIA 1/4W 1206 (ref.2010104510)</v>
          </cell>
        </row>
        <row r="115">
          <cell r="B115">
            <v>2010104520</v>
          </cell>
          <cell r="D115">
            <v>20624436</v>
          </cell>
          <cell r="E115">
            <v>85332120</v>
          </cell>
          <cell r="F115">
            <v>85332120</v>
          </cell>
          <cell r="G115">
            <v>85332120</v>
          </cell>
          <cell r="H115" t="str">
            <v>RESISTOR (RESISTeNCIA ELeTRICA FIXA) PRoPRIO PARA MONTAGEM EM SUPERFÍCIE SMD 100K  5por cento 100PPM DE POTeNCIA 1/4W 1206 (ref.2010104520)</v>
          </cell>
        </row>
        <row r="116">
          <cell r="B116">
            <v>2010104530</v>
          </cell>
          <cell r="D116">
            <v>20624417</v>
          </cell>
          <cell r="E116">
            <v>85332120</v>
          </cell>
          <cell r="F116">
            <v>85332120</v>
          </cell>
          <cell r="G116">
            <v>85332120</v>
          </cell>
          <cell r="H116" t="str">
            <v>RESISTOR (RESISTeNCIA ELeTRICA FIXA) PRoPRIO PARA MONTAGEM EM SUPERFÍCIE SMD 10R 5por cento 400PPM DE POTeNCIA 1/4W 1206 (ref.2010104530)</v>
          </cell>
        </row>
        <row r="117">
          <cell r="B117">
            <v>2010104560</v>
          </cell>
          <cell r="D117">
            <v>20624455</v>
          </cell>
          <cell r="E117">
            <v>85332120</v>
          </cell>
          <cell r="F117">
            <v>85332120</v>
          </cell>
          <cell r="G117">
            <v>85332120</v>
          </cell>
          <cell r="H117" t="str">
            <v>RESISTOR (RESISTeNCIA ELeTRICA FIXA) PRoPRIO PARA MONTAGEM EM SUPERFÍCIE SMD 20R 5por cento 200PPM DE POTeNCIA 1/4W SMD (ref.2010104560)</v>
          </cell>
        </row>
        <row r="118">
          <cell r="B118">
            <v>2010104570</v>
          </cell>
          <cell r="D118">
            <v>20624418</v>
          </cell>
          <cell r="E118">
            <v>85332120</v>
          </cell>
          <cell r="F118">
            <v>85332120</v>
          </cell>
          <cell r="G118">
            <v>85332120</v>
          </cell>
          <cell r="H118" t="str">
            <v>RESISTOR (RESISTeNCIA ELeTRICA FIXA) PRoPRIO PARA MONTAGEM EM SUPERFÍCIE SMD DE POTeNCIA 1/4W 390k 5por cento 100PPM 1206 (ref.2010104570)</v>
          </cell>
        </row>
        <row r="119">
          <cell r="B119">
            <v>2010104590</v>
          </cell>
          <cell r="D119">
            <v>20660909</v>
          </cell>
          <cell r="E119">
            <v>85332120</v>
          </cell>
          <cell r="F119">
            <v>85332120</v>
          </cell>
          <cell r="G119">
            <v>85332120</v>
          </cell>
          <cell r="H119" t="str">
            <v>RESISTOR (RESISTeNCIA ELeTRICA FIXA) PRoPRIO PARA MONTAGEM EM SUPERFÍCIE SMD 0R 5por cento 300PPM DE POTeNCIA 1/4W 1206 (ref.2010104590)</v>
          </cell>
        </row>
        <row r="120">
          <cell r="B120">
            <v>2010104630</v>
          </cell>
          <cell r="D120">
            <v>20624434</v>
          </cell>
          <cell r="E120">
            <v>85332120</v>
          </cell>
          <cell r="F120">
            <v>85332120</v>
          </cell>
          <cell r="G120">
            <v>85332120</v>
          </cell>
          <cell r="H120" t="str">
            <v>RESISTOR (RESISTeNCIA ELeTRICA FIXA) PRoPRIO PARA MONTAGEM EM SUPERFÍCIE SMD 510K 5por cento 100PPM DE POTeNCIA 1/4W 1206 (ref.2010104630)</v>
          </cell>
        </row>
        <row r="121">
          <cell r="B121">
            <v>2010104680</v>
          </cell>
          <cell r="D121">
            <v>20624438</v>
          </cell>
          <cell r="E121">
            <v>85332120</v>
          </cell>
          <cell r="F121">
            <v>85332120</v>
          </cell>
          <cell r="G121">
            <v>85332120</v>
          </cell>
          <cell r="H121" t="str">
            <v>RESISTOR (RESISTeNCIA ELeTRICA FIXA) PRoPRIO PARA MONTAGEM EM SUPERFÍCIE SMD 2.4K 5por cento 100PPM DE POTeNCIA 1/4W 1206 (ref.2010104680)</v>
          </cell>
        </row>
        <row r="122">
          <cell r="B122">
            <v>2010104690</v>
          </cell>
          <cell r="D122">
            <v>20624448</v>
          </cell>
          <cell r="E122">
            <v>85332120</v>
          </cell>
          <cell r="F122">
            <v>85332120</v>
          </cell>
          <cell r="G122">
            <v>85332120</v>
          </cell>
          <cell r="H122" t="str">
            <v>RESISTOR (RESISTeNCIA ELeTRICA FIXA) PRoPRIO PARA MONTAGEM EM SUPERFÍCIE SMD 330k 1por cento 50PPM DE POTeNCIA 1/4W 1206 (ref.2010104690)</v>
          </cell>
        </row>
        <row r="123">
          <cell r="B123">
            <v>2010104770</v>
          </cell>
          <cell r="D123">
            <v>20624459</v>
          </cell>
          <cell r="E123">
            <v>85332120</v>
          </cell>
          <cell r="F123">
            <v>85332120</v>
          </cell>
          <cell r="G123">
            <v>85332120</v>
          </cell>
          <cell r="H123" t="str">
            <v>RESISTOR (RESISTeNCIA ELeTRICA FIXA) PRoPRIO PARA MONTAGEM EM SUPERFÍCIE SMD  220kO 0por cento 100ppm POTeNCIA DE 1/4W 1206 (2010104770) SMD</v>
          </cell>
        </row>
        <row r="124">
          <cell r="B124">
            <v>2010104830</v>
          </cell>
          <cell r="D124">
            <v>20624437</v>
          </cell>
          <cell r="E124">
            <v>85332120</v>
          </cell>
          <cell r="F124">
            <v>85332120</v>
          </cell>
          <cell r="G124">
            <v>85332120</v>
          </cell>
          <cell r="H124" t="str">
            <v>RESISTOR (RESISTeNCIA ELeTRICA FIXA) PRoPRIO PARA MONTAGEM EM SUPERFÍCIE SMD 20R 1por cento 100PPM DE POTeNCIA 1/4W 1206 (ref.2010104830)</v>
          </cell>
        </row>
        <row r="125">
          <cell r="B125">
            <v>2010104890</v>
          </cell>
          <cell r="D125">
            <v>20624419</v>
          </cell>
          <cell r="E125">
            <v>85332120</v>
          </cell>
          <cell r="F125">
            <v>85332120</v>
          </cell>
          <cell r="G125">
            <v>85332120</v>
          </cell>
          <cell r="H125" t="str">
            <v>RESISTOR (RESISTeNCIA ELeTRICA FIXA) PRoPRIO PARA MONTAGEM EM SUPERFÍCIE SMD DE POTeNCIA 1/4W 1K 1por cento  100PPM 1/4W (ref.2010104890)</v>
          </cell>
        </row>
        <row r="126">
          <cell r="B126">
            <v>2010105060</v>
          </cell>
          <cell r="D126">
            <v>20660908</v>
          </cell>
          <cell r="E126">
            <v>85332120</v>
          </cell>
          <cell r="F126">
            <v>85332120</v>
          </cell>
          <cell r="G126">
            <v>85332120</v>
          </cell>
          <cell r="H126" t="str">
            <v>RESISTOR (RESISTeNCIA ELeTRICA FIXA) PRoPRIO PARA MONTAGEM EM SUPERFÍCIE SMD 20R 1por cento 25PPM POTeNCIA DE 1/8W 1206 (R06065) SMD (2010105060)</v>
          </cell>
        </row>
        <row r="127">
          <cell r="B127">
            <v>2010105070</v>
          </cell>
          <cell r="D127">
            <v>20660905</v>
          </cell>
          <cell r="E127">
            <v>85332120</v>
          </cell>
          <cell r="F127">
            <v>85332120</v>
          </cell>
          <cell r="G127">
            <v>85332120</v>
          </cell>
          <cell r="H127" t="str">
            <v>RESISTOR (RESISTeNCIA ELeTRICA FIXA) PRoPRIO PARA MONTAGEM EM SUPERFÍCIE SMD DE POTeNCIA 1/8W 3R 1por cento 25PPM 1206 (ref.2010105070)</v>
          </cell>
        </row>
        <row r="128">
          <cell r="B128">
            <v>2010105510</v>
          </cell>
          <cell r="D128">
            <v>20624425</v>
          </cell>
          <cell r="E128">
            <v>85332120</v>
          </cell>
          <cell r="F128">
            <v>85332120</v>
          </cell>
          <cell r="G128">
            <v>85332120</v>
          </cell>
          <cell r="H128" t="str">
            <v>RESISTOR (RESISTeNCIA ELeTRICA FIXA) PRoPRIO PARA MONTAGEM EM SUPERFÍCIE SMD 0R 1por cento 200PPM 50V DE POTeNCIA 1/16W 0402 (ref.2010105510)</v>
          </cell>
        </row>
        <row r="129">
          <cell r="B129">
            <v>2010105520</v>
          </cell>
          <cell r="D129">
            <v>20624426</v>
          </cell>
          <cell r="E129">
            <v>85332120</v>
          </cell>
          <cell r="F129">
            <v>85332120</v>
          </cell>
          <cell r="G129">
            <v>85332120</v>
          </cell>
          <cell r="H129" t="str">
            <v>RESISTOR (RESISTeNCIA ELeTRICA FIXA) PRoPRIO PARA MONTAGEM EM SUPERFÍCIE SMD 1K 1por cento 100PPM 50V DE POTeNCIA 1/16W 0402 (ref.2010105520)</v>
          </cell>
        </row>
        <row r="130">
          <cell r="B130">
            <v>2010105610</v>
          </cell>
          <cell r="D130">
            <v>20624449</v>
          </cell>
          <cell r="E130">
            <v>85332120</v>
          </cell>
          <cell r="F130">
            <v>85332120</v>
          </cell>
          <cell r="G130">
            <v>85332120</v>
          </cell>
          <cell r="H130" t="str">
            <v>RESISTOR (RESISTeNCIA ELeTRICA FIXA) PRoPRIO PARA MONTAGEM EM SUPERFÍCIE SMD 100R 5por cento 100PPM DE POTeNCIA 1/16W 0402 (ref.2010105610)</v>
          </cell>
        </row>
        <row r="131">
          <cell r="B131">
            <v>2010105630</v>
          </cell>
          <cell r="D131">
            <v>20624428</v>
          </cell>
          <cell r="E131">
            <v>85332120</v>
          </cell>
          <cell r="F131">
            <v>85332120</v>
          </cell>
          <cell r="H131" t="str">
            <v>RESISTOR (RESISTeNCIA ELeTRICA FIXA) PRoPRIO PARA MONTAGEM EM SUPERFÍCIE SMD 120K 5por cento 100ppm DE POTeNCIA 1/16W 0402 (ref.2010105630)</v>
          </cell>
        </row>
        <row r="132">
          <cell r="B132">
            <v>2010105690</v>
          </cell>
          <cell r="D132">
            <v>20624452</v>
          </cell>
          <cell r="E132">
            <v>85332120</v>
          </cell>
          <cell r="F132">
            <v>85332120</v>
          </cell>
          <cell r="G132">
            <v>85332120</v>
          </cell>
          <cell r="H132" t="str">
            <v>RESISTOR (RESISTeNCIA ELeTRICA FIXA) PRoPRIO PARA MONTAGEM EM SUPERFÍCIE SMD 100K 5por cento 100ppm DE POTeNCIA 1/16W 0402 (ref.2010105690)</v>
          </cell>
        </row>
        <row r="133">
          <cell r="B133">
            <v>2010105700</v>
          </cell>
          <cell r="D133">
            <v>20624443</v>
          </cell>
          <cell r="E133">
            <v>85332120</v>
          </cell>
          <cell r="F133">
            <v>85332120</v>
          </cell>
          <cell r="G133">
            <v>85332120</v>
          </cell>
          <cell r="H133" t="str">
            <v>RESISTOR (RESISTENCIA ELETRICA FIXA) PROPRIO PARA MONTAGEM EM SUPERFÍCIE SMD 10K 5PCT 100PPM DE POTENCIA 1/16W 0402 (ref.2010105700)</v>
          </cell>
        </row>
        <row r="134">
          <cell r="B134">
            <v>2010105720</v>
          </cell>
          <cell r="D134">
            <v>20624422</v>
          </cell>
          <cell r="E134">
            <v>85332120</v>
          </cell>
          <cell r="F134">
            <v>85332120</v>
          </cell>
          <cell r="G134">
            <v>85332120</v>
          </cell>
          <cell r="H134" t="str">
            <v>RESISTOR (RESISTeNCIA ELeTRICA FIXA) PRoPRIO PARA MONTAGEM EM SUPERFÍCIE SMD 2K 5por cento 100ppm DE POTeNCIA 1/16W 0402 (ref.2010105720)</v>
          </cell>
        </row>
        <row r="135">
          <cell r="B135">
            <v>2010105730</v>
          </cell>
          <cell r="D135">
            <v>20624427</v>
          </cell>
          <cell r="E135">
            <v>85332120</v>
          </cell>
          <cell r="F135">
            <v>85332120</v>
          </cell>
          <cell r="H135" t="str">
            <v>RESISTOR (RESISTeNCIA ELeTRICA FIXA) PRoPRIO PARA MONTAGEM EM SUPERFÍCIE SMD 620R 5por cento 100ppm DE POTeNCIA 1/16W 0402 (ref.2010105730)</v>
          </cell>
        </row>
        <row r="136">
          <cell r="B136">
            <v>2010105810</v>
          </cell>
          <cell r="D136">
            <v>20624450</v>
          </cell>
          <cell r="E136">
            <v>85332120</v>
          </cell>
          <cell r="F136">
            <v>85332120</v>
          </cell>
          <cell r="G136">
            <v>85332120</v>
          </cell>
          <cell r="H136" t="str">
            <v>RESISTOR (RESISTeNCIA ELeTRICA FIXA) PRoPRIO PARA MONTAGEM EM SUPERFÍCIE SMD 1.5R 1por cento 400PPM DE POTeNCIA 1/4W (ref.2010105810)</v>
          </cell>
        </row>
        <row r="137">
          <cell r="B137">
            <v>2010105870</v>
          </cell>
          <cell r="D137">
            <v>20633559</v>
          </cell>
          <cell r="E137">
            <v>85332120</v>
          </cell>
          <cell r="F137">
            <v>85332120</v>
          </cell>
          <cell r="G137">
            <v>85332120</v>
          </cell>
          <cell r="H137" t="str">
            <v>RESISTOR (RESISTeNCIA ELeTRICA FIXA) PRoPRIO PARA MONTAGEM EM SUPERFÍCIE SMD 10R 1por cento 100PPM POTeNCIA DE 1/4W (REF. R06005 - Ref. 2010105870)</v>
          </cell>
        </row>
        <row r="138">
          <cell r="B138">
            <v>2010105900</v>
          </cell>
          <cell r="D138">
            <v>20624415</v>
          </cell>
          <cell r="E138">
            <v>85332120</v>
          </cell>
          <cell r="F138">
            <v>85332120</v>
          </cell>
          <cell r="G138">
            <v>85332120</v>
          </cell>
          <cell r="H138" t="str">
            <v>RESISTOR (RESISTeNCIA ELeTRICA FIXA) PRoPRIO PARA MONTAGEM EM SUPERFÍCIE SMD DE POTeNCIA POTeNCIA DE 1/8W 20R 1por cento 100PPM 0805 (ref.2010105900)</v>
          </cell>
        </row>
        <row r="139">
          <cell r="B139">
            <v>2010105950</v>
          </cell>
          <cell r="D139">
            <v>20624446</v>
          </cell>
          <cell r="E139">
            <v>85332120</v>
          </cell>
          <cell r="F139">
            <v>85332120</v>
          </cell>
          <cell r="H139" t="str">
            <v>RESISTOR (RESISTeNCIA ELeTRICA FIXA) PRoPRIO PARA MONTAGEM EM SUPERFÍCIE SMD 1.5M 1por cento 100PPM DE POTeNCIA 1/16W 0402 (ref.2010105950)</v>
          </cell>
        </row>
        <row r="140">
          <cell r="B140">
            <v>2010105960</v>
          </cell>
          <cell r="D140">
            <v>20624447</v>
          </cell>
          <cell r="E140">
            <v>85332120</v>
          </cell>
          <cell r="F140">
            <v>85332120</v>
          </cell>
          <cell r="H140" t="str">
            <v>RESISTOR (RESISTeNCIA ELeTRICA FIXA) PRoPRIO PARA MONTAGEM EM SUPERFÍCIE SMD 3M 1por cento 100PPM DE POTeNCIA 1/16W 0402 (ref.2010105960)</v>
          </cell>
        </row>
        <row r="141">
          <cell r="B141">
            <v>2010106050</v>
          </cell>
          <cell r="D141">
            <v>20633687</v>
          </cell>
          <cell r="E141">
            <v>85332120</v>
          </cell>
          <cell r="F141">
            <v>85332120</v>
          </cell>
          <cell r="G141">
            <v>85332120</v>
          </cell>
          <cell r="H141" t="str">
            <v>RESISTOR (RESISTeNCIA ELeTRICA FIXA) PRoPRIO PARA MONTAGEM EM SUPERFÍCIE SMD  0R 5por cento 200.0ppm POTeNCIA DE 1/16W 0402 SMD (2010106050)</v>
          </cell>
        </row>
        <row r="142">
          <cell r="B142">
            <v>2010107040</v>
          </cell>
          <cell r="D142">
            <v>20660926</v>
          </cell>
          <cell r="E142">
            <v>85332120</v>
          </cell>
          <cell r="F142">
            <v>85332120</v>
          </cell>
          <cell r="G142">
            <v>85332120</v>
          </cell>
          <cell r="H142" t="str">
            <v>RESISTOR (RESISTeNCIA ELeTRICA FIXA) PRoPRIO PARA MONTAGEM EM SUPERFÍCIE SMD  3kO 5por cento 100ppm POTeNCIA DE 1/16W 0402 (2010107040) SMD</v>
          </cell>
        </row>
        <row r="143">
          <cell r="B143">
            <v>2010107150</v>
          </cell>
          <cell r="D143">
            <v>20624463</v>
          </cell>
          <cell r="E143">
            <v>85332120</v>
          </cell>
          <cell r="F143">
            <v>85332120</v>
          </cell>
          <cell r="G143">
            <v>85332120</v>
          </cell>
          <cell r="H143" t="str">
            <v>RESISTOR (RESISTeNCIA ELeTRICA FIXA) PRoPRIO PARA MONTAGEM EM SUPERFÍCIE SMD  2.2R 1por cento 200ppm POTeNCIA DE 1/4W 1206 SMD (2010107150)</v>
          </cell>
        </row>
        <row r="144">
          <cell r="B144">
            <v>2010107170</v>
          </cell>
          <cell r="D144">
            <v>20660964</v>
          </cell>
          <cell r="E144">
            <v>85332120</v>
          </cell>
          <cell r="F144">
            <v>85332120</v>
          </cell>
          <cell r="G144">
            <v>85332120</v>
          </cell>
          <cell r="H144" t="str">
            <v>RESISTOR (RESISTeNCIA ELeTRICA FIXA) PRoPRIO PARA MONTAGEM EM SUPERFÍCIE SMD  47K 1por cento 100.0ppm POTeNCIA DE 1/10W 0603 (2010107170) SMD</v>
          </cell>
        </row>
        <row r="145">
          <cell r="B145">
            <v>2010108310</v>
          </cell>
          <cell r="D145">
            <v>20633682</v>
          </cell>
          <cell r="E145">
            <v>85332120</v>
          </cell>
          <cell r="F145">
            <v>85332120</v>
          </cell>
          <cell r="G145">
            <v>85332120</v>
          </cell>
          <cell r="H145" t="str">
            <v>RESISTOR (RESISTeNCIA ELeTRICA FIXA) PRoPRIO PARA MONTAGEM EM SUPERFÍCIE SMD  820R 1por cento 100.0ppm POTeNCIA DE 1/16W 0402 SMD (2010108310)</v>
          </cell>
        </row>
        <row r="146">
          <cell r="B146">
            <v>2010109590</v>
          </cell>
          <cell r="D146">
            <v>20660914</v>
          </cell>
          <cell r="E146">
            <v>85332120</v>
          </cell>
          <cell r="F146">
            <v>85332120</v>
          </cell>
          <cell r="G146">
            <v>85332120</v>
          </cell>
          <cell r="H146" t="str">
            <v>RESISTOR (RESISTeNCIA ELeTRICA FIXA) PRoPRIO PARA MONTAGEM EM SUPERFÍCIE SMD 15K 1por cento 100PPM POTeNCIA DE 1/16W 0402 (ref.2010109590)</v>
          </cell>
        </row>
        <row r="147">
          <cell r="B147">
            <v>2010500131</v>
          </cell>
          <cell r="D147">
            <v>20660902</v>
          </cell>
          <cell r="E147">
            <v>85332190</v>
          </cell>
          <cell r="F147">
            <v>85332190</v>
          </cell>
          <cell r="H147" t="str">
            <v>RESISTOR (RESISTeNCIA ELeTRICA FIXA) PRoPRIO PARA MONTAGEM EM SUPERFÍCIE PTH, DE POTeNCIA 3W 22R 5por cento 300PPM (REF. R07091-L -ref.2010500131)</v>
          </cell>
        </row>
        <row r="148">
          <cell r="B148">
            <v>2010110970</v>
          </cell>
          <cell r="D148">
            <v>20633519</v>
          </cell>
          <cell r="E148">
            <v>85332120</v>
          </cell>
          <cell r="F148">
            <v>85332120</v>
          </cell>
          <cell r="G148">
            <v>85332120</v>
          </cell>
          <cell r="H148" t="str">
            <v>RESISTOR (RESISTeNCIA ELeTRICA FIXA) PRoPRIO PARA MONTAGEM EM SUPERFÍCIE SMD 3R 1por cento 50PPM POTENCIA DE 1/4W 0204  (2010110970)</v>
          </cell>
        </row>
        <row r="149">
          <cell r="B149">
            <v>2150145700</v>
          </cell>
          <cell r="D149">
            <v>20661733</v>
          </cell>
          <cell r="E149">
            <v>85340033</v>
          </cell>
          <cell r="F149" t="str">
            <v>Not applicable</v>
          </cell>
          <cell r="G149">
            <v>85340033</v>
          </cell>
          <cell r="H149" t="str">
            <v>PLACA DE CIRCUITO IMPRESSO, DE NATUREZA DO MATERIAL BASE RÍGIDO, COMPOSIcAO DA PLACA DE ISOLANTE DE RESINA EPoXIDA E TECIDO DE FIBRA DE VIDRO, ESTRUTURA DE DUPLA-FACE E INTERLIGAcAO ENTRE FACES POR FUROS METALIZADOS, 2 164mm*222.05mm*1.6mm/1 nAo-RoHS (2150145700) SMD</v>
          </cell>
        </row>
        <row r="150">
          <cell r="B150">
            <v>2010900013</v>
          </cell>
          <cell r="D150">
            <v>20691813</v>
          </cell>
          <cell r="E150">
            <v>85334011</v>
          </cell>
          <cell r="F150">
            <v>85334011</v>
          </cell>
          <cell r="H150" t="str">
            <v>TERMISTOR (RESISTeNCIA ELeTRICA VARIaVEL NAO LINEAR SEMICONDUTORA) PTC150 20por cento 1300mA 400mA 0.0V 0.0K f15mm/5mm/RAD-5mm PARA MONTAGEM PTH (Pin Through Hole)  (ref.2010900013)</v>
          </cell>
        </row>
        <row r="151">
          <cell r="B151">
            <v>2010900082</v>
          </cell>
          <cell r="D151">
            <v>20691810</v>
          </cell>
          <cell r="E151">
            <v>85334011</v>
          </cell>
          <cell r="F151">
            <v>85334011</v>
          </cell>
          <cell r="G151">
            <v>85334011</v>
          </cell>
          <cell r="H151" t="str">
            <v>TERMISTOR (RESISTeNCIA ELeTRICA VARIaVEL NAO LINEAR SEMICONDUTORA) NTC 10R 20por cento 3A Ø12.5mm * 5.5mm RAD-7.5mm PARA MONTAGEM PTH (Pin Through Hole) (ref.2010900082)</v>
          </cell>
        </row>
        <row r="152">
          <cell r="B152">
            <v>2010900111</v>
          </cell>
          <cell r="D152">
            <v>20691802</v>
          </cell>
          <cell r="E152">
            <v>85334011</v>
          </cell>
          <cell r="F152">
            <v>85334011</v>
          </cell>
          <cell r="G152">
            <v>85334011</v>
          </cell>
          <cell r="H152" t="str">
            <v>TERMISTOR (RESISTeNCIA ELeTRICA VARIaVEL NAO LINEAR SEMICONDUTORA) PTC 10-15R  2por cento 200mA 650mA 5A 450V RAD-5mm PARA MONTAGEM PTH (Pin Through Hole) (ref.2010900111)</v>
          </cell>
        </row>
        <row r="153">
          <cell r="B153">
            <v>2011100011</v>
          </cell>
          <cell r="D153">
            <v>20624904</v>
          </cell>
          <cell r="E153">
            <v>85334012</v>
          </cell>
          <cell r="F153">
            <v>85334012</v>
          </cell>
          <cell r="G153">
            <v>85334012</v>
          </cell>
          <cell r="H153" t="str">
            <v>VARISTOR (RESISTeNCIA ELeTRICA VARIaVEL NAO LINEAR SEMICONDUTORA) PARA TENSAO DE 470V 10por cento 10000A 1260pF F24 RAD-10mm PTH (Pin Through Hole) (ref.2011100011)</v>
          </cell>
        </row>
        <row r="154">
          <cell r="B154">
            <v>2011100131</v>
          </cell>
          <cell r="D154">
            <v>20624805</v>
          </cell>
          <cell r="E154">
            <v>85334012</v>
          </cell>
          <cell r="F154">
            <v>85334012</v>
          </cell>
          <cell r="G154">
            <v>85334012</v>
          </cell>
          <cell r="H154" t="str">
            <v>VARISTOR (RESISTeNCIA ELeTRICA VARIaVEL NAO LINEAR SEMICONDUTORA) PARA TENSAO DE 910V 10por cento M23 PTH (REF. R09005 - ref.2011100131)</v>
          </cell>
        </row>
        <row r="155">
          <cell r="B155">
            <v>2011101020</v>
          </cell>
          <cell r="D155">
            <v>20680111</v>
          </cell>
          <cell r="E155">
            <v>85334012</v>
          </cell>
          <cell r="F155">
            <v>85334012</v>
          </cell>
          <cell r="G155">
            <v>85334012</v>
          </cell>
          <cell r="H155" t="str">
            <v>VARISTOR (RESISTeNCIA ELeTRICA VARIaVEL NAO LINEAR SEMICONDUTORA) PARA TENSAO DE 820V 10por cento 23*8.4mm PTH (Ref. 2011101020)</v>
          </cell>
        </row>
        <row r="156">
          <cell r="B156">
            <v>2010101890</v>
          </cell>
          <cell r="D156">
            <v>20660918</v>
          </cell>
          <cell r="E156">
            <v>85332120</v>
          </cell>
          <cell r="F156">
            <v>85332120</v>
          </cell>
          <cell r="G156">
            <v>85332120</v>
          </cell>
          <cell r="H156" t="str">
            <v>RESISTOR (RESISTeNCIA ELeTRICA FIXA) PRoPRIO PARA MONTAGEM EM SUPERFÍCIE SMD  390R 5por cento 100ppm POTeNCIA DE 1/16W 0402 (ref.2010101890) SMD</v>
          </cell>
        </row>
        <row r="157">
          <cell r="B157">
            <v>2010104650</v>
          </cell>
          <cell r="D157">
            <v>20633674</v>
          </cell>
          <cell r="E157">
            <v>85332120</v>
          </cell>
          <cell r="F157">
            <v>85332120</v>
          </cell>
          <cell r="G157">
            <v>85332120</v>
          </cell>
          <cell r="H157" t="str">
            <v>RESISTOR (RESISTENCIA ELETRICA FIXA) PROPRIO PARA MONTAGEM EM SUPERFICIE SMD  47R 1POR CENTO 100PPM POTENCIA DE 1/4W 1206 (REF.2010104650) (SMD)</v>
          </cell>
        </row>
        <row r="158">
          <cell r="B158">
            <v>2011100164</v>
          </cell>
          <cell r="D158">
            <v>20624810</v>
          </cell>
          <cell r="E158">
            <v>85334012</v>
          </cell>
          <cell r="F158">
            <v>85334012</v>
          </cell>
          <cell r="G158">
            <v>85334012</v>
          </cell>
          <cell r="H158" t="str">
            <v>VARISTOR (RESISTeNCIA ELeTRICA VARIaVEL NAO LINEAR SEMICONDUTORA) PARA TENSAO DE 680V 10por cento 6000A 448pF PTH (Ref.2011100164)</v>
          </cell>
        </row>
        <row r="159">
          <cell r="B159">
            <v>2150108170</v>
          </cell>
          <cell r="D159">
            <v>20610128</v>
          </cell>
          <cell r="E159">
            <v>85340033</v>
          </cell>
          <cell r="F159" t="str">
            <v>Not applicable</v>
          </cell>
          <cell r="G159">
            <v>85340033</v>
          </cell>
          <cell r="H159" t="str">
            <v>PLACA DE CIRCUITO IMPRESSO, DE NATUREZA DO MATERIAL BASE RÍGIDO, COMPOSIcAO DA PLACA DE ISOLANTE DE RESINA EPoXIDA E TECIDO DE FIBRA DE VIDRO, ESTRUTURA DE DUPLA-FACE E INTERLIGAcAO ENTRE FACES POR FUROS METALIZADOS, 2 218.69*161.99*1.6mm/27 (ref.2150108170)</v>
          </cell>
        </row>
        <row r="160">
          <cell r="B160">
            <v>2150121690</v>
          </cell>
          <cell r="D160">
            <v>20661714</v>
          </cell>
          <cell r="E160">
            <v>85340033</v>
          </cell>
          <cell r="F160" t="str">
            <v>Not applicable</v>
          </cell>
          <cell r="G160">
            <v>85340033</v>
          </cell>
          <cell r="H160" t="str">
            <v>PLACA DE CIRCUITO IMPRESSO DE NATUREZA DO MATERIAL BASE RÍGIDO, COMPOSIcAO DA PLACA COM ISOLANTE DE RESINA EPoXIDA E TECIDO DE FIBRA DE VIDRO, ESTRUTURA DE DUPLA FACE, E INTERLIGAcAO ENTRE FACES COM FUROS METALIZADOS, 2 222.05*164*1.6mm/1 SMD (ref.2150121690)</v>
          </cell>
        </row>
        <row r="161">
          <cell r="B161">
            <v>2150127660</v>
          </cell>
          <cell r="D161">
            <v>20680220</v>
          </cell>
          <cell r="E161">
            <v>85340033</v>
          </cell>
          <cell r="F161" t="str">
            <v>Not applicable</v>
          </cell>
          <cell r="G161">
            <v>85340033</v>
          </cell>
          <cell r="H161" t="str">
            <v>PLACA DE CIRCUITO IMPRESSO, DE NATUREZA DO MATERIAL BASE RÍGIDO, COMPOSIcAO DA PLACA DE ISOLANTE DE RESINA EPoXIDA E TECIDO DE FIBRA DE VIDRO, ESTRUTURA DE DUPLA-FACE E INTERLIGAcAO ENTRE FACES POR FUROS METALIZADOS,2 107.2mm 185.1mm 1.6mm 3 RoHS (ref.2150127660) SMD</v>
          </cell>
        </row>
        <row r="162">
          <cell r="B162">
            <v>2150132270</v>
          </cell>
          <cell r="D162">
            <v>20680226</v>
          </cell>
          <cell r="E162">
            <v>85340033</v>
          </cell>
          <cell r="F162" t="str">
            <v>Not applicable</v>
          </cell>
          <cell r="G162">
            <v>85340033</v>
          </cell>
          <cell r="H162" t="str">
            <v>PLACA DE CIRCUITO IMPRESSO DE NATUREZA DO MATERIAL BASE RÍGIDO, COMPOSIcAO DA PLACA COM ISOLANTE DE RESINA EPoXIDA E TECIDO DE FIBRA DE VIDRO, ESTRUTURA DE DUPLA FACE, E INTERLIGAcAO ENTRE FACES COM FUROS METALIZADOS, 2.0 222.05mm 164.0mm 1.6mm 1.0 RoHS (ref.2150132270) SMD</v>
          </cell>
        </row>
        <row r="163">
          <cell r="B163">
            <v>2150133570</v>
          </cell>
          <cell r="D163">
            <v>20610151</v>
          </cell>
          <cell r="E163">
            <v>85340033</v>
          </cell>
          <cell r="F163" t="str">
            <v>Not applicable</v>
          </cell>
          <cell r="G163">
            <v>85340033</v>
          </cell>
          <cell r="H163" t="str">
            <v>PLACA DE CIRCUITO IMPRESSO DE NATUREZA DO MATERIAL BASE RÍGIDO, COMPOSIcAO DA PLACA COM ISOLANTE DE RESINA EPoXIDA E TECIDO DE FIBRA DE VIDRO, ESTRUTURA DE DUPLA FACE, E INTERLIGAcAO ENTRE FACES COM FUROS METALIZADOS, 2 150.0mm*190.0mm*1.6mm/4 nAo-RoHS SMD (ref.2150133570)</v>
          </cell>
        </row>
        <row r="164">
          <cell r="B164">
            <v>2150135310</v>
          </cell>
          <cell r="D164">
            <v>20610149</v>
          </cell>
          <cell r="E164">
            <v>85340033</v>
          </cell>
          <cell r="F164" t="str">
            <v>Not applicable</v>
          </cell>
          <cell r="G164">
            <v>85340033</v>
          </cell>
          <cell r="H164" t="str">
            <v>PLACA DE CIRCUITO IMPRESSO DE NATUREZA DO MATERIAL BASE RÍGIDO, COMPOSIcAO DA PLACA COM ISOLANTE DE RESINA EPoXIDA E TECIDO DE FIBRA DE VIDRO, ESTRUTURA DE DUPLA FACE, E INTERLIGAcAO ENTRE FACES COM FUROS METALIZADOS, 2 173.7mm*144mm*1.6mm/1 nAo-RoHS (ref.2150135310) SMD</v>
          </cell>
        </row>
        <row r="165">
          <cell r="B165">
            <v>2150136750</v>
          </cell>
          <cell r="D165">
            <v>20680231</v>
          </cell>
          <cell r="E165">
            <v>85340033</v>
          </cell>
          <cell r="F165" t="str">
            <v>Not applicable</v>
          </cell>
          <cell r="G165">
            <v>85340033</v>
          </cell>
          <cell r="H165" t="str">
            <v>PLACA DE CIRCUITO IMPRESSO DE NATUREZA DO MATERIAL BASE RÍGIDO, COMPOSIcAO DA PLACA COM ISOLANTE DE RESINA EPoXIDA E TECIDO DE FIBRA DE VIDRO, ESTRUTURA DE DUPLA FACE, E INTERLIGAcAO ENTRE FACES COM FUROS METALIZADOS, 2 330*165*1.6mm/2 nAo-RoHS (ref.2150136750) SMD</v>
          </cell>
        </row>
        <row r="166">
          <cell r="B166">
            <v>2150143520</v>
          </cell>
          <cell r="D166">
            <v>20680245</v>
          </cell>
          <cell r="E166">
            <v>85340033</v>
          </cell>
          <cell r="F166" t="str">
            <v>Not applicable</v>
          </cell>
          <cell r="G166">
            <v>85340033</v>
          </cell>
          <cell r="H166" t="str">
            <v>PLACA DE CIRCUITO IMPRESSO DE NATUREZA DO MATERIAL BASE RÍGIDO, COMPOSIcAO DA PLACA COM ISOLANTE DE RESINA EPoXIDA E TECIDO DE FIBRA DE VIDRO, ESTRUTURA DE DUPLA FACE, E INTERLIGAcAO ENTRE FACES COM FUROS METALIZADOS, 2 101.79mm*322.0mm*1.6mm/2 nAo-RoHS (ref.2150143520) SMD</v>
          </cell>
        </row>
        <row r="167">
          <cell r="B167">
            <v>2150144440</v>
          </cell>
          <cell r="D167">
            <v>20661730</v>
          </cell>
          <cell r="E167">
            <v>85340033</v>
          </cell>
          <cell r="F167" t="str">
            <v>Not applicable</v>
          </cell>
          <cell r="G167">
            <v>85340033</v>
          </cell>
          <cell r="H167" t="str">
            <v>PLACA DE CIRCUITO IMPRESSO DE NATUREZA DO MATERIAL BASE RÍGIDO, COMPOSIcAO DA PLACA COM ISOLANTE DE RESINA EPoXIDA E TECIDO DE FIBRA DE VIDRO, ESTRUTURA DE DUPLA FACE, E INTERLIGAcAO ENTRE FACES COM FUROS METALIZADOS, 2 180.00 mm 150.0 mm 1.6 mm nAo-RoHS/4 (ref.2150144440) SMD</v>
          </cell>
        </row>
        <row r="168">
          <cell r="B168">
            <v>2150147830</v>
          </cell>
          <cell r="D168">
            <v>20661735</v>
          </cell>
          <cell r="E168">
            <v>85340033</v>
          </cell>
          <cell r="F168" t="str">
            <v>Not applicable</v>
          </cell>
          <cell r="G168">
            <v>85340033</v>
          </cell>
          <cell r="H168" t="str">
            <v>PLACA DE CIRCUITO IMPRESSO DE NATUREZA DO MATERIAL BASE RÍGIDO, COMPOSIcAO DA PLACA COM ISOLANTE DE RESINA EPoXIDA E TECIDO DE FIBRA DE VIDRO, ESTRUTURA DE DUPLA FACE, E INTERLIGAcAO ENTRE FACES COM FUROS METALIZADOS, 2 205.98mm*117.0mm*1.6mm/2 nAo-RoHS (ref.2150147830) SMD</v>
          </cell>
        </row>
        <row r="169">
          <cell r="B169">
            <v>2150148810</v>
          </cell>
          <cell r="D169">
            <v>20661738</v>
          </cell>
          <cell r="E169">
            <v>85340033</v>
          </cell>
          <cell r="F169" t="str">
            <v>Not applicable</v>
          </cell>
          <cell r="G169">
            <v>85340033</v>
          </cell>
          <cell r="H169" t="str">
            <v>PLACA DE CIRCUITO IMPRESSO DE NATUREZA DO MATERIAL BASE RÍGIDO, COMPOSIcAO DA PLACA COM ISOLANTE DE RESINA EPoXIDA E TECIDO DE FIBRA DE VIDRO, ESTRUTURA DE DUPLA FACE, E INTERLIGAcAO ENTRE FACES COM FUROS METALIZADOS, 2 233.0mm*160.0mm*1.6mm/4 nAo-RoHS (ref.2150148810) SMD</v>
          </cell>
        </row>
        <row r="170">
          <cell r="B170">
            <v>2150121340</v>
          </cell>
          <cell r="D170">
            <v>20610136</v>
          </cell>
          <cell r="E170">
            <v>85340033</v>
          </cell>
          <cell r="F170" t="str">
            <v>Not applicable</v>
          </cell>
          <cell r="G170">
            <v>85340033</v>
          </cell>
          <cell r="H170" t="str">
            <v>PLACA DE CIRCUITO IMPRESSO DE NATUREZA DO MATERIAL BASE RÍGIDO, COMPOSIcAO DA PLACA COM ISOLANTE DE RESINA EPoXIDA E TECIDO DE FIBRA DE VIDRO, ESTRUTURA DE DUPLA FACE, E INTERLIGAcAO ENTRE FACES COM FUROS METALIZADOS, 2 234*104.5*1.6mm/2 SMD (ref.2150121340)</v>
          </cell>
        </row>
        <row r="171">
          <cell r="B171">
            <v>2150121700</v>
          </cell>
          <cell r="D171">
            <v>20610401</v>
          </cell>
          <cell r="E171">
            <v>85340033</v>
          </cell>
          <cell r="F171" t="str">
            <v>Not applicable</v>
          </cell>
          <cell r="G171">
            <v>85340033</v>
          </cell>
          <cell r="H171" t="str">
            <v>PLACA DE CIRCUITO IMPRESSO DE NATUREZA DO MATERIAL BASE RÍGIDO, COMPOSIcAO DA PLACA COM ISOLANTE DE RESINA EPoXIDA E TECIDO DE FIBRA DE VIDRO, ESTRUTURA DE DUPLA FACE, E INTERLIGAcAO ENTRE FACES COM FUROS METALIZADOS, 2 117*206*1.6mm/1 SMD (ref.2150121700)</v>
          </cell>
        </row>
        <row r="172">
          <cell r="B172">
            <v>2150128740</v>
          </cell>
          <cell r="D172">
            <v>20610145</v>
          </cell>
          <cell r="E172">
            <v>85340033</v>
          </cell>
          <cell r="F172" t="str">
            <v>Not applicable</v>
          </cell>
          <cell r="G172">
            <v>85340033</v>
          </cell>
          <cell r="H172" t="str">
            <v>PLACA DE CIRCUITO IMPRESSO, DE NATUREZA DO MATERIAL BASE RÍGIDO,  COMPOSIcAO DA PLACA DE ISOLANTE DE RESINA EPoXIDA E TECIDO DE FIBRA DE VIDRO, ESTRUTURA DE DUPLA-FACE E INTERLIGAcAO ENTRE FACES POR FUROS METALIZADOS, 354.4346mm; 138.3787mm; 1.6mm SMD (ref.2150128740)</v>
          </cell>
        </row>
        <row r="173">
          <cell r="B173">
            <v>2150130590</v>
          </cell>
          <cell r="D173">
            <v>20680221</v>
          </cell>
          <cell r="E173">
            <v>85340033</v>
          </cell>
          <cell r="F173" t="str">
            <v>Not applicable</v>
          </cell>
          <cell r="G173">
            <v>85340033</v>
          </cell>
          <cell r="H173" t="str">
            <v>PLACA DE CIRCUITO IMPRESSO DE NATUREZA DO MATERIAL BASE RÍGIDO, COMPOSIcAO DA PLACA COM ISOLANTE DE RESINA EPoXIDA E TECIDO DE FIBRA DE VIDRO, ESTRUTURA DE DUPLA FACE, E INTERLIGAcAO ENTRE FACES COM FUROS METALIZADOS, 2 311.07*169*1.6mm/2 (ref.2150130590) SMD</v>
          </cell>
        </row>
        <row r="174">
          <cell r="B174">
            <v>2150142980</v>
          </cell>
          <cell r="D174">
            <v>20661725</v>
          </cell>
          <cell r="E174">
            <v>85340033</v>
          </cell>
          <cell r="F174" t="str">
            <v>Not applicable</v>
          </cell>
          <cell r="G174">
            <v>85340033</v>
          </cell>
          <cell r="H174" t="str">
            <v>PLACA DE CIRCUITO IMPRESSO DE NATUREZA DO MATERIAL BASE RÍGIDO, COMPOSIcAO DA PLACA COM ISOLANTE DE RESINA EPoXIDA E TECIDO DE FIBRA DE VIDRO, ESTRUTURA DE DUPLA FACE, E INTERLIGAcAO ENTRE FACES COM FUROS METALIZADOS, 2 106mm 322mm 1.6mm 2 nAo-RoHS/2 (ref.2150142980) SMD</v>
          </cell>
        </row>
        <row r="175">
          <cell r="B175">
            <v>2010100340</v>
          </cell>
          <cell r="D175">
            <v>20633523</v>
          </cell>
          <cell r="E175">
            <v>85332120</v>
          </cell>
          <cell r="F175">
            <v>85332120</v>
          </cell>
          <cell r="G175">
            <v>85332120</v>
          </cell>
          <cell r="H175" t="str">
            <v>RESISTOR (RESISTeNCIA ELeTRICA FIXA) PRoPRIO PARA MONTAGEM EM SUPERFÍCIE SMD 08052K  1％ 100PPM  DE POTeNCIA 1/8W (REF. R04035 - ref.2010100340)</v>
          </cell>
        </row>
        <row r="176">
          <cell r="B176">
            <v>2020300021</v>
          </cell>
          <cell r="D176">
            <v>20672605</v>
          </cell>
          <cell r="E176">
            <v>85322200</v>
          </cell>
          <cell r="F176">
            <v>85322200</v>
          </cell>
          <cell r="G176">
            <v>85322200</v>
          </cell>
          <cell r="H176" t="str">
            <v>CAPACITOR (CONDENSADOR ELeTRICO FIXO) ELETROLÍTICO DE ALUMÍNIO 1uF 20％ 50V 2000 hour (REF. C07060-1 - ref.2020300021)</v>
          </cell>
        </row>
        <row r="177">
          <cell r="B177">
            <v>2020300042</v>
          </cell>
          <cell r="D177">
            <v>20660413</v>
          </cell>
          <cell r="E177">
            <v>85322200</v>
          </cell>
          <cell r="F177">
            <v>85322200</v>
          </cell>
          <cell r="H177" t="str">
            <v>CAPACITOR (CONDENSADOR ELeTRICO FIXO) ELETROLITICO  DE ALUMÍNIO  470uF 20por cento 10V GH 6000h RAD 8-3.5mm*12mm PTH (ref.2020300042)</v>
          </cell>
        </row>
        <row r="178">
          <cell r="B178">
            <v>2020300102</v>
          </cell>
          <cell r="D178">
            <v>20660643</v>
          </cell>
          <cell r="E178">
            <v>85322200</v>
          </cell>
          <cell r="F178">
            <v>85322200</v>
          </cell>
          <cell r="G178">
            <v>85322200</v>
          </cell>
          <cell r="H178" t="str">
            <v>CAPACITOR (CONDENSADOR ELeTRICO FIXO) ELETROLITICO  DE ALUMÍNIO  470µF 25V 20por cento WH 2000h RAD-5mm/F10*13mm (ref.2020300102) PTH</v>
          </cell>
        </row>
        <row r="179">
          <cell r="B179">
            <v>2020300112</v>
          </cell>
          <cell r="D179">
            <v>20660652</v>
          </cell>
          <cell r="E179">
            <v>85322200</v>
          </cell>
          <cell r="F179">
            <v>85322200</v>
          </cell>
          <cell r="G179">
            <v>85322200</v>
          </cell>
          <cell r="H179" t="str">
            <v>CAPACITOR (CONDENSADOR ELeTRICO FIXO) ELETROLÍTICO  DE ALUMÍNIO  1000.0µF 25V 20por cento Ø10 * 20mm RAD-5mm PTH (ref.2020300112)</v>
          </cell>
        </row>
        <row r="180">
          <cell r="B180">
            <v>2020300171</v>
          </cell>
          <cell r="D180">
            <v>20672606</v>
          </cell>
          <cell r="E180">
            <v>85322200</v>
          </cell>
          <cell r="F180">
            <v>85322200</v>
          </cell>
          <cell r="G180">
            <v>85322200</v>
          </cell>
          <cell r="H180" t="str">
            <v>CAPACITOR (CONDENSADOR ELeTRICO FIXO) ELETROLÍTICO DE ALUMÍNIO 4.7uF  450V 5000 hour (REF. C07530-1 -ref.2020300171)</v>
          </cell>
        </row>
        <row r="181">
          <cell r="B181">
            <v>2020300201</v>
          </cell>
          <cell r="D181">
            <v>20672609</v>
          </cell>
          <cell r="E181">
            <v>85322200</v>
          </cell>
          <cell r="F181">
            <v>85322200</v>
          </cell>
          <cell r="G181">
            <v>85322200</v>
          </cell>
          <cell r="H181" t="str">
            <v>CAPACITOR (CONDENSADOR ELeTRICO FIXO) ELETROLÍTICO DE ALUMÍNIO 220uF 20por cento 25V (REF. C07002-1 - ref.2020300201)</v>
          </cell>
        </row>
        <row r="182">
          <cell r="B182">
            <v>2020300242</v>
          </cell>
          <cell r="D182">
            <v>20672601</v>
          </cell>
          <cell r="E182">
            <v>85322200</v>
          </cell>
          <cell r="F182">
            <v>85322200</v>
          </cell>
          <cell r="G182">
            <v>85322200</v>
          </cell>
          <cell r="H182" t="str">
            <v>CAPACITOR (CONDENSADOR ELeTRICO FIXO) ELETROLÍTICO DE ALUMÍNIO 100uF 20por cento 16V 2000 hours (REF. C07011-2 - ref.2020300242)</v>
          </cell>
        </row>
        <row r="183">
          <cell r="B183">
            <v>2020300454</v>
          </cell>
          <cell r="D183">
            <v>20660661</v>
          </cell>
          <cell r="E183">
            <v>85322200</v>
          </cell>
          <cell r="F183">
            <v>85322200</v>
          </cell>
          <cell r="G183">
            <v>85322200</v>
          </cell>
          <cell r="H183" t="str">
            <v>CAPACITOR (CONDENSADOR ELeTRICO FIXO) ELETROLITICO  DE ALUMÍNIO  470uF 20por cento 16V EGH RAD-5mm/10*13mm (2020300454) PTH</v>
          </cell>
        </row>
        <row r="184">
          <cell r="B184">
            <v>2020300571</v>
          </cell>
          <cell r="D184">
            <v>20660612</v>
          </cell>
          <cell r="E184">
            <v>85322200</v>
          </cell>
          <cell r="F184">
            <v>85322200</v>
          </cell>
          <cell r="G184">
            <v>85322200</v>
          </cell>
          <cell r="H184" t="str">
            <v>CAPACITOR (CONDENSADOR ELeTRICO FIXO) ELETROLITICO DE ALUMÍNIO 47uF 20por cento 50V YXF RAD-2.5mm PTH (ref.2020300571)</v>
          </cell>
        </row>
        <row r="185">
          <cell r="B185">
            <v>2020300581</v>
          </cell>
          <cell r="D185">
            <v>20660625</v>
          </cell>
          <cell r="E185">
            <v>85322200</v>
          </cell>
          <cell r="F185">
            <v>85322200</v>
          </cell>
          <cell r="G185">
            <v>85322200</v>
          </cell>
          <cell r="H185" t="str">
            <v>CAPACITOR (CONDENSADOR ELeTRICO FIXO) ELETROLÍTICO DE ALUMÍNIO PTH 10uF 20por cento 400V CS RAD-5mm (ref.2020300581)</v>
          </cell>
        </row>
        <row r="186">
          <cell r="B186">
            <v>2020300651</v>
          </cell>
          <cell r="D186">
            <v>20660407</v>
          </cell>
          <cell r="E186">
            <v>85322200</v>
          </cell>
          <cell r="F186">
            <v>85322200</v>
          </cell>
          <cell r="G186">
            <v>85322200</v>
          </cell>
          <cell r="H186" t="str">
            <v>CAPACITOR (CONDENSADOR ELeTRICO FIXO) ELETROLÍTICO DE ALUMÍNIO PTH 470uF 20por cento 10V KYA RAD-3.5mm (ref.2020300651)</v>
          </cell>
        </row>
        <row r="187">
          <cell r="B187">
            <v>2020300722</v>
          </cell>
          <cell r="D187">
            <v>20660658</v>
          </cell>
          <cell r="E187">
            <v>85322200</v>
          </cell>
          <cell r="F187">
            <v>85322200</v>
          </cell>
          <cell r="G187">
            <v>85322200</v>
          </cell>
          <cell r="H187" t="str">
            <v>CAPACITOR (CONDENSADOR ELeTRICO FIXO) ELETROLITICO  DE ALUMÍNIO  220uF 20por cento 25V GH 5000h RAD-2.5mm/6.3*11mm PTH (2020300722)</v>
          </cell>
        </row>
        <row r="188">
          <cell r="B188">
            <v>2020300921</v>
          </cell>
          <cell r="D188">
            <v>20672607</v>
          </cell>
          <cell r="E188">
            <v>85322200</v>
          </cell>
          <cell r="F188">
            <v>85322200</v>
          </cell>
          <cell r="G188">
            <v>85322200</v>
          </cell>
          <cell r="H188" t="str">
            <v>CAPACITOR (CONDENSADOR ELeTRICO FIXO) ELETROLÍTICO DE ALUMÍNIO 10uF 20por cento 63V 2000 (REF. C07074 - ref.2020300921)</v>
          </cell>
        </row>
        <row r="189">
          <cell r="B189">
            <v>2020300922</v>
          </cell>
          <cell r="D189">
            <v>20672652</v>
          </cell>
          <cell r="E189">
            <v>85322200</v>
          </cell>
          <cell r="F189">
            <v>85322200</v>
          </cell>
          <cell r="G189">
            <v>85322200</v>
          </cell>
          <cell r="H189" t="str">
            <v>CAPACITOR (CONDENSADOR ELeTRICO FIXO) ELETROLITICO  DE ALUMÍNIO  10uF 20por cento 63V WH 2000h RAD-2mm/5*11mm PTH (2020300922)</v>
          </cell>
        </row>
        <row r="190">
          <cell r="B190">
            <v>2020301021</v>
          </cell>
          <cell r="D190">
            <v>20672626</v>
          </cell>
          <cell r="E190">
            <v>85322200</v>
          </cell>
          <cell r="F190">
            <v>85322200</v>
          </cell>
          <cell r="G190">
            <v>85322200</v>
          </cell>
          <cell r="H190" t="str">
            <v>CAPACITOR (CONDENSADOR ELeTRICO FIXO) ELETROLITICO DE ALUMÍNIO 220uF 20por cento 10V YXF RAD-2.5mm (ref.2020301021)</v>
          </cell>
        </row>
        <row r="191">
          <cell r="B191">
            <v>2020301121</v>
          </cell>
          <cell r="D191">
            <v>20672625</v>
          </cell>
          <cell r="E191">
            <v>85322200</v>
          </cell>
          <cell r="F191">
            <v>85322200</v>
          </cell>
          <cell r="G191">
            <v>85322200</v>
          </cell>
          <cell r="H191" t="str">
            <v>CAPACITOR (CONDENSADOR ELeTRICO FIXO) ELETROLITICO DE ALUMÍNIO 220uF 20por cento 25V YXF RAD-3.5mm (ref.2020301121)</v>
          </cell>
        </row>
        <row r="192">
          <cell r="B192">
            <v>2020301201</v>
          </cell>
          <cell r="D192">
            <v>20660634</v>
          </cell>
          <cell r="E192">
            <v>85322200</v>
          </cell>
          <cell r="F192">
            <v>85322200</v>
          </cell>
          <cell r="G192">
            <v>85322200</v>
          </cell>
          <cell r="H192" t="str">
            <v>CAPACITOR (CONDENSADOR ELeTRICO FIXO) ELETROLÍTICO DE ALUMÍNIO PTH 22uF 400V (ref.2020301201)</v>
          </cell>
        </row>
        <row r="193">
          <cell r="B193">
            <v>2020302651</v>
          </cell>
          <cell r="D193">
            <v>20672672</v>
          </cell>
          <cell r="E193">
            <v>85322200</v>
          </cell>
          <cell r="F193">
            <v>85322200</v>
          </cell>
          <cell r="G193">
            <v>85322200</v>
          </cell>
          <cell r="H193" t="str">
            <v>CAPACITOR (CONDENSADOR ELeTRICO FIXO) ELETROLÍTICO  DE ALUMÍNIO  22uF 400V ±20por cento 10000h RAD-5F13*20mm PTH (2020302651)</v>
          </cell>
        </row>
        <row r="194">
          <cell r="B194">
            <v>2020302741</v>
          </cell>
          <cell r="D194">
            <v>20660655</v>
          </cell>
          <cell r="E194">
            <v>85322200</v>
          </cell>
          <cell r="F194">
            <v>85322200</v>
          </cell>
          <cell r="G194">
            <v>85322200</v>
          </cell>
          <cell r="H194" t="str">
            <v>CAPACITOR (CONDENSADOR ELeTRICO FIXO) ELETROLITICO  DE ALUMÍNIO  1000µF 16V 20por cento RAD-5mm/F10*16mm (2020302741) PTH</v>
          </cell>
        </row>
        <row r="195">
          <cell r="B195">
            <v>2020302761</v>
          </cell>
          <cell r="D195">
            <v>20672660</v>
          </cell>
          <cell r="E195">
            <v>85322200</v>
          </cell>
          <cell r="F195">
            <v>85322200</v>
          </cell>
          <cell r="G195">
            <v>85322200</v>
          </cell>
          <cell r="H195" t="str">
            <v>CAPACITOR (CONDENSADOR ELeTRICO FIXO) ELETROLÍTICO  DE ALUMÍNIO  100µF 25V 20por cento YXJ 5000h RAD-2mm/5*11mm PTH (2020302761)</v>
          </cell>
        </row>
        <row r="196">
          <cell r="B196">
            <v>2020500101</v>
          </cell>
          <cell r="D196">
            <v>20660604</v>
          </cell>
          <cell r="E196">
            <v>85322590</v>
          </cell>
          <cell r="F196">
            <v>85322590</v>
          </cell>
          <cell r="G196">
            <v>85322590</v>
          </cell>
          <cell r="H196" t="str">
            <v xml:space="preserve">CAPACITOR (CONDENSADOR ELeTRICO FIXO), COM DIELeTRICO DE PLaSTICO (FILME), METALIZADO, PRoPRIO PARA MONTAGEM EM SUPERFÍCIE PTH 100nF 10por cento 275V black (REF. C09048 - ref.2020500101) </v>
          </cell>
        </row>
        <row r="197">
          <cell r="B197">
            <v>2020500322</v>
          </cell>
          <cell r="D197">
            <v>20660409</v>
          </cell>
          <cell r="E197">
            <v>85322200</v>
          </cell>
          <cell r="F197">
            <v>85322200</v>
          </cell>
          <cell r="G197">
            <v>85322200</v>
          </cell>
          <cell r="H197" t="str">
            <v>CAPACITOR (CONDENSADOR ELeTRICO FIXO) ELETROLÍTICO DE ALUMÍNIO PTH 220nF 10por cento 330V 18*13.5*6mm RAD-15mm (ref.2020500322)</v>
          </cell>
        </row>
        <row r="198">
          <cell r="B198">
            <v>2020500672</v>
          </cell>
          <cell r="D198">
            <v>20672661</v>
          </cell>
          <cell r="E198">
            <v>85322590</v>
          </cell>
          <cell r="F198">
            <v>85322590</v>
          </cell>
          <cell r="G198">
            <v>85322590</v>
          </cell>
          <cell r="H198" t="str">
            <v>CAPACITOR (CONDENSADOR ELeTRICO FIXO), COM DIELeTRICO DE PLaSTICO (FILME), METALIZADO, PRoPRIO PARA MONTAGEM EM SUPERFÍCIE PTH 100nF 10por cento 330V RAD-15mm/18*6*12mm (Ref.2020500672)</v>
          </cell>
        </row>
        <row r="199">
          <cell r="B199">
            <v>2020500781</v>
          </cell>
          <cell r="D199">
            <v>20670019</v>
          </cell>
          <cell r="E199">
            <v>85322590</v>
          </cell>
          <cell r="F199">
            <v>85322590</v>
          </cell>
          <cell r="G199">
            <v>85322590</v>
          </cell>
          <cell r="H199" t="str">
            <v>CAPACITOR (CONDENSADOR ELeTRICO FIXO), COM DIELeTRICO DE PLaSTICO (FILME), METALIZADO, PRoPRIO PARA MONTAGEM EM SUPERFÍCIE PTH  22nF 10por cento 330V RAD-10mm/12*11*5mm (Ref.2020500781)</v>
          </cell>
        </row>
        <row r="200">
          <cell r="B200">
            <v>2020700201</v>
          </cell>
          <cell r="D200">
            <v>20672627</v>
          </cell>
          <cell r="E200">
            <v>85322200</v>
          </cell>
          <cell r="F200">
            <v>85322200</v>
          </cell>
          <cell r="G200">
            <v>85322200</v>
          </cell>
          <cell r="H200" t="str">
            <v>CAPACITOR (CONDENSADOR ELeTRICO FIXO) ELETROLITICO DE ALUMÍNIO 4.7nF,10por cento,1000V,RAD-7.5mm (ref.2020700201)</v>
          </cell>
        </row>
        <row r="201">
          <cell r="B201">
            <v>2030700651</v>
          </cell>
          <cell r="D201">
            <v>20650121</v>
          </cell>
          <cell r="E201">
            <v>85045010</v>
          </cell>
          <cell r="F201" t="str">
            <v>Need to update benefit</v>
          </cell>
          <cell r="G201">
            <v>85045000</v>
          </cell>
          <cell r="H201" t="str">
            <v>Bobina de auto-inducao (indutor) de chip de 2.2mH, para montagem por insercao (PTH), de frequencia de 1kHz, tolerancia de 10%, intensidade de corrente de 0.12A, 6Ω de resistencia, RAD-3mm/7.5 mm de comprimento, 5.0mm de largura e 11 mm de altura.</v>
          </cell>
        </row>
        <row r="202">
          <cell r="B202">
            <v>2030900172</v>
          </cell>
          <cell r="D202">
            <v>20650114</v>
          </cell>
          <cell r="E202">
            <v>85045010</v>
          </cell>
          <cell r="F202" t="str">
            <v>Need to update benefit</v>
          </cell>
          <cell r="G202">
            <v>85045000</v>
          </cell>
          <cell r="H202" t="str">
            <v>Bobina de auto-inducao (indutor) de chip, para montagem por insercao (PTH), de 80Ω de resistencia por 100MHZ de frequencia, de 20Ω de resistencia por 10MHZ de frequencia, intensidade de corrente de 3A, 3.5mm de comprimento, 5.0mm de largura e 6mm de altura.</v>
          </cell>
        </row>
        <row r="203">
          <cell r="B203">
            <v>2060100141</v>
          </cell>
          <cell r="D203">
            <v>20633757</v>
          </cell>
          <cell r="E203">
            <v>85411011</v>
          </cell>
          <cell r="F203">
            <v>85411011</v>
          </cell>
          <cell r="G203">
            <v>85411011</v>
          </cell>
          <cell r="H203" t="str">
            <v>DISPOSITIVO SEMICONDUTOR TIPO DIODO ZENER, NAO MONTADO, DE INTENSIDADE DE CORRENTE 1A - DO-41 1.1V 2000V (ref.2060100141)</v>
          </cell>
        </row>
        <row r="204">
          <cell r="B204">
            <v>2060100171</v>
          </cell>
          <cell r="D204">
            <v>20630105</v>
          </cell>
          <cell r="E204">
            <v>85411012</v>
          </cell>
          <cell r="F204">
            <v>85411012</v>
          </cell>
          <cell r="G204">
            <v>85411012</v>
          </cell>
          <cell r="H204" t="str">
            <v>DISPOSITIVO SEMICONDUTOR TIPO DIODO RETIFICADOR, NAO MONTADO, DE INTENSIDADE DE CORRENTE 0,2A (ref.2060100171)</v>
          </cell>
        </row>
        <row r="205">
          <cell r="B205">
            <v>2060302030</v>
          </cell>
          <cell r="D205">
            <v>20633732</v>
          </cell>
          <cell r="E205">
            <v>85411011</v>
          </cell>
          <cell r="F205">
            <v>85411011</v>
          </cell>
          <cell r="G205">
            <v>85411011</v>
          </cell>
          <cell r="H205" t="str">
            <v>DISPOSITIVO SEMICONDUTOR TIPO DIODO ZENER, NAO MONTADO, DE INTENSIDADE DE CORRENTE 1,1A - 400V,600W (2060302030) PTH</v>
          </cell>
        </row>
        <row r="206">
          <cell r="B206">
            <v>2060302060</v>
          </cell>
          <cell r="D206">
            <v>20690617</v>
          </cell>
          <cell r="E206">
            <v>85411019</v>
          </cell>
          <cell r="F206">
            <v>85411019</v>
          </cell>
          <cell r="G206">
            <v>85411019</v>
          </cell>
          <cell r="H206" t="str">
            <v>DIODO TIPO TVS, NAO MONTADO, DE INTENSIDADE DE CORRENTE 1A, 600W 22,5V DO-15 (2060302060) PTH</v>
          </cell>
        </row>
        <row r="207">
          <cell r="B207">
            <v>2100300012</v>
          </cell>
          <cell r="D207">
            <v>20691538</v>
          </cell>
          <cell r="E207">
            <v>85043111</v>
          </cell>
          <cell r="F207">
            <v>85043111</v>
          </cell>
          <cell r="G207">
            <v>85043111</v>
          </cell>
          <cell r="H207" t="str">
            <v>TRANSFORMADOR ELeTRICO DE CORRENTE,  POTeNCIA 0,1kVA, FREQUeNCIA 50HZ, EE25 700-800uH 25uH 2 28*22*15mm (ref.2100300012)</v>
          </cell>
        </row>
        <row r="208">
          <cell r="B208">
            <v>2100300342</v>
          </cell>
          <cell r="D208">
            <v>20691542</v>
          </cell>
          <cell r="E208">
            <v>85043111</v>
          </cell>
          <cell r="F208">
            <v>85043111</v>
          </cell>
          <cell r="G208">
            <v>85043111</v>
          </cell>
          <cell r="H208" t="str">
            <v>TRANSFORMADOR ELeTRICO DE CORRENTE ,  POTeNCIA 0,1kVA,  FREQUENCIA 50 HZ, EE20 1mH 10por cento 50uH 2 (13T/13T) 24*23*18mm PTH(2100300342)</v>
          </cell>
        </row>
        <row r="209">
          <cell r="B209">
            <v>2100301112</v>
          </cell>
          <cell r="D209">
            <v>20691569</v>
          </cell>
          <cell r="E209">
            <v>85043199</v>
          </cell>
          <cell r="F209">
            <v>85043199</v>
          </cell>
          <cell r="G209">
            <v>85043199</v>
          </cell>
          <cell r="H209" t="str">
            <v>TRANSFORMADOR  ELeTRICO, POTeNCIA 0,1kVA, DE ALTA FREQUeNCIA 42 KHZ 90uH 0µH 2 4200V EE20 23*22*18.5mm PTH (2100301112)</v>
          </cell>
        </row>
        <row r="210">
          <cell r="B210">
            <v>2100301361</v>
          </cell>
          <cell r="D210">
            <v>20691567</v>
          </cell>
          <cell r="E210">
            <v>85043199</v>
          </cell>
          <cell r="F210">
            <v>85043199</v>
          </cell>
          <cell r="G210">
            <v>85043199</v>
          </cell>
          <cell r="H210" t="str">
            <v>TRANSFORMADOR  ELeTRICO, POTeNCIA 0,1kVA, DE ALTA FREQUeNCIA 42 KHZ 1.8mH 100uH 2 26T 4200/1500VAC EE17 19mm*17mm*18 PTH (2100301361)</v>
          </cell>
        </row>
        <row r="211">
          <cell r="B211">
            <v>3080100010</v>
          </cell>
          <cell r="D211">
            <v>20470615</v>
          </cell>
          <cell r="E211">
            <v>40169990</v>
          </cell>
          <cell r="F211">
            <v>40169990</v>
          </cell>
          <cell r="G211">
            <v>40169990</v>
          </cell>
          <cell r="H211" t="str">
            <v>VedacAo de Borracha vulcanizada nAo endurecida para Bateria (REF. 8.370.1CH00 - Ref. 3080100010)</v>
          </cell>
        </row>
        <row r="212">
          <cell r="B212">
            <v>3080300190</v>
          </cell>
          <cell r="D212">
            <v>11220605</v>
          </cell>
          <cell r="E212">
            <v>40169990</v>
          </cell>
          <cell r="F212">
            <v>40169990</v>
          </cell>
          <cell r="G212">
            <v>40169990</v>
          </cell>
          <cell r="H212" t="str">
            <v>Silicone de VedacAo de Borracha vulcanizada nAo endurecida  - Tamanho 2mm  (Ref.3080300190)</v>
          </cell>
        </row>
        <row r="213">
          <cell r="B213">
            <v>3080500050</v>
          </cell>
          <cell r="D213">
            <v>20470619</v>
          </cell>
          <cell r="E213">
            <v>40169990</v>
          </cell>
          <cell r="F213">
            <v>40169990</v>
          </cell>
          <cell r="G213">
            <v>40169990</v>
          </cell>
          <cell r="H213" t="str">
            <v>Tubo de borracha vulcanizada nAo endurecida de silicone  para vedacAo de botAo de sensor de abertura ARES 30/200 (ref.3080500050)</v>
          </cell>
        </row>
        <row r="214">
          <cell r="B214">
            <v>3080500130</v>
          </cell>
          <cell r="D214">
            <v>20470629</v>
          </cell>
          <cell r="E214">
            <v>40169990</v>
          </cell>
          <cell r="F214">
            <v>40169990</v>
          </cell>
          <cell r="G214">
            <v>40169990</v>
          </cell>
          <cell r="H214" t="str">
            <v>BotAo de de Borracha vulcanizada nAo endurecida de silicone para Demanda e Mostrador (Ref.3080500130)</v>
          </cell>
        </row>
        <row r="215">
          <cell r="B215">
            <v>3080500380</v>
          </cell>
          <cell r="D215">
            <v>20470627</v>
          </cell>
          <cell r="E215">
            <v>40169990</v>
          </cell>
          <cell r="F215">
            <v>40169990</v>
          </cell>
          <cell r="G215">
            <v>40169990</v>
          </cell>
          <cell r="H215" t="str">
            <v>BotAo de Borracha vulcanizada nAo endurecida de silicone do Sensor da Tampa Principal (Ref.3080500380)</v>
          </cell>
        </row>
        <row r="216">
          <cell r="B216">
            <v>3080500390</v>
          </cell>
          <cell r="D216">
            <v>20470630</v>
          </cell>
          <cell r="E216">
            <v>40169990</v>
          </cell>
          <cell r="F216">
            <v>40169990</v>
          </cell>
          <cell r="G216">
            <v>40169990</v>
          </cell>
          <cell r="H216" t="str">
            <v>BotAo de Borracha vulcanizada nAo endurecida de silicone para Demanda e Mostrador RoHS (Ref.3080500390)</v>
          </cell>
        </row>
        <row r="217">
          <cell r="B217">
            <v>3080500400</v>
          </cell>
          <cell r="D217">
            <v>20470628</v>
          </cell>
          <cell r="E217">
            <v>40169990</v>
          </cell>
          <cell r="F217">
            <v>40169990</v>
          </cell>
          <cell r="G217">
            <v>40169990</v>
          </cell>
          <cell r="H217" t="str">
            <v>BotAo de Borracha vulcanizada nAo endurecida de silicone para Demanda e Mostrador RoHS (Ref.3080500400)</v>
          </cell>
        </row>
        <row r="218">
          <cell r="B218">
            <v>3080700120</v>
          </cell>
          <cell r="D218">
            <v>20473200</v>
          </cell>
          <cell r="E218">
            <v>40169990</v>
          </cell>
          <cell r="F218">
            <v>40169990</v>
          </cell>
          <cell r="G218">
            <v>40169990</v>
          </cell>
          <cell r="H218" t="str">
            <v>Anel de VedacAo de borracha vulcanizada nAo endurecida (ref.3080700120)</v>
          </cell>
        </row>
        <row r="219">
          <cell r="B219" t="str">
            <v>HXEJ201.R110</v>
          </cell>
          <cell r="D219">
            <v>40211112</v>
          </cell>
          <cell r="E219">
            <v>90283031</v>
          </cell>
          <cell r="F219" t="str">
            <v>Not applicable</v>
          </cell>
          <cell r="H219" t="str">
            <v>Contador de Eletricidade Trifasico Digital com bobina de Rogowski (HXEJ201.R110)</v>
          </cell>
        </row>
        <row r="220">
          <cell r="B220">
            <v>2020100010</v>
          </cell>
          <cell r="D220">
            <v>20670004</v>
          </cell>
          <cell r="E220">
            <v>85322310</v>
          </cell>
          <cell r="F220" t="str">
            <v>Not applicable</v>
          </cell>
          <cell r="G220">
            <v>85322310</v>
          </cell>
          <cell r="H220" t="str">
            <v>CAPACITOR (CONDENSDOR ELeTRICO FIXO) COM DIELeTRICO DE CERAMICA DE UMA So CAMADA PRoPRIO PARA MONTAGEM EM SUPERFÍCIE SMD 4.7uF 10por cento 10V X5R 0603 (REF. C01034 - ref.2020100010)</v>
          </cell>
        </row>
        <row r="221">
          <cell r="B221">
            <v>2020100030</v>
          </cell>
          <cell r="D221">
            <v>20672511</v>
          </cell>
          <cell r="E221">
            <v>85322310</v>
          </cell>
          <cell r="F221" t="str">
            <v>Not applicable</v>
          </cell>
          <cell r="G221">
            <v>85322310</v>
          </cell>
          <cell r="H221" t="str">
            <v>CAPACITOR (CONDENSDOR ELeTRICO FIXO) COM DIELeTRICO DE CERAMICA DE UMA So CAMADA  PRoPRIO PARA MONTAGEM EM SUPERFÍCIE SMD 330pF 5por cento 50V  NPO (REF. C02032 -ref.2020100030)</v>
          </cell>
        </row>
        <row r="222">
          <cell r="B222">
            <v>2020100040</v>
          </cell>
          <cell r="D222">
            <v>20672529</v>
          </cell>
          <cell r="E222">
            <v>85322310</v>
          </cell>
          <cell r="F222" t="str">
            <v>Not applicable</v>
          </cell>
          <cell r="G222">
            <v>85322310</v>
          </cell>
          <cell r="H222" t="str">
            <v>CAPACITOR (CONDENSDOR ELeTRICO FIXO) COM DIELeTRICO DE CERAMICA DE UMA So CAMADA PRoPRIO PARA MONTAGEM EM SUPERFÍCIE SMD 0603 10uF 20por cento  6.3V X5R 0603 (REF. C02030 - ref.2020100040)</v>
          </cell>
        </row>
        <row r="223">
          <cell r="B223">
            <v>2020100050</v>
          </cell>
          <cell r="D223">
            <v>20670003</v>
          </cell>
          <cell r="E223">
            <v>85322310</v>
          </cell>
          <cell r="F223" t="str">
            <v>Not applicable</v>
          </cell>
          <cell r="G223">
            <v>85322310</v>
          </cell>
          <cell r="H223" t="str">
            <v>CAPACITOR (CONDENSDOR ELeTRICO FIXO) COM DIELeTRICO DE CERAMICA DE UMA So CAMADA PRoPRIO PARA MONTAGEM EM SUPERFÍCIE SMD 060315nF 10por cento 50V X7R (REF. C02026 - ref.2020100050)</v>
          </cell>
        </row>
        <row r="224">
          <cell r="B224">
            <v>2020100070</v>
          </cell>
          <cell r="D224">
            <v>20672510</v>
          </cell>
          <cell r="E224">
            <v>85322310</v>
          </cell>
          <cell r="F224" t="str">
            <v>Not applicable</v>
          </cell>
          <cell r="G224">
            <v>85322310</v>
          </cell>
          <cell r="H224" t="str">
            <v>CAPACITOR (CONDENSDOR ELeTRICO FIXO) COM DIELeTRICO DE CERAMICA DE UMA So CAMADA  PRoPRIO PARA MONTAGEM EM SUPERFÍCIE SMD 100pF 5por cento 50V NPO (REF. C02018 - ref.2020100070)</v>
          </cell>
        </row>
        <row r="225">
          <cell r="B225">
            <v>2020100090</v>
          </cell>
          <cell r="D225">
            <v>20672503</v>
          </cell>
          <cell r="E225">
            <v>85322310</v>
          </cell>
          <cell r="F225" t="str">
            <v>Not applicable</v>
          </cell>
          <cell r="G225">
            <v>85322310</v>
          </cell>
          <cell r="H225" t="str">
            <v>CAPACITOR (CONDENSDOR ELeTRICO FIXO) COM DIELeTRICO DE CERAMICA DE UMA So CAMADA  PRoPRIO PARA MONTAGEM EM SUPERFÍCIE SMD 10nF 10por cento 50V X7R (REF. C02006 - ref.2020100090)</v>
          </cell>
        </row>
        <row r="226">
          <cell r="B226">
            <v>2020100110</v>
          </cell>
          <cell r="D226">
            <v>20672501</v>
          </cell>
          <cell r="E226">
            <v>85322310</v>
          </cell>
          <cell r="F226" t="str">
            <v>Not applicable</v>
          </cell>
          <cell r="G226">
            <v>85322310</v>
          </cell>
          <cell r="H226" t="str">
            <v>CAPACITOR (CONDENSDOR ELeTRICO FIXO) COM DIELeTRICO DE CERAMICA DE UMA So CAMADA  PRoPRIO PARA MONTAGEM EM SUPERFÍCIE SMD 33nF  10por cento 50V X7R (REF. C02002 - ref.2020100110)</v>
          </cell>
        </row>
        <row r="227">
          <cell r="B227">
            <v>2020100120</v>
          </cell>
          <cell r="D227">
            <v>20672500</v>
          </cell>
          <cell r="E227">
            <v>85322310</v>
          </cell>
          <cell r="F227" t="str">
            <v>Not applicable</v>
          </cell>
          <cell r="G227">
            <v>85322310</v>
          </cell>
          <cell r="H227" t="str">
            <v>CAPACITOR (CONDENSDOR ELETRICO FIXO) COM DIELETRICO DE CERAMICA DE UMA SO CAMADA  PROPRIO PARA MONTAGEM EM SUPERFICIE SMD 100nF 10por cento 50V X7R (REF. C02001 - ref.2020100120)</v>
          </cell>
        </row>
        <row r="228">
          <cell r="B228">
            <v>2020100150</v>
          </cell>
          <cell r="D228">
            <v>20672615</v>
          </cell>
          <cell r="E228">
            <v>85322310</v>
          </cell>
          <cell r="F228" t="str">
            <v>Not applicable</v>
          </cell>
          <cell r="G228">
            <v>85322310</v>
          </cell>
          <cell r="H228" t="str">
            <v>CAPACITOR (CONDENSDOR ELeTRICO FIXO) COM DIELeTRICO DE CERAMICA DE UMA So CAMADA PRoPRIO PARA MONTAGEM EM SUPERFÍCIE SMD 15pF 5por cento NPO  50V (REF. C01018 - ref.2020100150)</v>
          </cell>
        </row>
        <row r="229">
          <cell r="B229">
            <v>2020100160</v>
          </cell>
          <cell r="D229">
            <v>20672531</v>
          </cell>
          <cell r="E229">
            <v>85322310</v>
          </cell>
          <cell r="F229" t="str">
            <v>Not applicable</v>
          </cell>
          <cell r="G229">
            <v>85322310</v>
          </cell>
          <cell r="H229" t="str">
            <v>CAPACITOR (CONDENSDOR ELeTRICO FIXO) COM DIELeTRICO DE CERAMICA DE UMA So CAMADA  PRoPRIO PARA MONTAGEM EM SUPERFÍCIE SMD 4.7nF 5por cento 50V NPO (REF. C01012 - ref.2020100160)</v>
          </cell>
        </row>
        <row r="230">
          <cell r="B230">
            <v>2020100180</v>
          </cell>
          <cell r="D230">
            <v>20672507</v>
          </cell>
          <cell r="E230">
            <v>85322310</v>
          </cell>
          <cell r="F230" t="str">
            <v>Not applicable</v>
          </cell>
          <cell r="G230">
            <v>85322310</v>
          </cell>
          <cell r="H230" t="str">
            <v>CAPACITOR (CONDENSDOR ELeTRICO FIXO) COM DIELeTRICO DE CERAMICA DE UMA So CAMADA  PRoPRIO PARA MONTAGEM EM SUPERFÍCIE SMD 10pF ±5por cento 50V NPO (REF. C0107-2020100180)</v>
          </cell>
        </row>
        <row r="231">
          <cell r="B231">
            <v>2020100190</v>
          </cell>
          <cell r="D231">
            <v>20672504</v>
          </cell>
          <cell r="E231">
            <v>85322310</v>
          </cell>
          <cell r="F231" t="str">
            <v>Not applicable</v>
          </cell>
          <cell r="G231">
            <v>85322310</v>
          </cell>
          <cell r="H231" t="str">
            <v>CAPACITOR (CONDENSDOR ELeTRICO FIXO) COM DIELeTRICO DE CERAMICA DE UMA So CAMADA  PRoPRIO PARA MONTAGEM EM SUPERFÍCIE SMD 1nF 10por cento 50V X7R (REF. C01003-2020100190)</v>
          </cell>
        </row>
        <row r="232">
          <cell r="B232">
            <v>2020100200</v>
          </cell>
          <cell r="D232">
            <v>20672502</v>
          </cell>
          <cell r="E232">
            <v>85322310</v>
          </cell>
          <cell r="F232" t="str">
            <v>Not applicable</v>
          </cell>
          <cell r="G232">
            <v>85322310</v>
          </cell>
          <cell r="H232" t="str">
            <v>CAPACITOR (CONDENSDOR ELeTRICO FIXO) COM DIELeTRICO DE CERAMICA DE UMA So CAMADA  PRoPRIO PARA MONTAGEM EM SUPERFÍCIE SMD 22P 5por cento 50V (REF. C01002-2020100190)</v>
          </cell>
        </row>
        <row r="233">
          <cell r="B233">
            <v>2020100210</v>
          </cell>
          <cell r="D233">
            <v>20672614</v>
          </cell>
          <cell r="E233">
            <v>85322310</v>
          </cell>
          <cell r="F233" t="str">
            <v>Not applicable</v>
          </cell>
          <cell r="G233">
            <v>85322310</v>
          </cell>
          <cell r="H233" t="str">
            <v>CAPACITOR (CONDENSDOR ELeTRICO FIXO) COM DIELeTRICO DE CERAMICA DE UMA So CAMADA PRoPRIO PARA MONTAGEM EM SUPERFÍCIE SMD 1nF 10por cento 200V X7R (REF. C04029 - ref.2020100210)</v>
          </cell>
        </row>
        <row r="234">
          <cell r="B234">
            <v>2020100230</v>
          </cell>
          <cell r="D234">
            <v>20672530</v>
          </cell>
          <cell r="E234">
            <v>85322200</v>
          </cell>
          <cell r="F234">
            <v>85322200</v>
          </cell>
          <cell r="G234">
            <v>85322200</v>
          </cell>
          <cell r="H234" t="str">
            <v>CAPACITOR (CONDENSADOR ELeTRICO FIXO) ELETROLÍTICO DE ALUMÍNIO 10uF 10por cento 16V 2000 hours (REF. C04027 -ref.2020100230)</v>
          </cell>
        </row>
        <row r="235">
          <cell r="B235">
            <v>2020100250</v>
          </cell>
          <cell r="D235">
            <v>20672506</v>
          </cell>
          <cell r="E235">
            <v>85322310</v>
          </cell>
          <cell r="F235" t="str">
            <v>Not applicable</v>
          </cell>
          <cell r="G235">
            <v>85322310</v>
          </cell>
          <cell r="H235" t="str">
            <v>CAPACITOR (CONDENSDOR ELeTRICO FIXO) COM DIELeTRICO DE CERAMICA DE UMA So CAMADA  PRoPRIO PARA MONTAGEM EM SUPERFÍCIE SMD 100nF 10por cento 50V X7R (REF. C04006 - ref.2020100250)</v>
          </cell>
        </row>
        <row r="236">
          <cell r="B236">
            <v>2020100350</v>
          </cell>
          <cell r="D236">
            <v>20672632</v>
          </cell>
          <cell r="E236">
            <v>85322310</v>
          </cell>
          <cell r="F236" t="str">
            <v>Not applicable</v>
          </cell>
          <cell r="G236">
            <v>85322310</v>
          </cell>
          <cell r="H236" t="str">
            <v>CAPACITOR (CONDENSDOR ELeTRICO FIXO) COM DIELeTRICO DE CERAMICA DE UMA So CAMADA, PRoPRIO PARA MONTAGEM EM SUPERFÍCIE SMD, 5pF ±5por cento  50V NPO – 0603, REF: 2020100350</v>
          </cell>
        </row>
        <row r="237">
          <cell r="B237">
            <v>2020100510</v>
          </cell>
          <cell r="D237">
            <v>20660627</v>
          </cell>
          <cell r="E237">
            <v>85322310</v>
          </cell>
          <cell r="F237" t="str">
            <v>Not applicable</v>
          </cell>
          <cell r="G237">
            <v>85322310</v>
          </cell>
          <cell r="H237" t="str">
            <v>CAPACITOR (CONDENSDOR ELeTRICO FIXO) COM DIELeTRICO DE CERAMICA DE UMA So CAMADA PRoPRIO PARA MONTAGEM EM SUPERFÍCIE SMD 22nF 10por cento 50V X7R 0603 (ref.2020100510)</v>
          </cell>
        </row>
        <row r="238">
          <cell r="B238">
            <v>2020100560</v>
          </cell>
          <cell r="D238">
            <v>20672630</v>
          </cell>
          <cell r="E238">
            <v>85322200</v>
          </cell>
          <cell r="F238">
            <v>85322200</v>
          </cell>
          <cell r="G238">
            <v>85322200</v>
          </cell>
          <cell r="H238" t="str">
            <v>CAPACITOR (CONDENSADOR ELeTRICO FIXO) ELETROLITICO DE ALUMÍNIO 750pF 5por cento 50V NPO 0603 (ref.2020100560)</v>
          </cell>
        </row>
        <row r="239">
          <cell r="B239">
            <v>2020100690</v>
          </cell>
          <cell r="D239">
            <v>20672540</v>
          </cell>
          <cell r="E239">
            <v>85322310</v>
          </cell>
          <cell r="F239" t="str">
            <v>Not applicable</v>
          </cell>
          <cell r="G239">
            <v>85322310</v>
          </cell>
          <cell r="H239" t="str">
            <v>CAPACITOR (CONDENSDOR ELeTRICO FIXO) COM DIELeTRICO DE CERAMICA DE UMA So CAMADA PRoPRIO PARA MONTAGEM EM SUPERFÍCIE SMD 1µF 10por cento X7R 25V 0603 (2020100690) SMD</v>
          </cell>
        </row>
        <row r="240">
          <cell r="B240">
            <v>2020100760</v>
          </cell>
          <cell r="D240">
            <v>20660622</v>
          </cell>
          <cell r="E240">
            <v>85322310</v>
          </cell>
          <cell r="F240" t="str">
            <v>Not applicable</v>
          </cell>
          <cell r="G240">
            <v>85322310</v>
          </cell>
          <cell r="H240" t="str">
            <v>CAPACITOR (CONDENSDOR ELeTRICO FIXO) COM DIELeTRICO DE CERAMICA DE UMA So CAMADA PRoPRIO PARA MONTAGEM EM SUPERFÍCIE SMD 680pF 5por cento 50V NPO 0603 (ref.2020100760)</v>
          </cell>
        </row>
        <row r="241">
          <cell r="B241">
            <v>2020100910</v>
          </cell>
          <cell r="D241">
            <v>20672623</v>
          </cell>
          <cell r="E241">
            <v>85322200</v>
          </cell>
          <cell r="F241">
            <v>85322200</v>
          </cell>
          <cell r="G241">
            <v>85322200</v>
          </cell>
          <cell r="H241" t="str">
            <v>CAPACITOR (CONDENSADOR ELeTRICO FIXO) ELETROLITICO DE ALUMÍNIO 1nF  5por cento 50V NPO 0805 (ref.2020100910)</v>
          </cell>
        </row>
        <row r="242">
          <cell r="B242">
            <v>2020100940</v>
          </cell>
          <cell r="D242">
            <v>20660632</v>
          </cell>
          <cell r="E242">
            <v>85322310</v>
          </cell>
          <cell r="F242" t="str">
            <v>Not applicable</v>
          </cell>
          <cell r="G242">
            <v>85322310</v>
          </cell>
          <cell r="H242" t="str">
            <v>CAPACITOR (CONDENSDOR ELeTRICO FIXO) COM DIELeTRICO DE CERAMICA DE UMA So CAMADA PRoPRIO PARA MONTAGEM EM SUPERFÍCIE SMD 1uF +80por cento~-20por cento 50V Y5V (ref.2020100940)</v>
          </cell>
        </row>
        <row r="243">
          <cell r="B243">
            <v>2020100960</v>
          </cell>
          <cell r="D243">
            <v>20672624</v>
          </cell>
          <cell r="E243">
            <v>85322200</v>
          </cell>
          <cell r="F243">
            <v>85322200</v>
          </cell>
          <cell r="G243">
            <v>85322200</v>
          </cell>
          <cell r="H243" t="str">
            <v>CAPACITOR (CONDENSADOR ELeTRICO FIXO) ELETROLITICO DE ALUMÍNIO 10nF 10por cento 50V X7R 0805 (ref.2020100960)</v>
          </cell>
        </row>
        <row r="244">
          <cell r="B244">
            <v>2020100990</v>
          </cell>
          <cell r="D244">
            <v>20660631</v>
          </cell>
          <cell r="E244">
            <v>85322200</v>
          </cell>
          <cell r="F244">
            <v>85322200</v>
          </cell>
          <cell r="G244">
            <v>85322200</v>
          </cell>
          <cell r="H244" t="str">
            <v>CAPACITOR (CONDENSADOR ELeTRICO FIXO) ELETROLITICO DE ALUMÍNIO 220nF 10por cento 50V X7R 0805 (ref.2020100990)</v>
          </cell>
        </row>
        <row r="245">
          <cell r="B245">
            <v>2020101110</v>
          </cell>
          <cell r="D245">
            <v>20660630</v>
          </cell>
          <cell r="E245">
            <v>85322310</v>
          </cell>
          <cell r="F245" t="str">
            <v>Not applicable</v>
          </cell>
          <cell r="G245">
            <v>85322310</v>
          </cell>
          <cell r="H245" t="str">
            <v>CAPACITOR (CONDENSDOR ELeTRICO FIXO) COM DIELeTRICO DE CERAMICA DE UMA So CAMADA PRoPRIO PARA MONTAGEM EM SUPERFÍCIE SMD 1uF 10por cento 50V X7R 0805 (ref.2020101110)</v>
          </cell>
        </row>
        <row r="246">
          <cell r="B246">
            <v>2020101190</v>
          </cell>
          <cell r="D246">
            <v>20672629</v>
          </cell>
          <cell r="E246">
            <v>85322200</v>
          </cell>
          <cell r="F246">
            <v>85322200</v>
          </cell>
          <cell r="G246">
            <v>85322200</v>
          </cell>
          <cell r="H246" t="str">
            <v>CAPACITOR (CONDENSADOR ELeTRICO FIXO) ELETROLITICO DE ALUMÍNIO 1nF ±10por cento 1KV X7R 1206 (2020101190)</v>
          </cell>
        </row>
        <row r="247">
          <cell r="B247">
            <v>2020101320</v>
          </cell>
          <cell r="D247">
            <v>20660616</v>
          </cell>
          <cell r="E247">
            <v>85322310</v>
          </cell>
          <cell r="F247" t="str">
            <v>Not applicable</v>
          </cell>
          <cell r="G247">
            <v>85322310</v>
          </cell>
          <cell r="H247" t="str">
            <v>CAPACITOR (CONDENSDOR ELeTRICO FIXO) COM DIELeTRICO DE CERAMICA DE UMA So CAMADA PRoPRIO PARA MONTAGEM EM SUPERFÍCIE SMD 100nF 10por cento 16V X5R 0402 (ref.2020101320)</v>
          </cell>
        </row>
        <row r="248">
          <cell r="B248">
            <v>2020101350</v>
          </cell>
          <cell r="D248">
            <v>20660617</v>
          </cell>
          <cell r="E248">
            <v>85322310</v>
          </cell>
          <cell r="F248" t="str">
            <v>Not applicable</v>
          </cell>
          <cell r="G248">
            <v>85322310</v>
          </cell>
          <cell r="H248" t="str">
            <v>CAPACITOR (CONDENSDOR ELeTRICO FIXO) COM DIELeTRICO DE CERAMICA DE UMA So CAMADA PRoPRIO PARA MONTAGEM EM SUPERFÍCIE SMD 1nF 10por cento 50V X7R (ref.2020101350)</v>
          </cell>
        </row>
        <row r="249">
          <cell r="B249">
            <v>2020101420</v>
          </cell>
          <cell r="D249">
            <v>20660623</v>
          </cell>
          <cell r="E249">
            <v>85322310</v>
          </cell>
          <cell r="F249" t="str">
            <v>Not applicable</v>
          </cell>
          <cell r="G249">
            <v>85322310</v>
          </cell>
          <cell r="H249" t="str">
            <v>CAPACITOR (CONDENSDOR ELeTRICO FIXO) COM DIELeTRICO DE CERAMICA DE UMA So CAMADA PRoPRIO PARA MONTAGEM EM SUPERFÍCIE SMD 12pF 5por cento 50V NPO 0402 (ref.2020101420)</v>
          </cell>
        </row>
        <row r="250">
          <cell r="B250">
            <v>2020101520</v>
          </cell>
          <cell r="D250">
            <v>20660633</v>
          </cell>
          <cell r="E250">
            <v>85322310</v>
          </cell>
          <cell r="F250" t="str">
            <v>Not applicable</v>
          </cell>
          <cell r="G250">
            <v>85322310</v>
          </cell>
          <cell r="H250" t="str">
            <v>CAPACITOR (CONDENSDOR ELeTRICO FIXO) COM DIELeTRICO DE CERAMICA DE UMA So CAMADA PRoPRIO PARA MONTAGEM EM SUPERFÍCIE SMD 100pF 5por cento 50V NPO 0402 (ref.2020101520)</v>
          </cell>
        </row>
        <row r="251">
          <cell r="B251">
            <v>2020101570</v>
          </cell>
          <cell r="D251">
            <v>20660620</v>
          </cell>
          <cell r="E251">
            <v>85322310</v>
          </cell>
          <cell r="F251" t="str">
            <v>Not applicable</v>
          </cell>
          <cell r="G251">
            <v>85322310</v>
          </cell>
          <cell r="H251" t="str">
            <v>CAPACITOR (CONDENSDOR ELeTRICO FIXO) COM DIELeTRICO DE CERAMICA DE UMA So CAMADA PRoPRIO PARA MONTAGEM EM SUPERFÍCIE SMD 27pF 5por cento 50V NPO 0402 (ref.2020101570)</v>
          </cell>
        </row>
        <row r="252">
          <cell r="B252">
            <v>2020101780</v>
          </cell>
          <cell r="D252">
            <v>20660621</v>
          </cell>
          <cell r="E252">
            <v>85322310</v>
          </cell>
          <cell r="F252" t="str">
            <v>Not applicable</v>
          </cell>
          <cell r="G252">
            <v>85322310</v>
          </cell>
          <cell r="H252" t="str">
            <v>CAPACITOR (CONDENSDOR ELeTRICO FIXO) COM DIELeTRICO DE CERAMICA DE UMA So CAMADA PRoPRIO PARA MONTAGEM EM SUPERFÍCIE SMD 5pF ±0.25pF 50V NPO 0402 (ref.2020101780)</v>
          </cell>
        </row>
        <row r="253">
          <cell r="B253">
            <v>2020101950</v>
          </cell>
          <cell r="D253">
            <v>20672545</v>
          </cell>
          <cell r="E253">
            <v>85322310</v>
          </cell>
          <cell r="F253" t="str">
            <v>Not applicable</v>
          </cell>
          <cell r="G253">
            <v>85322310</v>
          </cell>
          <cell r="H253" t="str">
            <v>CAPACITOR (CONDENSDOR ELeTRICO FIXO) COM DIELeTRICO DE CERAMICA DE UMA So CAMADA PRoPRIO PARA MONTAGEM EM SUPERFÍCIE SMD 4.7µF 20por cento X5R 6.3V 0402 (2020101950) SMD</v>
          </cell>
        </row>
        <row r="254">
          <cell r="B254">
            <v>2020101980</v>
          </cell>
          <cell r="D254">
            <v>20672550</v>
          </cell>
          <cell r="E254">
            <v>85322310</v>
          </cell>
          <cell r="F254" t="str">
            <v>Not applicable</v>
          </cell>
          <cell r="G254">
            <v>85322310</v>
          </cell>
          <cell r="H254" t="str">
            <v>CAPACITOR (CONDENSDOR ELeTRICO FIXO) COM DIELeTRICO DE CERAMICA DE UMA So CAMADA PRoPRIO PARA MONTAGEM EM SUPERFÍCIE SMD 1µF 10por cento X5R 6.3V 0402 (2020101980) SMD</v>
          </cell>
        </row>
        <row r="255">
          <cell r="B255">
            <v>2020102010</v>
          </cell>
          <cell r="D255">
            <v>20672616</v>
          </cell>
          <cell r="E255">
            <v>85322310</v>
          </cell>
          <cell r="F255" t="str">
            <v>Not applicable</v>
          </cell>
          <cell r="G255">
            <v>85322310</v>
          </cell>
          <cell r="H255" t="str">
            <v>CAPACITOR (CONDENSDOR ELeTRICO FIXO) COM DIELeTRICO DE CERAMICA DE UMA So CAMADA PRoPRIO PARA MONTAGEM EM SUPERFÍCIE SMD 1uF 10por cento 16V X7R (REF. C02009 -ref.20201020106)</v>
          </cell>
        </row>
        <row r="256">
          <cell r="B256">
            <v>2020102040</v>
          </cell>
          <cell r="D256">
            <v>20660619</v>
          </cell>
          <cell r="E256">
            <v>85322310</v>
          </cell>
          <cell r="F256" t="str">
            <v>Not applicable</v>
          </cell>
          <cell r="G256">
            <v>85322310</v>
          </cell>
          <cell r="H256" t="str">
            <v>CAPACITOR (CONDENSDOR ELeTRICO FIXO) COM DIELeTRICO DE CERAMICA DE UMA So CAMADA PRoPRIO PARA MONTAGEM EM SUPERFÍCIE SMD 10nF 10por cento 50V X7R 0402 (ref.2020102040)</v>
          </cell>
        </row>
        <row r="257">
          <cell r="B257">
            <v>2020102060</v>
          </cell>
          <cell r="D257">
            <v>20672633</v>
          </cell>
          <cell r="E257">
            <v>85322310</v>
          </cell>
          <cell r="F257" t="str">
            <v>Not applicable</v>
          </cell>
          <cell r="G257">
            <v>85322310</v>
          </cell>
          <cell r="H257" t="str">
            <v>CAPACITOR (CONDENSDOR ELeTRICO FIXO) COM DIELeTRICO DE CERAMICA DE UMA So CAMADA PRoPRIO PARA MONTAGEM EM SUPERFÍCIE SMD 22pF 5por cento 50V NPO 0402 (ref.2020102060)</v>
          </cell>
        </row>
        <row r="258">
          <cell r="B258">
            <v>2020102120</v>
          </cell>
          <cell r="D258">
            <v>20672544</v>
          </cell>
          <cell r="E258">
            <v>85322310</v>
          </cell>
          <cell r="F258" t="str">
            <v>Not applicable</v>
          </cell>
          <cell r="G258">
            <v>85322310</v>
          </cell>
          <cell r="H258" t="str">
            <v>CAPACITOR (CONDENSDOR ELeTRICO FIXO) COM DIELeTRICO DE CERAMICA DE UMA So CAMADA PRoPRIO PARA MONTAGEM EM SUPERFÍCIE SMD 100nF 10por cento X5R 25V 0402 (2020102120) SMD</v>
          </cell>
        </row>
        <row r="259">
          <cell r="B259">
            <v>2020102150</v>
          </cell>
          <cell r="D259">
            <v>20660410</v>
          </cell>
          <cell r="E259">
            <v>85322310</v>
          </cell>
          <cell r="F259" t="str">
            <v>Not applicable</v>
          </cell>
          <cell r="G259">
            <v>85322310</v>
          </cell>
          <cell r="H259" t="str">
            <v>CAPACITOR (CONDENSDOR ELeTRICO FIXO) COM DIELeTRICO DE CERAMICA DE UMA So CAMADA PRoPRIO PARA MONTAGEM EM SUPERFÍCIE SMD 10uF 20por cento 10V X5R 0603 (ref.2020102150)</v>
          </cell>
        </row>
        <row r="260">
          <cell r="B260">
            <v>2020103990</v>
          </cell>
          <cell r="D260">
            <v>20660650</v>
          </cell>
          <cell r="E260">
            <v>85322310</v>
          </cell>
          <cell r="F260" t="str">
            <v>Not applicable</v>
          </cell>
          <cell r="G260">
            <v>85322310</v>
          </cell>
          <cell r="H260" t="str">
            <v>CAPACITOR (CONDENSDOR ELeTRICO FIXO) COM DIELeTRICO DE CERAMICA DE UMA So CAMADA PRoPRIO PARA MONTAGEM EM SUPERFÍCIE SMD 100pF 1KV 5por cento NPO 1206 (2020103990) SMD</v>
          </cell>
        </row>
        <row r="261">
          <cell r="B261">
            <v>2020500461</v>
          </cell>
          <cell r="D261">
            <v>20672628</v>
          </cell>
          <cell r="E261">
            <v>85322200</v>
          </cell>
          <cell r="F261">
            <v>85322200</v>
          </cell>
          <cell r="G261">
            <v>85322200</v>
          </cell>
          <cell r="H261" t="str">
            <v>CAPACITOR (CONDENSADOR ELeTRICO FIXO) ELETROLITICO DE ALUMÍNIO 0.47uF 10por cento 330V RAD-22.5mm 26.5*19*10mm 45 (REF.C09066  - ref.2020500461)</v>
          </cell>
        </row>
        <row r="262">
          <cell r="B262">
            <v>2030100221</v>
          </cell>
          <cell r="D262">
            <v>20691947</v>
          </cell>
          <cell r="E262">
            <v>85045010</v>
          </cell>
          <cell r="F262" t="str">
            <v>Need to update benefit</v>
          </cell>
          <cell r="G262">
            <v>85045000</v>
          </cell>
          <cell r="H262" t="str">
            <v>Bobina de auto-inducao (indutor) 4.7µH para montagem em superfície (SMD), de frequencia de 100HZ, tolerancia de 20%, intensidade de corrente de 0.9A, resistencia de 360mΩ, de dimensoes 3mm de comprimento, 3mm de largura e 1mm de altura.</v>
          </cell>
        </row>
        <row r="263">
          <cell r="B263">
            <v>2030100861</v>
          </cell>
          <cell r="C263">
            <v>2030100861</v>
          </cell>
          <cell r="D263">
            <v>20691957</v>
          </cell>
          <cell r="E263">
            <v>85045010</v>
          </cell>
          <cell r="F263" t="str">
            <v>Need to update benefit</v>
          </cell>
          <cell r="G263">
            <v>85045000</v>
          </cell>
          <cell r="H263" t="str">
            <v>Bobina de autoinducao (indutor) 4.7µH, de largura 1,25mm e comprimento 2,00mm, e altura 1,05mm, para montagem em superfície (SMD), de frequencia de 1MHz,  tolerancia de 20%, intensidade de corrente de 0.18A, 0.3Ω de encapsulamento 0805.</v>
          </cell>
        </row>
        <row r="264">
          <cell r="B264">
            <v>2050100621</v>
          </cell>
          <cell r="D264">
            <v>20660357</v>
          </cell>
          <cell r="E264">
            <v>85423120</v>
          </cell>
          <cell r="F264">
            <v>85423120</v>
          </cell>
          <cell r="G264">
            <v>85423120</v>
          </cell>
          <cell r="H264" t="str">
            <v>Circuito integrado eletronico controlador, proprios para montagem em superfície (SMD - Surface Mounted Device), MICROCONTROLADOR, MODELO DE PROCESSADOR DE 8 bits, FREQUeNCIA DE CLOCK 8MHz, 5V 2kB B SO30 (2050100621) SMD</v>
          </cell>
        </row>
        <row r="265">
          <cell r="B265">
            <v>2050500401</v>
          </cell>
          <cell r="D265">
            <v>20660319</v>
          </cell>
          <cell r="E265">
            <v>85423229</v>
          </cell>
          <cell r="F265">
            <v>85423229</v>
          </cell>
          <cell r="G265">
            <v>85423221</v>
          </cell>
          <cell r="H265" t="str">
            <v>CIRCUITO INTEGRADO ELETRoNICO DE MEMoRIA FRAM, MONTADO, PRoPRIO PARA MONTAGEM EM SUPERFÍCIE SMD, MSL=3 64Kb PARA MONTAGEM SMD DE TEMPO DE ACESSO 125nS (REF. E01446 - ref.2050500401)</v>
          </cell>
        </row>
        <row r="266">
          <cell r="B266">
            <v>2050500453</v>
          </cell>
          <cell r="D266">
            <v>20660373</v>
          </cell>
          <cell r="E266">
            <v>85423221</v>
          </cell>
          <cell r="F266">
            <v>85423221</v>
          </cell>
          <cell r="G266">
            <v>85423221</v>
          </cell>
          <cell r="H266" t="str">
            <v>CIRCUITO INTEGRADO ELETRoNICO DE MEMORIA TIPO FLASH DE CAPACIDADE DE MEMoRIA 4.0Mbbytes, MONTADO, PRoPRIO PARA MONTAGEM EM SUPERFÍCIE SMD, DE TEMPO DE ACESSO 125nS - NorFlash 2.3~3.6V SPI SOP8(150mil) (2050500453)</v>
          </cell>
        </row>
        <row r="267">
          <cell r="B267">
            <v>2050500481</v>
          </cell>
          <cell r="D267">
            <v>20660333</v>
          </cell>
          <cell r="E267">
            <v>85423229</v>
          </cell>
          <cell r="F267">
            <v>85423229</v>
          </cell>
          <cell r="G267">
            <v>85423221</v>
          </cell>
          <cell r="H267" t="str">
            <v>CIRCUITO INTEGRADO ELETRoNICO DE MEMoRIA TIPO FRAM, MONTADO, PRoPRIO PARA MONTAGEM EM SUPERFÍCIE SMD, DE TEMPO DE ACESSO DE 250nS, DE CAPACIDADE DE MEMoRIA 16KBytes (ref.2050500481)</v>
          </cell>
        </row>
        <row r="268">
          <cell r="B268">
            <v>2050501701</v>
          </cell>
          <cell r="D268">
            <v>20680120</v>
          </cell>
          <cell r="E268">
            <v>85423221</v>
          </cell>
          <cell r="F268">
            <v>85423221</v>
          </cell>
          <cell r="G268">
            <v>85423221</v>
          </cell>
          <cell r="H268" t="str">
            <v>CIRCUITO INTEGRADO ELETRoNICO DE MEMoRIA TIPO EEPROM, CAPACIDADE DE MEMoRIA 64kbytes, MONTADO, PRoPRIO PARA MONTAGEM EM SUPERFÍCIE SMD, DE TEMPO DE ACESSO 125nS, 1.7~5.5V, l2C SOP8(150mil)   2050501701)</v>
          </cell>
        </row>
        <row r="269">
          <cell r="B269">
            <v>2050501761</v>
          </cell>
          <cell r="D269">
            <v>20660372</v>
          </cell>
          <cell r="E269">
            <v>85423221</v>
          </cell>
          <cell r="F269">
            <v>85423221</v>
          </cell>
          <cell r="G269">
            <v>85423221</v>
          </cell>
          <cell r="H269" t="str">
            <v>CIRCUITO INTEGRADO ELETRoNICO DE MEMoRIA TIPO EEPROM DE CAPACIDADE DE MEMoRIA 128,0Kbytes MONTADO, PRoPRIO PARA MONTAGEM EM SUPERFÍCIE SMD, DE TEMPO DE ACESSO 125nS - 1,7~5,5V 12C SOP8 (150mil) (2050501761)</v>
          </cell>
        </row>
        <row r="270">
          <cell r="B270">
            <v>2051300151</v>
          </cell>
          <cell r="D270">
            <v>20691807</v>
          </cell>
          <cell r="E270">
            <v>85423920</v>
          </cell>
          <cell r="F270">
            <v>85423920</v>
          </cell>
          <cell r="G270">
            <v>85423920</v>
          </cell>
          <cell r="H270" t="str">
            <v>Circuito integrado eletronico tipo driver de acionamento do rele, nAo montado (2051300151)</v>
          </cell>
        </row>
        <row r="271">
          <cell r="B271">
            <v>2060100024</v>
          </cell>
          <cell r="D271">
            <v>20633759</v>
          </cell>
          <cell r="E271">
            <v>85411012</v>
          </cell>
          <cell r="F271">
            <v>85411012</v>
          </cell>
          <cell r="G271">
            <v>85411012</v>
          </cell>
          <cell r="H271" t="str">
            <v>DISPOSITIVO SEMICONDUTOR TIPO DIODO RETIFICADOR, NAO MONTADO, DE INTENSIDADE DE CORRENTE 1A - 0.715V 350mW 2.5uA SOT23 70V 4ns - 55~+150C (2060100024)</v>
          </cell>
        </row>
        <row r="272">
          <cell r="B272">
            <v>2060100061</v>
          </cell>
          <cell r="D272">
            <v>20633720</v>
          </cell>
          <cell r="E272">
            <v>85411011</v>
          </cell>
          <cell r="F272">
            <v>85411011</v>
          </cell>
          <cell r="G272">
            <v>85411011</v>
          </cell>
          <cell r="H272" t="str">
            <v>DISPOSITIVO SEMICONDUTOR TIPO DIODO ZENER, NAO MONTADO, DE INTENSIDADE DE CORRENTE 2A - 1.7V,700V,75nS,SMA (ref.2060100061)</v>
          </cell>
        </row>
        <row r="273">
          <cell r="B273">
            <v>2060100092</v>
          </cell>
          <cell r="D273">
            <v>20630700</v>
          </cell>
          <cell r="E273">
            <v>85411012</v>
          </cell>
          <cell r="F273">
            <v>85411012</v>
          </cell>
          <cell r="G273">
            <v>85411012</v>
          </cell>
          <cell r="H273" t="str">
            <v>DISPOSITIVO SEMICONDUTOR TIPO DIODO RETIFICADOR, NAO MONTADO, DE INTENSIDADE DE CORRENTE DE 1A (REF. A01013-1 - ref.2060100092)</v>
          </cell>
        </row>
        <row r="274">
          <cell r="B274">
            <v>2060100673</v>
          </cell>
          <cell r="D274">
            <v>20633727</v>
          </cell>
          <cell r="E274">
            <v>85411012</v>
          </cell>
          <cell r="F274">
            <v>85411012</v>
          </cell>
          <cell r="G274">
            <v>85411012</v>
          </cell>
          <cell r="H274" t="str">
            <v>DISPOSITIVO SEMICONDUTOR TIPO DIODO RETIFICADOR, NAO MONTADO, DE INTENSIDADE DE CORRENTE 1A (ref.2060100673)</v>
          </cell>
        </row>
        <row r="275">
          <cell r="B275">
            <v>2060500051</v>
          </cell>
          <cell r="D275">
            <v>20633730</v>
          </cell>
          <cell r="E275">
            <v>85411011</v>
          </cell>
          <cell r="F275">
            <v>85411011</v>
          </cell>
          <cell r="G275">
            <v>85411011</v>
          </cell>
          <cell r="H275" t="str">
            <v>DISPOSITIVO SEMICONDUTOR TIPO DIODO ZENER, NAO MONTADO, DE INTENSIDADE DE CORRENTE 2A - 6.8V,0.5W,5por cento,LL-34 (ref.2060100673)</v>
          </cell>
        </row>
        <row r="276">
          <cell r="B276">
            <v>2060500111</v>
          </cell>
          <cell r="D276">
            <v>20630802</v>
          </cell>
          <cell r="E276">
            <v>85411011</v>
          </cell>
          <cell r="F276">
            <v>85411011</v>
          </cell>
          <cell r="G276">
            <v>85411011</v>
          </cell>
          <cell r="H276" t="str">
            <v>DISPOSITIVO SEMICONDUTOR TIPO DIODO ZENER, NAO MONTADO, DE INTENSIDADE DE CORRENTE 0,05A - 15V 1W 5por cento (REF. A01005-1 - ref.2060500111)</v>
          </cell>
        </row>
        <row r="277">
          <cell r="B277">
            <v>3042500440</v>
          </cell>
          <cell r="D277">
            <v>20290902</v>
          </cell>
          <cell r="E277">
            <v>85444200</v>
          </cell>
          <cell r="F277">
            <v>85444200</v>
          </cell>
          <cell r="G277">
            <v>85444200</v>
          </cell>
          <cell r="H277" t="str">
            <v>PONTE DE COBRE NEUTRO MUNIDA DE PINO RÍGIDO PARA CONEXAO, CONDUTORA ELeTRICA PARA APLICAcAO EM TENSAO DE ATe 240V, ESTANHADA, DIMENSoES 32,5x31x10mm, CORRENTE MaXIMA DE 120A (3042500440)</v>
          </cell>
        </row>
        <row r="278">
          <cell r="B278">
            <v>2050901581</v>
          </cell>
          <cell r="D278">
            <v>20691615</v>
          </cell>
          <cell r="E278">
            <v>85423920</v>
          </cell>
          <cell r="F278">
            <v>85423920</v>
          </cell>
          <cell r="G278">
            <v>85423920</v>
          </cell>
          <cell r="H278" t="str">
            <v xml:space="preserve">CIRCUITO INTEGRADO ELETRoNICO TIPO REGULADOR DE TENSAO, NAO MONTADO - LDO 2.7~36V 150mA 3.3V SOT89 </v>
          </cell>
        </row>
        <row r="279">
          <cell r="B279">
            <v>2050100921</v>
          </cell>
          <cell r="D279">
            <v>20660356</v>
          </cell>
          <cell r="E279">
            <v>85423120</v>
          </cell>
          <cell r="F279">
            <v>85423120</v>
          </cell>
          <cell r="G279">
            <v>85423120</v>
          </cell>
          <cell r="H279" t="str">
            <v>Circuito integrado eletronico controlador, proprios para montagem em superfície (SMD - Surface Mounted Device), MICROCONTROLADOR,  MODELO DE PROCESSADOR DE 8 BITS, FREQUeNCIA DE CLOCK 8MHz,  2.0~5.5V 1280+256B 1024kB TQFP48 (2050100921) SMD</v>
          </cell>
        </row>
        <row r="280">
          <cell r="B280" t="str">
            <v>MPP53.R110</v>
          </cell>
          <cell r="D280">
            <v>20691942</v>
          </cell>
          <cell r="E280">
            <v>85176272</v>
          </cell>
          <cell r="F280">
            <v>85176272</v>
          </cell>
          <cell r="G280">
            <v>85176277</v>
          </cell>
          <cell r="H280" t="str">
            <v>Modulos de comunicacAo (de recepcAo, conversAo e transmissAo) de dados via rede eletrica, providos de emissor com receptor incorporado, digital, compatíveis com o tipo de rede PLC PRIME (com fio), para medidores inteligentes de energia eletrica da família Zeus, capazes de operar na faixa de frequencia de 141 KHz, utilizando modulacAo BPSK (OFDM), de taxa de transmissAo de ate 200 kbps e modelo MPP53.R110.</v>
          </cell>
        </row>
        <row r="281">
          <cell r="B281">
            <v>3010100030</v>
          </cell>
          <cell r="D281">
            <v>20661500</v>
          </cell>
          <cell r="E281">
            <v>85043111</v>
          </cell>
          <cell r="F281">
            <v>85043111</v>
          </cell>
          <cell r="G281">
            <v>85043111</v>
          </cell>
          <cell r="H281" t="str">
            <v>TRANSFORMADOR ELeTRICO DE CORRENTE POTeNCIA DE 0,072 KVA, FREQUENCIA 50 HZ, 5(120A) 2,5mA, 20R, 0,1, L=140MM (ref.3010100030)</v>
          </cell>
        </row>
        <row r="282">
          <cell r="B282">
            <v>2030100241</v>
          </cell>
          <cell r="D282">
            <v>20650116</v>
          </cell>
          <cell r="E282">
            <v>85045010</v>
          </cell>
          <cell r="F282" t="str">
            <v>Need to update benefit</v>
          </cell>
          <cell r="G282">
            <v>85045000</v>
          </cell>
          <cell r="H282" t="str">
            <v>Bobina de auto-inducao (indutor fixo) de 10μH, para montagem em superficie SMD, tolerancia de 20%, 61m Ohms de resistencia, corrente maxima 3.0A, dimensoes 6.0mm de comprimento, 6.0mm de largura e 4.5mm de altura (2030100241)</v>
          </cell>
        </row>
        <row r="283">
          <cell r="B283">
            <v>2030300073</v>
          </cell>
          <cell r="D283">
            <v>20650123</v>
          </cell>
          <cell r="E283">
            <v>85045010</v>
          </cell>
          <cell r="F283" t="str">
            <v>Need to update benefit</v>
          </cell>
          <cell r="G283">
            <v>85045010</v>
          </cell>
          <cell r="H283" t="str">
            <v>BOBINA DE AUTO-INDUcAO (INDUTOR) PJ0080-U9.8-1 15-40mH 0por cento 18*18*8mm para montagem PTH (Pin Through Hole) -  (2030300073)</v>
          </cell>
        </row>
        <row r="284">
          <cell r="B284">
            <v>2030900011</v>
          </cell>
          <cell r="D284">
            <v>20624900</v>
          </cell>
          <cell r="E284">
            <v>85045010</v>
          </cell>
          <cell r="F284" t="str">
            <v>Need to update benefit</v>
          </cell>
          <cell r="G284">
            <v>85045010</v>
          </cell>
          <cell r="H284" t="str">
            <v xml:space="preserve">BOBINA DE AUTO-INDUcAO (INDUTOR) 600R, 0.2R, 1000mA 0603 para montagem SMD (Surface Mounted Device) - (REF. I03177 - ref.2030900011) </v>
          </cell>
        </row>
        <row r="285">
          <cell r="B285">
            <v>2020300033</v>
          </cell>
          <cell r="D285">
            <v>20672664</v>
          </cell>
          <cell r="E285">
            <v>85322200</v>
          </cell>
          <cell r="F285">
            <v>85322200</v>
          </cell>
          <cell r="H285" t="str">
            <v>CAPACITOR (CONDENSADOR ELeTRICO FIXO) ELETROLÍTICO  DE ALUMÍNIO  10uF 50V 20por cento GH 5000h RAD-2mm/F5*11mm PTH (2020300033)</v>
          </cell>
        </row>
        <row r="286">
          <cell r="B286">
            <v>2020300721</v>
          </cell>
          <cell r="D286">
            <v>20660613</v>
          </cell>
          <cell r="E286">
            <v>85322200</v>
          </cell>
          <cell r="F286">
            <v>85322200</v>
          </cell>
          <cell r="G286">
            <v>85322200</v>
          </cell>
          <cell r="H286" t="str">
            <v>CAPACITOR (CONDENSADOR ELeTRICO FIXO) ELETROLITICO DE ALUMÍNIO 220uF 20por cento 25V YXJ RAD-2.5mm PTH (ref.2020300721)</v>
          </cell>
        </row>
        <row r="287">
          <cell r="B287">
            <v>2020302561</v>
          </cell>
          <cell r="D287">
            <v>20672659</v>
          </cell>
          <cell r="E287">
            <v>85322200</v>
          </cell>
          <cell r="F287">
            <v>85322200</v>
          </cell>
          <cell r="G287">
            <v>85322200</v>
          </cell>
          <cell r="H287" t="str">
            <v>CAPACITOR (CONDENSADOR ELeTRICO FIXO) ELETROLÍTICO DE ALUMÍNIO  470µF 25V 20por cento YXJ 10000h RAD-5mm/10*12.5mm PTH (2020302561)</v>
          </cell>
        </row>
        <row r="288">
          <cell r="B288">
            <v>2020700071</v>
          </cell>
          <cell r="D288">
            <v>20672642</v>
          </cell>
          <cell r="E288">
            <v>85322420</v>
          </cell>
          <cell r="F288">
            <v>85322420</v>
          </cell>
          <cell r="G288">
            <v>85322420</v>
          </cell>
          <cell r="H288" t="str">
            <v>CAPACITOR (CONDENSADOR ELeTRICO FIXO) COM DIELeTRICO DE CERAMICA, DE MuLTIPLAS CAMADAS, PRoPRIOS PARA MONTAGEM POR INSERcAO PTH 2.2nF ±20por cento 250V F(Y5V)30por cento~-80por cento RAD-7.5mm 9.0mm*5.0mm (2020700071)</v>
          </cell>
        </row>
        <row r="289">
          <cell r="B289">
            <v>3090105140</v>
          </cell>
          <cell r="D289">
            <v>40272104</v>
          </cell>
          <cell r="E289">
            <v>85444200</v>
          </cell>
          <cell r="F289">
            <v>85444200</v>
          </cell>
          <cell r="G289">
            <v>85444200</v>
          </cell>
          <cell r="H289" t="str">
            <v>PONTE DE COBRE FASE A, MUNIDA DE PEcA DE CONEXAO, CONDUTORA ELeTRICA PARA APLICAcAO EM TENSAO DE ATe 240V, ESTANHADA, CONFORMADA DIAMETRO 5,4mm, CORRENTE MaXIMA DE 120A (3090105140)</v>
          </cell>
        </row>
        <row r="290">
          <cell r="B290">
            <v>3090105160</v>
          </cell>
          <cell r="D290">
            <v>40272106</v>
          </cell>
          <cell r="E290">
            <v>85444200</v>
          </cell>
          <cell r="F290">
            <v>85444200</v>
          </cell>
          <cell r="G290">
            <v>85444200</v>
          </cell>
          <cell r="H290" t="str">
            <v>PONTE DE COBRE FASE C MUNIDA DE FURO 5,5mm PARA CONEXAO, CONDUTORA ELeTRICA PARA APLICAcAO EM TENSAO DE ATe 240V, ESTANHADA, CONFORMADA DIAMETRO 5,4mm, CORRENTE MaXIMA DE 120A (3090105160)</v>
          </cell>
        </row>
        <row r="291">
          <cell r="B291">
            <v>2120303450</v>
          </cell>
          <cell r="D291">
            <v>20661007</v>
          </cell>
          <cell r="E291">
            <v>85241100</v>
          </cell>
          <cell r="F291">
            <v>85241100</v>
          </cell>
          <cell r="G291">
            <v>85241100</v>
          </cell>
          <cell r="H291" t="str">
            <v>MoDULO DE VISUALIZAcAO DE TELA (eCRA) PLANA (DISPLAY) DE CRISTAL LÍQUIDO (LCD) SEM CONTROLADOR (DRIVERS) NEM CIRCUITOS DE CONTROLE 3.3V 6COM 28SEG 17.5mm 22*64.25mm HTN  PTH para apresentacAo de Codigo, valor e unidade de Energia e demais grandezas exibidas, apresentacAo de símbolos indicadores de tarifa corrente, quadrande de energia, Bateria Fraca, LCD - Modo Alternativo, Horario de VerAo, Alarmes (ref.2120303450)</v>
          </cell>
        </row>
        <row r="292">
          <cell r="B292">
            <v>3042702210</v>
          </cell>
          <cell r="D292">
            <v>20269100</v>
          </cell>
          <cell r="E292">
            <v>85444200</v>
          </cell>
          <cell r="F292">
            <v>85444200</v>
          </cell>
          <cell r="G292">
            <v>85444200</v>
          </cell>
          <cell r="H292" t="str">
            <v>PONTE DE COBRE T2 MUNIDA DE FURO ROSQUEADO M3 PARA CONEXAO, CONDUTORA ELeTRICA PARA APLICAcAO EM TENSAO DE ATe 240V, BARRAMENTO FASE A, DIMENSoES 496,4x95x43mm, CORRENTE MaXIMA DE 250A (3042702210)</v>
          </cell>
        </row>
        <row r="293">
          <cell r="B293">
            <v>3042702220</v>
          </cell>
          <cell r="D293">
            <v>20269101</v>
          </cell>
          <cell r="E293">
            <v>85444200</v>
          </cell>
          <cell r="F293">
            <v>85444200</v>
          </cell>
          <cell r="G293">
            <v>85444200</v>
          </cell>
          <cell r="H293" t="str">
            <v>PONTE DE COBRE T2 MUNIDA DE FURO ROSQUEADO M3 PARA CONEXAO, CONDUTORA ELeTRICA PARA APLICAcAO EM TENSAO DE ATe 240V, BARRAMENTO NEUTRO, DIMENSoES 504x48x43mm, CORRENTE MaXIMA DE 250A (3042702220)</v>
          </cell>
        </row>
        <row r="294">
          <cell r="B294">
            <v>3042702230</v>
          </cell>
          <cell r="D294">
            <v>20269102</v>
          </cell>
          <cell r="E294">
            <v>85444200</v>
          </cell>
          <cell r="F294">
            <v>85444200</v>
          </cell>
          <cell r="G294">
            <v>85444200</v>
          </cell>
          <cell r="H294" t="str">
            <v>PONTE DE COBRE T2 MUNIDA DE FURO ROSQUEADO M3 PARA CONEXAO, CONDUTORA ELeTRICA PARA APLICAcAO EM TENSAO DE ATe 240V, BARRAMENTO FASE B, DIMENSoES 506x78x42mm, CORRENTE MaXIMA DE 250A (3042702230)</v>
          </cell>
        </row>
        <row r="295">
          <cell r="B295">
            <v>3042702240</v>
          </cell>
          <cell r="D295">
            <v>20269103</v>
          </cell>
          <cell r="E295">
            <v>85444200</v>
          </cell>
          <cell r="F295">
            <v>85444200</v>
          </cell>
          <cell r="G295">
            <v>85444200</v>
          </cell>
          <cell r="H295" t="str">
            <v>PONTE DE COBRE T2 MUNIDA DE FURO ROSQUEADO M3 PARA CONEXAO, CONDUTORA ELeTRICA PARA APLICAcAO EM TENSAO DE ATe 240V, BARRAMENTO FASE C, DIMENSoES 515,6x61,5x43mm, CORRENTE MaXIMA DE 250A (3042702240)</v>
          </cell>
        </row>
        <row r="296">
          <cell r="B296">
            <v>2020300161</v>
          </cell>
          <cell r="D296">
            <v>20672621</v>
          </cell>
          <cell r="E296">
            <v>85322200</v>
          </cell>
          <cell r="F296">
            <v>85322200</v>
          </cell>
          <cell r="H296" t="str">
            <v>CAPACITOR (CONDENSADOR ELeTRICO FIXO) ELETROLÍTICO  DE ALUMÍNIO  47uF 20por cento 450V CS RAD-7.5mm (C07531) PTH (2020300161)</v>
          </cell>
        </row>
        <row r="297">
          <cell r="B297">
            <v>2020301101</v>
          </cell>
          <cell r="D297">
            <v>20660644</v>
          </cell>
          <cell r="E297">
            <v>85322200</v>
          </cell>
          <cell r="F297">
            <v>85322200</v>
          </cell>
          <cell r="G297">
            <v>85322200</v>
          </cell>
          <cell r="H297" t="str">
            <v>CAPACITOR (CONDENSADOR ELeTRICO FIXO) ELETROLITICO  DE ALUMÍNIO 100µF;25V;20por cento;YXF;5000h;RAD-2.5mm/F6.3*11mm (2020301101) PTH</v>
          </cell>
        </row>
        <row r="298">
          <cell r="B298">
            <v>2020700211</v>
          </cell>
          <cell r="D298">
            <v>20660647</v>
          </cell>
          <cell r="E298">
            <v>85322590</v>
          </cell>
          <cell r="F298">
            <v>85322590</v>
          </cell>
          <cell r="G298">
            <v>85322590</v>
          </cell>
          <cell r="H298" t="str">
            <v xml:space="preserve">CAPACITOR (CONDENSADOR ELeTRICO FIXO), COM DIELeTRICO DE PLaSTICO (FILME), METALIZADO, PRoPRIO PARA MONTAGEM EM SUPERFÍCIE PTH  1nF 20por cento X1:400Y1:250V E(Y5U)+22por cento~-56por cento;RAD-7.5mm/F9.5mm/5.0mm (Ref.2020700211) </v>
          </cell>
        </row>
        <row r="299">
          <cell r="B299">
            <v>2050100601</v>
          </cell>
          <cell r="D299">
            <v>20660338</v>
          </cell>
          <cell r="E299">
            <v>85423120</v>
          </cell>
          <cell r="F299">
            <v>85423120</v>
          </cell>
          <cell r="G299">
            <v>85423120</v>
          </cell>
          <cell r="H299" t="str">
            <v>Circuito integrado eletronico controlador, montado, proprio para montagem em superfície SMD, MICROCONTROLADOR, modelo de microprocessador de 8 bits, de frequencia de clock 8MHz</v>
          </cell>
        </row>
        <row r="300">
          <cell r="B300">
            <v>2060100042</v>
          </cell>
          <cell r="D300">
            <v>20633733</v>
          </cell>
          <cell r="E300">
            <v>85411012</v>
          </cell>
          <cell r="F300">
            <v>85411012</v>
          </cell>
          <cell r="G300">
            <v>85411012</v>
          </cell>
          <cell r="H300" t="str">
            <v>DISPOSITIVO SEMICONDUTOR TIPO DIODO REGULADOR, NAO MONTADO, DE INTENSIDADE DE CORRENTE 3A (2060100042)</v>
          </cell>
        </row>
        <row r="301">
          <cell r="B301">
            <v>2090701510</v>
          </cell>
          <cell r="D301">
            <v>20691321</v>
          </cell>
          <cell r="E301">
            <v>85365090</v>
          </cell>
          <cell r="F301">
            <v>85365090</v>
          </cell>
          <cell r="G301">
            <v>85365090</v>
          </cell>
          <cell r="H301" t="str">
            <v>UNIDADE SECCIONADORA DE CIRCUITOS ELeTRICOS, PARA APLICAcAO EM TENSAO DE ATe 250V, TIPO CHAVE TaCTIL PUSH-BUTTON PARA DETECcAO DO BOTAO MOSTRADOR, ESPECIFICAcoES 4 PINOS, DIMENSoES 6,5 x 4,5 x 11mm (2090701510)</v>
          </cell>
        </row>
        <row r="302">
          <cell r="B302">
            <v>3010101350</v>
          </cell>
          <cell r="D302">
            <v>20691514</v>
          </cell>
          <cell r="E302">
            <v>85043111</v>
          </cell>
          <cell r="F302">
            <v>85043111</v>
          </cell>
          <cell r="G302">
            <v>85043111</v>
          </cell>
          <cell r="H302" t="str">
            <v>TRANSFORMADOR ELeTRICO DE CORRENTE , POTeNCIA DE 0,2KVA, FREQUENCIA 50 HZ,  7.5mA,  3.5O:100mm (ref.3010101350)</v>
          </cell>
        </row>
        <row r="303">
          <cell r="B303">
            <v>2100300362</v>
          </cell>
          <cell r="D303">
            <v>20691525</v>
          </cell>
          <cell r="E303">
            <v>85043199</v>
          </cell>
          <cell r="F303">
            <v>85043199</v>
          </cell>
          <cell r="G303">
            <v>85043199</v>
          </cell>
          <cell r="H303" t="str">
            <v>TRANSFORMADOR  ELeTRICO, POTeNCIA 0,1kVA,  DE ALTA FREQUeNCIA 42 KHZ EE16 2.8mH 10por cento 2 (18T/14T) 33*18*17mm  PTH (2100300362)</v>
          </cell>
        </row>
        <row r="304">
          <cell r="B304">
            <v>2100300581</v>
          </cell>
          <cell r="D304">
            <v>20691555</v>
          </cell>
          <cell r="E304">
            <v>85043199</v>
          </cell>
          <cell r="F304">
            <v>85043199</v>
          </cell>
          <cell r="G304">
            <v>85043199</v>
          </cell>
          <cell r="H304" t="str">
            <v>TRANSFORMADOR  ELeTRICO, POTeNCIA 0,1kVA,  DE ALTA FREQUeNCIA 42 KHZ 1000±10por centoµH 60µH EE20 23mm*22mm*18.5mm(2100300581) PTH</v>
          </cell>
        </row>
        <row r="305">
          <cell r="B305">
            <v>2100500061</v>
          </cell>
          <cell r="D305">
            <v>20691521</v>
          </cell>
          <cell r="E305">
            <v>85043199</v>
          </cell>
          <cell r="F305">
            <v>85043199</v>
          </cell>
          <cell r="G305">
            <v>85043199</v>
          </cell>
          <cell r="H305" t="str">
            <v>TRANSFORMADOR  ELeTRICO, POTeNCIA 0,1kVA,  DE ALTA FREQUeNCIA 42 KHZ 80uH 1.5uH 1:1.1 11.6*11.7*10mm PTH (ref.2100500061)</v>
          </cell>
        </row>
        <row r="306">
          <cell r="B306">
            <v>3010101430</v>
          </cell>
          <cell r="D306">
            <v>20661901</v>
          </cell>
          <cell r="E306">
            <v>85043199</v>
          </cell>
          <cell r="F306">
            <v>85043199</v>
          </cell>
          <cell r="G306">
            <v>85043199</v>
          </cell>
          <cell r="H306" t="str">
            <v>TRANSFORMADOR  ELeTRICO, POTeNCIA 0,1kVA, DE ALTA FREQUeNCIA 42 KHZ  5(120)A,2mA,20R,0.1,6.AK.00 High End PTH (ref.3010101430)</v>
          </cell>
        </row>
        <row r="307">
          <cell r="B307">
            <v>2030300031</v>
          </cell>
          <cell r="D307">
            <v>20691904</v>
          </cell>
          <cell r="E307">
            <v>85045010</v>
          </cell>
          <cell r="F307" t="str">
            <v>Need to update benefit</v>
          </cell>
          <cell r="G307">
            <v>85045010</v>
          </cell>
          <cell r="H307" t="str">
            <v>Bobina de autoinducao (indutor) 30mH para montagem por insercao (PTH), com quatro pinos, 19.5mm de comprimento, 23mm de largura e 18mm de altura.</v>
          </cell>
        </row>
        <row r="308">
          <cell r="B308">
            <v>2030300072</v>
          </cell>
          <cell r="D308">
            <v>20650111</v>
          </cell>
          <cell r="E308">
            <v>85045010</v>
          </cell>
          <cell r="F308" t="str">
            <v>Need to update benefit</v>
          </cell>
          <cell r="G308">
            <v>85045000</v>
          </cell>
          <cell r="H308" t="str">
            <v>Bobina de autoinducao (indutor) de 15 a 40mH para montagem por insercao (PTH), com quatro pinos, de nucleo UU9.8 e fio de 0.19mm, 17mm de comprimento, 17mm de largura e 11.5mm de altura.</v>
          </cell>
        </row>
        <row r="309">
          <cell r="B309">
            <v>2030300093</v>
          </cell>
          <cell r="D309">
            <v>20650107</v>
          </cell>
          <cell r="E309">
            <v>85045010</v>
          </cell>
          <cell r="H309" t="str">
            <v xml:space="preserve">Bobina de auto-inducao (indutor fixo) de 4.7μH, para montagem em superficie SMD, tolerancia de 25%, 36m Ohms a 100MHz de resistencia, corrente maxima 1.2mA, dimensoes 3.2mm de comprimento, 1.6mm de largura e 2.0mm de altura (2030100221) SMT  </v>
          </cell>
        </row>
        <row r="310">
          <cell r="B310">
            <v>2030300262</v>
          </cell>
          <cell r="D310">
            <v>20691932</v>
          </cell>
          <cell r="E310">
            <v>85045010</v>
          </cell>
          <cell r="F310" t="str">
            <v>Need to update benefit</v>
          </cell>
          <cell r="G310">
            <v>85045000</v>
          </cell>
          <cell r="H310" t="str">
            <v>Bobina de autoinducao (indutor) de 40mH para montagem por insercao (PTH), 23mm de comprimento, 18mm de largura e 24mm de altura.</v>
          </cell>
        </row>
        <row r="311">
          <cell r="B311">
            <v>2030301011</v>
          </cell>
          <cell r="D311">
            <v>20691934</v>
          </cell>
          <cell r="E311">
            <v>85045010</v>
          </cell>
          <cell r="F311" t="str">
            <v>Need to update benefit</v>
          </cell>
          <cell r="G311">
            <v>85045000</v>
          </cell>
          <cell r="H311" t="str">
            <v>Bobina de auto-inducao (indutor) 60µH para montagem por insercao (PTH), de frequencia de 1kHZ, 50mΩ de resistencia, dimensoes 12mm de comprimento, 15mm de largura e7,5mm de altura.</v>
          </cell>
        </row>
        <row r="312">
          <cell r="B312">
            <v>2030500011</v>
          </cell>
          <cell r="D312">
            <v>20691909</v>
          </cell>
          <cell r="E312">
            <v>85045010</v>
          </cell>
          <cell r="H312" t="str">
            <v>Bobina de auto-inducao (indutor) de 1.0mH, para montagem por insercao (PTH), de frequencia de 1kHz, tolerancia de 10%, intensidade de corrente de 0.1A, 14Ω de resistencia, RAD-4mm/4.0 mm de comprimento, 10.5 mm de largura e 4.0mm de altura (2030500011) PTH</v>
          </cell>
        </row>
        <row r="313">
          <cell r="B313">
            <v>2030500392</v>
          </cell>
          <cell r="D313">
            <v>20691929</v>
          </cell>
          <cell r="E313">
            <v>85045010</v>
          </cell>
          <cell r="H313" t="str">
            <v>Bobina de auto-inducao (indutor) de 2µH, para montagem por insercao (PTH), de frequencia de 1Hz, tolerancia de 0%, intensidade de corrente de 1A, 0.1Ω de resistencia, 12.0 mm de comprimento, 12.0 mm de largura e 25.0 mm de altura (2030500392) PTH</v>
          </cell>
        </row>
        <row r="314">
          <cell r="B314">
            <v>2030500462</v>
          </cell>
          <cell r="D314">
            <v>20691945</v>
          </cell>
          <cell r="E314">
            <v>85045010</v>
          </cell>
          <cell r="H314" t="str">
            <v>Bobina de auto-inducao (indutor) de 950µH, para montagem por insercao (PTH), de frequencia de 10kHz, tolerancia de 10%, intensidade de corrente de 0.23A, 2Ω de resistencia, RAD-5mm/10.5 mm de comprimento, 13.5 mm de largura e 10.5 mm de altura (2030500462) PTH</v>
          </cell>
        </row>
        <row r="315">
          <cell r="B315">
            <v>2070101017</v>
          </cell>
          <cell r="D315">
            <v>20692008</v>
          </cell>
          <cell r="E315">
            <v>85065010</v>
          </cell>
          <cell r="F315">
            <v>85065010</v>
          </cell>
          <cell r="G315">
            <v>85065010</v>
          </cell>
          <cell r="H315" t="str">
            <v>BATERIA ELETRICA DE LÍTIO DE 3.6V 1.2Ah 50mA COM VOLUME EXTERIOR DE 26,87cm³ (REF.2070101017)</v>
          </cell>
        </row>
        <row r="316">
          <cell r="B316">
            <v>3010502120</v>
          </cell>
          <cell r="D316">
            <v>20291501</v>
          </cell>
          <cell r="E316">
            <v>85444200</v>
          </cell>
          <cell r="F316">
            <v>85444200</v>
          </cell>
          <cell r="H316" t="str">
            <v>PONTE DE COBRE FASE MUNIDA DE PINO RÍGIDO PARA CONEXAO, CONDUTORA ELeTRICA PARA APLICAcAO EM TENSAO DE ATe 240V, ESTANHADA PARCIALMENTE, DIMENSoES 34x30,5x10,1mm, CORRENTE MaXIMA DE 120A (3010502120)</v>
          </cell>
        </row>
        <row r="317">
          <cell r="B317">
            <v>3010502170</v>
          </cell>
          <cell r="D317">
            <v>20291701</v>
          </cell>
          <cell r="E317">
            <v>85444200</v>
          </cell>
          <cell r="F317">
            <v>85444200</v>
          </cell>
          <cell r="G317">
            <v>85444200</v>
          </cell>
          <cell r="H317" t="str">
            <v>PONTE DE COBRE FASE MUNIDA DE PINO RÍGIDO PARA CONEXAO, CONDUTORA ELeTRCA PARA APLICAcAO EM TENSAO DE ATe 240V, ESTANHADA PARCIALMENTE, DIMENSoES 138x48,4x24mm, CORRENTE MaXIMA DE 120A (3010502170)</v>
          </cell>
        </row>
        <row r="318">
          <cell r="B318">
            <v>3090105150</v>
          </cell>
          <cell r="D318">
            <v>40272105</v>
          </cell>
          <cell r="E318">
            <v>85444200</v>
          </cell>
          <cell r="F318">
            <v>85444200</v>
          </cell>
          <cell r="G318">
            <v>85444200</v>
          </cell>
          <cell r="H318" t="str">
            <v>PONTE DE COBRE FASE B MUNIDA DE FURO 5,5mm PARA CONEXAO, CONDUTORA ELeTRICA PARA APLICAcAO EM TENSAO DE ATe 240V, ESTANHADA, CONFORMADA DIAMETRO 5,4mm, CORRENTE MaXIMA DE 120A (3090105150)</v>
          </cell>
        </row>
        <row r="319">
          <cell r="B319">
            <v>2040301012</v>
          </cell>
          <cell r="D319">
            <v>20691806</v>
          </cell>
          <cell r="E319">
            <v>85423939</v>
          </cell>
          <cell r="F319">
            <v>85423939</v>
          </cell>
          <cell r="H319" t="str">
            <v>Circuito integrado eletronico tipo optoacoplador, montado, proprio para montagem em superfície SMD - 50mA,300~450lf=5mAVce=5V/200~400lf=2mAVce=5V 80V 1.3V 5000V(2040301012)SMD</v>
          </cell>
        </row>
        <row r="320">
          <cell r="B320">
            <v>2040301021</v>
          </cell>
          <cell r="D320">
            <v>20691902</v>
          </cell>
          <cell r="E320">
            <v>85423939</v>
          </cell>
          <cell r="F320">
            <v>85423939</v>
          </cell>
          <cell r="G320">
            <v>85423939</v>
          </cell>
          <cell r="H320" t="str">
            <v>Circuito integrado eletronico tipo optoacoplador, montado, proprio para montagem em superfície SMD - 50mA;300~500If=5mAVce=5V/200~500If=2mAVce=5V;80V;5000V;5V(2040301021)SMD</v>
          </cell>
        </row>
        <row r="321">
          <cell r="B321">
            <v>2120302761</v>
          </cell>
          <cell r="D321">
            <v>20661003</v>
          </cell>
          <cell r="E321">
            <v>85241100</v>
          </cell>
          <cell r="F321">
            <v>85241100</v>
          </cell>
          <cell r="G321">
            <v>85241100</v>
          </cell>
          <cell r="H321" t="str">
            <v>MoDULO DE VISUALIZAcAO DE TELA (eCRA) PLANA (DISPLAY) DE CRISTAL LÍQUIDO (LCD)  SEM CONTROLADOR (DRIVERS) NEM CIRCUITOS DE CONTROLE 3.4V,6COM,22SEG,13mm,18.80*62.75mm,HTN  para apresentacAo de Codigo, valor e unidade de Energia e demais grandezas exibidas, apresentacAo de símbolos indicadores de tarifa corrente, quadrande de energia, Bateria Fraca, LCD - Modo Alternativo, Horario de VerAo, Alarmes (ref.2120302761)</v>
          </cell>
        </row>
        <row r="322">
          <cell r="B322">
            <v>2120302791</v>
          </cell>
          <cell r="D322">
            <v>20661008</v>
          </cell>
          <cell r="E322">
            <v>85241100</v>
          </cell>
          <cell r="F322">
            <v>85241100</v>
          </cell>
          <cell r="G322">
            <v>85241100</v>
          </cell>
          <cell r="H322" t="str">
            <v>MoDULO DE VISUALIZAcAO DE TELA (eCRA) PLANA (DISPLAY) DE CRISTAL LÍQUIDO (LCD)  SEM CONTROLADOR (DRIVERS) NEM CIRCUITOS DE CONTROLE 3.4V 6COM 24SEG 36mm 61.92*20.85mm HTN PTH  para apresentacAo de Codigo, valor e unidade de Energia e demais grandezas exibidas, apresentacAo de símbolos indicadores de tarifa corrente, quadrande de energia, Bateria Fraca, LCD - Modo Alternativo, Horario de VerAo, Alarmes (ref.2120302791)</v>
          </cell>
        </row>
        <row r="323">
          <cell r="B323">
            <v>2120302841</v>
          </cell>
          <cell r="D323">
            <v>20640106</v>
          </cell>
          <cell r="E323">
            <v>85241100</v>
          </cell>
          <cell r="F323">
            <v>85241100</v>
          </cell>
          <cell r="G323">
            <v>85241100</v>
          </cell>
          <cell r="H323" t="str">
            <v>MoDULO DE VISUALIZAcAO DE TELA (eCRA) PLANA (DISPLAY) DE CRISTAL LÍQUIDO (LCD) SEM CONTROLADOR (DRIVERS) NEM CIRCUITOS DE CONTROLE 3.4V±0.2V ,6COM ,22SEG, 24,5mm para apresentacAo de Codigo, valor e unidade de Energia e demais grandezas exibidas, apresentacAo de símbolos indicadores de tarifa corrente, quadrande de energia, Bateria Fraca, LCD - Modo Alternativo, Horario de VerAo, Alarmes(ref.2120302841)</v>
          </cell>
        </row>
        <row r="324">
          <cell r="B324">
            <v>2120304123</v>
          </cell>
          <cell r="D324">
            <v>20640111</v>
          </cell>
          <cell r="E324">
            <v>85241100</v>
          </cell>
          <cell r="F324">
            <v>85241100</v>
          </cell>
          <cell r="G324">
            <v>85241100</v>
          </cell>
          <cell r="H324" t="str">
            <v>MoDULO DE VISUALIZAcAO DE TELA (eCRA) PLANA (DISPLAY) DE CRISTAL LÍQUIDO ( LCD)  SEM CONTROLADOR (DRIVERS) NEM CIRCUITOS DE CONTROLE 4.5mm*10mm/6 3.4V 6*12;26.0mm 49.5*16.2mm PTH  para apresentacAo de Codigo, valor e unidade de Energia e demais grandezas exibidas, apresentacAo de símbolos indicadores de tarifa corrente, quadrande de energia, Bateria Fraca, LCD - Modo Alternativo, Horario de VerAo, Alarmes (2120304123)</v>
          </cell>
        </row>
        <row r="325">
          <cell r="B325">
            <v>2030900021</v>
          </cell>
          <cell r="D325">
            <v>20624905</v>
          </cell>
          <cell r="E325">
            <v>85045010</v>
          </cell>
          <cell r="H325" t="str">
            <v xml:space="preserve">Bobina de auto-inducao (indutor fixo) 10~100µH, para montagem em superficie SMD, tolerancia de 25%, 2m Ohms de resistencia, corrente maxima 0.1A, encapsulamento 0805, dimensoes 3.0mm de comprimento, 3.0mm de largura e 1.0mm de altura (2030100221) SMT  </v>
          </cell>
        </row>
        <row r="326">
          <cell r="B326">
            <v>2030900131</v>
          </cell>
          <cell r="D326">
            <v>20650110</v>
          </cell>
          <cell r="E326">
            <v>85045010</v>
          </cell>
          <cell r="H326" t="str">
            <v xml:space="preserve">Bobina de auto-inducao (indutor fixo) 1.6µH, para montagem em superficie SMD, de frequencia de 1GHz, tolerancia de 25%, 1.8 Ohms de resistencia, corrente maxima 50mA, encapsulamento 0603, dimensoes 1.6mm de comprimento, 0.8mm de largura e 0.6mm de altura (2030900131) SMT  </v>
          </cell>
        </row>
        <row r="327">
          <cell r="B327">
            <v>2090701450</v>
          </cell>
          <cell r="D327">
            <v>20213101</v>
          </cell>
          <cell r="E327">
            <v>85365090</v>
          </cell>
          <cell r="F327">
            <v>85365090</v>
          </cell>
          <cell r="G327">
            <v>85365090</v>
          </cell>
          <cell r="H327" t="str">
            <v>UNIDADE SECCIONADORA DE CIRCUITOS ELeTRICOS, PARA APLICAcAO EM TENSAO DE ATe 250V, TIPO FIM DE CURSO PARA DE SENSOR DE ABERTURA DE PORTA, ESPECIFICAcoES 15A, 50/60Hz, RESISTeNCIA DE CONTATO 25mΩ (2090701450)</v>
          </cell>
        </row>
        <row r="328">
          <cell r="B328">
            <v>2030500021</v>
          </cell>
          <cell r="D328">
            <v>20691903</v>
          </cell>
          <cell r="E328">
            <v>85045010</v>
          </cell>
          <cell r="F328" t="str">
            <v>Need to update benefit</v>
          </cell>
          <cell r="G328">
            <v>85045000</v>
          </cell>
          <cell r="H328" t="str">
            <v>Bobina de auto-inducao (indutor) de chip de 1.0mH, para montagem por insercao (PTH), de frequencia de 1kHz, tolerancia de 10%, intensidade de corrente de 0.1A, 14Ω de resistencia, RAD-4mm/10.5 mm de comprimento, 4.0 mm de largura e 4.0 mm de altura.</v>
          </cell>
        </row>
        <row r="329">
          <cell r="B329">
            <v>2120302131</v>
          </cell>
          <cell r="D329">
            <v>20661005</v>
          </cell>
          <cell r="E329">
            <v>85241100</v>
          </cell>
          <cell r="F329">
            <v>85241100</v>
          </cell>
          <cell r="G329">
            <v>85241100</v>
          </cell>
          <cell r="H329" t="str">
            <v>MoDULO DE VISUALIZAcAO DE TELA (eCRA) PLANA (DISPLAY) DE CRISTAL LÍQUIDO (LCD)  SEM CONTROLADOR (DRIVERS) NEM CIRCUITOS DE CONTROLE 3.3V 6COM 18SEG 26.0mm 18.3*54.3mm HTN PTH para apresentacAo de Codigo, valor e unidade de Energia e demais grandezas exibidas, apresentacAo de símbolos indicadores de tarifa corrente, quadrande de energia, Bateria Fraca, LCD - Modo Alternativo, Horario de VerAo, Alarmes(ref.2120302131)</v>
          </cell>
        </row>
        <row r="330">
          <cell r="B330">
            <v>2120303460</v>
          </cell>
          <cell r="D330">
            <v>20640105</v>
          </cell>
          <cell r="E330">
            <v>85241100</v>
          </cell>
          <cell r="F330">
            <v>85241100</v>
          </cell>
          <cell r="G330">
            <v>85241100</v>
          </cell>
          <cell r="H330" t="str">
            <v>MoDULO DE VISUALIZAcAO DE TELA (eCRA) PLANA (DISPLAY) DE CRISTAL LÍQUIDO (LCD)  SEM CONTROLADOR (DRIVERS) NEM CIRCUITOS DE CONTROLE 3.3V 6COM 26SEG 17.5mm 22*52.4mm HTN  para apresentacAo de Codigo, valor e unidade de Energia e demais grandezas exibidas, apresentacAo de símbolos indicadores de tarifa corrente, quadrande de energia, Bateria Fraca, LCD - Modo Alternativo, Horario de VerAo, Alarmes (ref 2120303460)</v>
          </cell>
        </row>
        <row r="331">
          <cell r="B331">
            <v>2120306101</v>
          </cell>
          <cell r="D331">
            <v>20661016</v>
          </cell>
          <cell r="E331">
            <v>85241100</v>
          </cell>
          <cell r="G331">
            <v>85241100</v>
          </cell>
          <cell r="H331" t="str">
            <v>Modulo de visualizacAo (ecrA), de cristal líquido (LCD), sem controlador (drivers) nem circuitos de controle HTN 49,5*16,2mm 3,4V 6*18 30mm PTH (2120306101)</v>
          </cell>
        </row>
        <row r="332">
          <cell r="B332">
            <v>2020301562</v>
          </cell>
          <cell r="D332">
            <v>20672666</v>
          </cell>
          <cell r="E332">
            <v>85322200</v>
          </cell>
          <cell r="F332">
            <v>85322200</v>
          </cell>
          <cell r="G332">
            <v>85322200</v>
          </cell>
          <cell r="H332" t="str">
            <v>CAPACITOR (CONDENSADOR ELeTRICO FIXO) ELETROLÍTICO  DE ALUMÍNIO  22uF 450V 20por cento KSP 10000h RAD-5mm/F12.5*20mm PTH (2020301562)</v>
          </cell>
        </row>
        <row r="333">
          <cell r="B333">
            <v>2050500063</v>
          </cell>
          <cell r="D333">
            <v>20660328</v>
          </cell>
          <cell r="E333">
            <v>85423221</v>
          </cell>
          <cell r="F333">
            <v>85423221</v>
          </cell>
          <cell r="G333">
            <v>85423221</v>
          </cell>
          <cell r="H333" t="str">
            <v>CIRCUITO INTEGRADO ELETRoNICO DE MEMoRIA TIPO EEPROM, MONTADO, PRoPRIO PARA MONTAGEM EM SUPERFÍCIE SMD, DE CAPACIDADE DE MEMoRIA 16KBytes (128 Kbits), DE TEMPO DE ACESSO DE 25nS - 128kB 1.8-5.5V I2C SO8 (2050500063)</v>
          </cell>
        </row>
        <row r="334">
          <cell r="B334">
            <v>2060100011</v>
          </cell>
          <cell r="D334">
            <v>20633722</v>
          </cell>
          <cell r="E334">
            <v>85411012</v>
          </cell>
          <cell r="F334">
            <v>85411012</v>
          </cell>
          <cell r="G334">
            <v>85411012</v>
          </cell>
          <cell r="H334" t="str">
            <v>DISPOSITIVO SEMICONDUTOR TIPO DIODO REGULADOR, NAO MONTADO, DE INTENSIDADE DE CORRENTE 0,2A - 0.23V,30V SOT-23,5ns (ref.2060100011)</v>
          </cell>
        </row>
        <row r="335">
          <cell r="B335">
            <v>2060100311</v>
          </cell>
          <cell r="D335">
            <v>20633716</v>
          </cell>
          <cell r="E335">
            <v>85411012</v>
          </cell>
          <cell r="F335">
            <v>85411012</v>
          </cell>
          <cell r="G335">
            <v>85411012</v>
          </cell>
          <cell r="H335" t="str">
            <v>DISPOSITIVO SEMICONDUTOR TIPO DIODO RETIFICADOR, NAO MONTADO, DE INTENSIDADE DE CORRENTE 1A - (ref.2060100311)</v>
          </cell>
        </row>
        <row r="336">
          <cell r="B336">
            <v>2020300451</v>
          </cell>
          <cell r="D336">
            <v>20660611</v>
          </cell>
          <cell r="E336">
            <v>85322200</v>
          </cell>
          <cell r="F336">
            <v>85322200</v>
          </cell>
          <cell r="G336">
            <v>85322200</v>
          </cell>
          <cell r="H336" t="str">
            <v>CAPACITOR (CONDENSADOR ELeTRICO FIXO) ELETROLITICO DE ALUMÍNIO 470uF 20por cento 16V YXF RAD-5mm PTH (ref.2020300451)</v>
          </cell>
        </row>
        <row r="337">
          <cell r="B337">
            <v>2060100091</v>
          </cell>
          <cell r="D337">
            <v>20630703</v>
          </cell>
          <cell r="E337">
            <v>85411012</v>
          </cell>
          <cell r="F337">
            <v>85411012</v>
          </cell>
          <cell r="G337">
            <v>85411012</v>
          </cell>
          <cell r="H337" t="str">
            <v>DISPOSITIVO SEMICONDUTOR TIPO DIODO RETIFICADOR, NAO MONTADO, DE INTENSIDADE DE CORRENTE 1A (2060100091)</v>
          </cell>
        </row>
        <row r="338">
          <cell r="B338">
            <v>2050500024</v>
          </cell>
          <cell r="D338">
            <v>20660368</v>
          </cell>
          <cell r="E338">
            <v>85423221</v>
          </cell>
          <cell r="F338">
            <v>85423221</v>
          </cell>
          <cell r="G338">
            <v>85423221</v>
          </cell>
          <cell r="H338" t="str">
            <v>CIRCUITO INTEGRADO ELETRoNICO DE MEMoRIA MEMoRIA FLASH, MONTADO, PRoPRIO PARA MONTAGEM EM SUPERFÍCIE SMD, DE CAPACIDADE DE MEMoRIA 2MBytes (16 Mbits) E TEMPO DE ACESSO 13 nS(ref.2050500024)</v>
          </cell>
        </row>
        <row r="339">
          <cell r="B339">
            <v>2040300011</v>
          </cell>
          <cell r="D339">
            <v>20691900</v>
          </cell>
          <cell r="E339">
            <v>85423939</v>
          </cell>
          <cell r="F339">
            <v>85423939</v>
          </cell>
          <cell r="G339">
            <v>85423939</v>
          </cell>
          <cell r="H339" t="str">
            <v>Circuito integrado eletronico tipo optoacoplador, montado, proprio para montagem em superfície SMD - CTR 300-470 (REF. I02460-1 - ref.2040300011)</v>
          </cell>
        </row>
        <row r="340">
          <cell r="B340">
            <v>2040300012</v>
          </cell>
          <cell r="D340">
            <v>20691919</v>
          </cell>
          <cell r="E340">
            <v>85423939</v>
          </cell>
          <cell r="F340">
            <v>85423939</v>
          </cell>
          <cell r="H340" t="str">
            <v>Circuito integrado eletronico tipo optoacoplador, montado, proprio para montagem em superfície SMD - CTR 300-500 (ref.2040300012)</v>
          </cell>
        </row>
        <row r="341">
          <cell r="B341">
            <v>3040301140</v>
          </cell>
          <cell r="D341">
            <v>20291100</v>
          </cell>
          <cell r="E341">
            <v>85444200</v>
          </cell>
          <cell r="F341">
            <v>85444200</v>
          </cell>
          <cell r="G341">
            <v>85444200</v>
          </cell>
          <cell r="H341" t="str">
            <v>PONTE DE COBRE NEUTRO MUNIDA DE PINO RÍGIDO PARA CONEXAO, CONDUTORA ELeTRICA PARA APLICAcAO EM TENSAO DE ATe 240V, ESTANHADA, DIMENSoES 32,5x31x10mm, CORRENTE MaXIMA DE 120A (3040301140)</v>
          </cell>
        </row>
        <row r="342">
          <cell r="B342">
            <v>3040303540</v>
          </cell>
          <cell r="D342">
            <v>20291402</v>
          </cell>
          <cell r="E342">
            <v>85444200</v>
          </cell>
          <cell r="F342">
            <v>85444200</v>
          </cell>
          <cell r="G342">
            <v>85444200</v>
          </cell>
          <cell r="H342" t="str">
            <v>PONTE DE COBRE NEUTRO MUNIDA DE PINO RÍGIDO PARA CONEXAO, CONDUTORA ELeTRICA PARA APLICAcAO EM TENSAO DE ATe 240V, ESTANHADA, DIMENSoES 31x25x15mm, CORRENTE MaXIMA DE 120A  (3040303540)</v>
          </cell>
        </row>
        <row r="343">
          <cell r="B343">
            <v>3042500280</v>
          </cell>
          <cell r="D343">
            <v>40272100</v>
          </cell>
          <cell r="E343">
            <v>85444200</v>
          </cell>
          <cell r="F343">
            <v>85444200</v>
          </cell>
          <cell r="G343">
            <v>85444200</v>
          </cell>
          <cell r="H343" t="str">
            <v>PONTE DE COBRE NEUTRO MUNIDA DE FIO PRETO (140mm) PARA CONEXAO, CONDUTORA ELeTRICA PARA APLICAcAO EM TENSAO DE ATe 240V, ESTANHADA, DIMENSoES 36x32x11mm, CORRENTE MaXIMA DE 120A  (3042500280)</v>
          </cell>
        </row>
        <row r="344">
          <cell r="B344">
            <v>3090100190</v>
          </cell>
          <cell r="D344">
            <v>40270102</v>
          </cell>
          <cell r="E344">
            <v>85444200</v>
          </cell>
          <cell r="F344">
            <v>85444200</v>
          </cell>
          <cell r="G344">
            <v>85444200</v>
          </cell>
          <cell r="H344" t="str">
            <v>PONTE DE COBRE FASE B MUNIDA DE FIO VERDE (120mm) PARA CONEXAO,  CONDUTORA ELeTRICA PARA APLICAcAO EM TENSAO DE ATe 240V, ESTANHADA, DIMENSoES 100x68,3x5,5mm, CORRENTE MaXIMA DE 120A (3090100190)</v>
          </cell>
        </row>
        <row r="345">
          <cell r="B345">
            <v>3090100200</v>
          </cell>
          <cell r="D345">
            <v>40270103</v>
          </cell>
          <cell r="E345">
            <v>85444200</v>
          </cell>
          <cell r="F345">
            <v>85444200</v>
          </cell>
          <cell r="G345">
            <v>85444200</v>
          </cell>
          <cell r="H345" t="str">
            <v>PONTE DE COBRE FASE C MUNIDA DE FIO VERMELHO (120mm) PARA CONEXAO, CONDUTORA ELeTRICA PARA APLICAcAO EM TENSAO DE ATe 240V, ESTANHADA, DIMENSoES 68x48,3x5,5mm, CORRENTE MaXIMA DE 120A (3090100200)</v>
          </cell>
        </row>
        <row r="346">
          <cell r="B346">
            <v>3090104260</v>
          </cell>
          <cell r="D346">
            <v>40272400</v>
          </cell>
          <cell r="E346">
            <v>85444200</v>
          </cell>
          <cell r="F346">
            <v>85444200</v>
          </cell>
          <cell r="G346">
            <v>85444200</v>
          </cell>
          <cell r="H346" t="str">
            <v>PONTE DE COBRE FASE A MUNIDA DE PINO RÍGIDO PARA CONEXAO, CONDUTORA ELeTRICA PARA APLICAcAO EM TENSAO DE ATe 240V, ESTANHADA, DIMENSoES 132x109,8x5,5mm, CORRENTE MaXIMA DE 120A (3090104260)</v>
          </cell>
        </row>
        <row r="347">
          <cell r="B347">
            <v>3090104270</v>
          </cell>
          <cell r="D347">
            <v>40272401</v>
          </cell>
          <cell r="E347">
            <v>85444200</v>
          </cell>
          <cell r="F347">
            <v>85444200</v>
          </cell>
          <cell r="G347">
            <v>85444200</v>
          </cell>
          <cell r="H347" t="str">
            <v>PONTE DE COBRE FASE B MUNIDA DE PINO RÍGIDO PARA CONEXAO, CONDUTORA ELeTRICA PARA APLICAcAO EM TENSAO DE ATe 240V, ESTANHADA, DIMENSoES 100x95,1x5,5mm, CORRENTE MaXIMA DE 120A (3090104270)</v>
          </cell>
        </row>
        <row r="348">
          <cell r="B348">
            <v>3040300010</v>
          </cell>
          <cell r="D348">
            <v>40270100</v>
          </cell>
          <cell r="E348">
            <v>85444200</v>
          </cell>
          <cell r="F348">
            <v>85444200</v>
          </cell>
          <cell r="G348">
            <v>85444200</v>
          </cell>
          <cell r="H348" t="str">
            <v>PONTE DE COBRE NEUTRO MUNIDA DE FIO PRETO (120mm) PARA CONEXAO, CONDUTORA ELeTRICA PARA APLICAcAO EM TENSAO DE ATe 240V, ESTANHADA, DIMENSoES 35,9x25,5x12,75mm, CORRENTE MaXIMA DE 120A (3040300010)</v>
          </cell>
        </row>
        <row r="349">
          <cell r="B349">
            <v>3040301130</v>
          </cell>
          <cell r="D349">
            <v>20291200</v>
          </cell>
          <cell r="E349">
            <v>85444200</v>
          </cell>
          <cell r="F349">
            <v>85444200</v>
          </cell>
          <cell r="G349">
            <v>85444200</v>
          </cell>
          <cell r="H349" t="str">
            <v>PONTE DE COBRE NEUTRO MUNIDA DE PINO RÍGIDO PARA CONEXAO, CONDUTORA ELeTRICA PARA APLICAcAO EM TENSAO DE ATe 240V, ESTANHADA, DIMENSoES 36x40,5x10,8mm, CORRENTE MaXIMA DE 120A (3040301130)</v>
          </cell>
        </row>
        <row r="350">
          <cell r="B350">
            <v>3040302490</v>
          </cell>
          <cell r="D350">
            <v>40273002</v>
          </cell>
          <cell r="E350">
            <v>85444200</v>
          </cell>
          <cell r="F350">
            <v>85444200</v>
          </cell>
          <cell r="G350">
            <v>85444200</v>
          </cell>
          <cell r="H350" t="str">
            <v>PONTE DE COBRE FASE C MUNIDA DE FIO VERMELHO (300mm) PARA CONEXAO, CONDUTORA ELeTRICA PARA APLICAcAO EM TENSAO DE ATe 240V, ESTANHADA, DIMENSoES 65,4x90,8x5mm, CORRENTE MaXIMA DE 200A (3040302490)</v>
          </cell>
        </row>
        <row r="351">
          <cell r="B351">
            <v>3040302500</v>
          </cell>
          <cell r="D351">
            <v>40273000</v>
          </cell>
          <cell r="E351">
            <v>85444200</v>
          </cell>
          <cell r="F351">
            <v>85444200</v>
          </cell>
          <cell r="G351">
            <v>85444200</v>
          </cell>
          <cell r="H351" t="str">
            <v>PONTE DE COBRE FASE A MUNIDA DE FIO AMARELO (300mm) PARA CONEXAO, CONDUTORA ELeTRICA PARA APLICAcAO EM ATe 240V, ESTANHADA, DIMENSoES 145,5x165,8x5mm, CORRENTE MaXIMA DE 200A (3040302500)</v>
          </cell>
        </row>
        <row r="352">
          <cell r="B352">
            <v>3040302510</v>
          </cell>
          <cell r="D352">
            <v>40273001</v>
          </cell>
          <cell r="E352">
            <v>85444200</v>
          </cell>
          <cell r="F352">
            <v>85444200</v>
          </cell>
          <cell r="G352">
            <v>85444200</v>
          </cell>
          <cell r="H352" t="str">
            <v>PONTE DE COBRE FASE B MUNIDA DE FIO VERDE (300mm) PARA CONEXAO, CONDUTORA ELeTRICA PARA APLICAcAO EM TENSAO DE ATe 240V, ESTANHADA, DIMENSoES 105,6x127,1x5mm, CORRENTE MaXIMA DE 200A (3040302510)</v>
          </cell>
        </row>
        <row r="353">
          <cell r="B353">
            <v>3090100180</v>
          </cell>
          <cell r="D353">
            <v>40270101</v>
          </cell>
          <cell r="E353">
            <v>85444200</v>
          </cell>
          <cell r="F353">
            <v>85444200</v>
          </cell>
          <cell r="G353">
            <v>85444200</v>
          </cell>
          <cell r="H353" t="str">
            <v>PONTE DE COBRE FASE A MUNIDA DE FIO AMARELO (140mm) PARA CONEXAO, CONDUTORA ELeTRICA PARA APLICAcAO EM TENSAO DE ATe 240V, ESTANHADA, DIMENSoES 131,9x86,3x5,5mm, CORRENTE MaXIMA DE 120A (3090100180)</v>
          </cell>
        </row>
        <row r="354">
          <cell r="B354">
            <v>3090104280</v>
          </cell>
          <cell r="D354">
            <v>40272402</v>
          </cell>
          <cell r="E354">
            <v>85444200</v>
          </cell>
          <cell r="F354">
            <v>85444200</v>
          </cell>
          <cell r="G354">
            <v>85444200</v>
          </cell>
          <cell r="H354" t="str">
            <v>PONTE DE COBRE FASE C MUNIDA DE PINO RÍGIDO PARA CONEXAO, CONDUTORA ELeTRICA PARA APLICAcAO EM TENSAO DE ATe 240V, ESTANHADA, DIMENSoES 70x62,8x5,5mm, CORRENTE MaXIMA DE 120A (3090104280)</v>
          </cell>
        </row>
        <row r="355">
          <cell r="B355">
            <v>3090104290</v>
          </cell>
          <cell r="D355">
            <v>40272101</v>
          </cell>
          <cell r="E355">
            <v>85444200</v>
          </cell>
          <cell r="F355">
            <v>85444200</v>
          </cell>
          <cell r="G355">
            <v>85444200</v>
          </cell>
          <cell r="H355" t="str">
            <v>PONTE DE COBRE FASE A MUNIDA DE FIO AMARELO (140mm) PARA CONEXAO, CONDUTORA ELeTRICA PARA APLICAcAO EM TENSAO DE ATe 240V, ESTANHADA, CONFORMADA DIAMETRO 5,4mm, CORRENTE MaXIMA DE 120A (3090104290)</v>
          </cell>
        </row>
        <row r="356">
          <cell r="B356">
            <v>3090104310</v>
          </cell>
          <cell r="D356">
            <v>40272103</v>
          </cell>
          <cell r="E356">
            <v>85444200</v>
          </cell>
          <cell r="F356">
            <v>85444200</v>
          </cell>
          <cell r="G356">
            <v>85444200</v>
          </cell>
          <cell r="H356" t="str">
            <v>PONTE DE COBRE FASE C MUNIDA DE FIO VERMELHO (140mm) PARA CONEXAO, CONDUTORA ELeTRICA PARA APLICAcAO EM TENSAO DE ATe 240V, ESTANHADA, CONFORMADA DIAMETRO 5,4mm, CORRENTE MaXIMA DE 120A (3090104310)</v>
          </cell>
        </row>
        <row r="357">
          <cell r="B357">
            <v>3090104300</v>
          </cell>
          <cell r="D357">
            <v>40272102</v>
          </cell>
          <cell r="E357">
            <v>85444200</v>
          </cell>
          <cell r="F357">
            <v>85444200</v>
          </cell>
          <cell r="G357">
            <v>85444200</v>
          </cell>
          <cell r="H357" t="str">
            <v>PONTE DE COBRE FASE B MUNIDA DE FIO VERDE (140mm) PARA CONEXAO, CONDUTORA ELeTRICA PARA APLICAcAO EM TENSAO DE ATe 240V, ESTANHADA, CONFORMADA DIAMETRO 5,4mm, CORRENTE MaXIMA DE 120A (3090104300)</v>
          </cell>
        </row>
        <row r="358">
          <cell r="B358">
            <v>3010500400</v>
          </cell>
          <cell r="D358">
            <v>20291000</v>
          </cell>
          <cell r="E358">
            <v>85444200</v>
          </cell>
          <cell r="F358">
            <v>85444200</v>
          </cell>
          <cell r="G358">
            <v>85444200</v>
          </cell>
          <cell r="H358" t="str">
            <v>PONTE DE COBRE FASE MUNIDA DE PINO RÍGIDO PARA CONEXAO, CONDUTORA ELeTRICA PARA APLICAcAO EM TENSAO DE ATe 240V, ESTANHADA, DIMENSoES 65x35,1x10mm, CORRENTE MaXIMA DE 120A (3010500400)</v>
          </cell>
        </row>
        <row r="359">
          <cell r="B359">
            <v>3010500410</v>
          </cell>
          <cell r="D359">
            <v>20291001</v>
          </cell>
          <cell r="E359">
            <v>85444200</v>
          </cell>
          <cell r="F359">
            <v>85444200</v>
          </cell>
          <cell r="G359">
            <v>85444200</v>
          </cell>
          <cell r="H359" t="str">
            <v>PONTE DE COBRE FASE MUNIDA DE PINO RÍGIDO PARA CONEXAO, CONDUTORA ELeTRICA PARA APLICAcAO EM TENSAO DE ATe 240V, ESTANHADA, DIMENSoES 32,5x30,8x9,9mm, CORRENTE MaXIMA DE 120A (3010500410)</v>
          </cell>
        </row>
        <row r="360">
          <cell r="B360">
            <v>2041100274</v>
          </cell>
          <cell r="D360">
            <v>20640718</v>
          </cell>
          <cell r="E360">
            <v>85414111</v>
          </cell>
          <cell r="F360">
            <v>85414111</v>
          </cell>
          <cell r="G360">
            <v>85414111</v>
          </cell>
          <cell r="H360" t="str">
            <v>DIODO EMISSOR DE LUZ (LED) NAO MONTADO 18~54mcd 2~2.4V 30mA 0603 SMD (2041100274)</v>
          </cell>
        </row>
        <row r="361">
          <cell r="B361">
            <v>2040400230</v>
          </cell>
          <cell r="D361">
            <v>20690610</v>
          </cell>
          <cell r="E361">
            <v>85414290</v>
          </cell>
          <cell r="F361">
            <v>85414290</v>
          </cell>
          <cell r="G361">
            <v>85414290</v>
          </cell>
          <cell r="H361" t="str">
            <v>DISPOSITIVO FOTOSSENSÍVEL SEMICONDUTOR TIPO FOTOTRANSISTOR (CeLULA FOTOVOLTAICA) NAO MONTADA EM MoDULO OU PAINEL F5 1.35V 940nm RAD-2.54mm 3.6±0.5mm  Azul (2040400230)</v>
          </cell>
        </row>
        <row r="362">
          <cell r="B362">
            <v>2040500180</v>
          </cell>
          <cell r="D362">
            <v>20690606</v>
          </cell>
          <cell r="E362">
            <v>85414290</v>
          </cell>
          <cell r="F362">
            <v>85414290</v>
          </cell>
          <cell r="G362">
            <v>85414290</v>
          </cell>
          <cell r="H362" t="str">
            <v>DISPOSITIVO FOTOSSENSÍVEL SEMICONDUTOR TIPO FOTOTRANSISTOR (CeLULA FOTOVOLTAICA) NAO MONTADA EM MoDULO OU PAINEL F5 1.2V 940nm RAD-2.54mm 3.6±0.5mm Preto  (2040500180)PTH</v>
          </cell>
        </row>
        <row r="363">
          <cell r="B363">
            <v>2050903861</v>
          </cell>
          <cell r="D363">
            <v>20691624</v>
          </cell>
          <cell r="E363">
            <v>85423920</v>
          </cell>
          <cell r="F363">
            <v>85423920</v>
          </cell>
          <cell r="H363" t="str">
            <v>CIRCUITO INTEGRADO ELETRoNICO TIPO REGULADOR DE TENSAO, NAO MONTADO - LDO 1.5uA 0-36V 100mA 3.3V SOT89 25m (2050903861)</v>
          </cell>
        </row>
        <row r="364">
          <cell r="B364">
            <v>2050300931</v>
          </cell>
          <cell r="D364">
            <v>20660383</v>
          </cell>
          <cell r="E364">
            <v>85423120</v>
          </cell>
          <cell r="F364">
            <v>85423120</v>
          </cell>
          <cell r="G364">
            <v>85423120</v>
          </cell>
          <cell r="H364" t="str">
            <v xml:space="preserve">Circuito integrado eletronico montado, proprio para montagem em superfície SMD, processador de medicAo, modelo de Microprocessador de 8 bits , frequencia de clock 8MHz, 3.3-5VV 1 1 SOP8 (2050300931)       </v>
          </cell>
        </row>
        <row r="365">
          <cell r="B365">
            <v>2050501721</v>
          </cell>
          <cell r="D365">
            <v>20680121</v>
          </cell>
          <cell r="E365">
            <v>85423221</v>
          </cell>
          <cell r="F365">
            <v>85423221</v>
          </cell>
          <cell r="G365">
            <v>85423221</v>
          </cell>
          <cell r="H365" t="str">
            <v>CIRCUITO INTEGRADO ELETRoNICO DE MEMoRIA TIPO FLASH, DE CAPACIDADE 16MBytes, MONTADA, PRoPRIA PARA MONTAGEM EM SUPERFÍCIE SMD, DE TEMPO DE ACESSO 125nS (2050501721)</v>
          </cell>
        </row>
        <row r="366">
          <cell r="B366">
            <v>2050900211</v>
          </cell>
          <cell r="D366">
            <v>20660314</v>
          </cell>
          <cell r="E366">
            <v>85423920</v>
          </cell>
          <cell r="F366">
            <v>85423920</v>
          </cell>
          <cell r="H366" t="str">
            <v>CIRCUITO INTEGRADO ELETRoNICO TIPO REGULADOR DE TENSAO, NAO MONTADO - LDO 7~24V 5V 3por cento 30mA SOT-89 (E01177)  (1000) (2050900211)</v>
          </cell>
        </row>
        <row r="367">
          <cell r="B367">
            <v>2050900031</v>
          </cell>
          <cell r="D367">
            <v>20691614</v>
          </cell>
          <cell r="E367">
            <v>85423920</v>
          </cell>
          <cell r="F367">
            <v>85423920</v>
          </cell>
          <cell r="H367" t="str">
            <v>CIRCUITO INTEGRADO ELETRoNICO  TIPO REGULADOR DE TENSAO, NAO MONTADO - LDO 6~30V 100mA 5V SOT-89 (2050900031)</v>
          </cell>
        </row>
        <row r="368">
          <cell r="B368">
            <v>2050903132</v>
          </cell>
          <cell r="D368">
            <v>20660385</v>
          </cell>
          <cell r="E368">
            <v>85423920</v>
          </cell>
          <cell r="F368">
            <v>85423920</v>
          </cell>
          <cell r="H368" t="str">
            <v>CIRCUITO INTEGRADO ELETRoNICO TIPO REGULADOR DE TENSAO, NAO MONTADO - LDO -0.3~36V 150mA 3.3V SOT-89 TPL78L03-89TR (middle pin GND) (2050903132)</v>
          </cell>
        </row>
        <row r="369">
          <cell r="B369">
            <v>2050100591</v>
          </cell>
          <cell r="D369">
            <v>20660331</v>
          </cell>
          <cell r="E369">
            <v>85423120</v>
          </cell>
          <cell r="F369">
            <v>85423120</v>
          </cell>
          <cell r="G369">
            <v>85423120</v>
          </cell>
          <cell r="H369" t="str">
            <v>CIRCUITO INTEGRADO ELETRoNICO TIPO MICROCONTROLADOR, MODELO DE Microprocessador de 8 bits ,FREQUeNCIA DE clock 8MHz, MONTADO, PRoPRIO PARA MONTAGEM SMD 3.3V,128kB,5kB,LQFP100 (2050100591)</v>
          </cell>
        </row>
        <row r="370">
          <cell r="B370">
            <v>2050300741</v>
          </cell>
          <cell r="D370">
            <v>20660361</v>
          </cell>
          <cell r="E370">
            <v>85423120</v>
          </cell>
          <cell r="F370">
            <v>85423120</v>
          </cell>
          <cell r="G370">
            <v>85423120</v>
          </cell>
          <cell r="H370" t="str">
            <v>Circuito integrado eletronico montado, proprio para montagem SMD, processador de medicAo, modelo de Microprocessador de 8 bits , frequencia de clock 8MHz, 5.0V 1 1 5000:1 SSOP16 (2050300741)</v>
          </cell>
        </row>
        <row r="371">
          <cell r="B371">
            <v>2050900691</v>
          </cell>
          <cell r="D371">
            <v>20660329</v>
          </cell>
          <cell r="E371">
            <v>85423920</v>
          </cell>
          <cell r="F371">
            <v>85423920</v>
          </cell>
          <cell r="G371">
            <v>85423920</v>
          </cell>
          <cell r="H371" t="str">
            <v>Circuito integrado eletronico tipo regulador de tensAo, nAo montado - PWM 132/66kHz 30V 7V 0.7A 75por cento SOP7 (2050900691)</v>
          </cell>
        </row>
        <row r="372">
          <cell r="B372">
            <v>2100301121</v>
          </cell>
          <cell r="D372">
            <v>20691573</v>
          </cell>
          <cell r="E372">
            <v>85043199</v>
          </cell>
          <cell r="F372">
            <v>85043199</v>
          </cell>
          <cell r="G372">
            <v>85043199</v>
          </cell>
          <cell r="H372" t="str">
            <v>TRANSFORMADOR  ELeTRICO,  POTeNCIA 0,1kVA,DE ALTA FREQUeNCIA 42 KHZ 2200±10por centoµH 90µH EE20 23*18,5*22mm 4200/1500V PTH (2100301121)</v>
          </cell>
        </row>
        <row r="373">
          <cell r="B373">
            <v>2050900011</v>
          </cell>
          <cell r="D373">
            <v>20660307</v>
          </cell>
          <cell r="E373">
            <v>85423920</v>
          </cell>
          <cell r="F373">
            <v>85423920</v>
          </cell>
          <cell r="G373">
            <v>85423920</v>
          </cell>
          <cell r="H373" t="str">
            <v>CIRCUITO INTEGRADO ELETRoNICO TIPO REGULADOR DE TENSAO, NAO MONTADO - 4.2V~40V, AJUSTaVEL 1.2V~37V, 1por cento, 100mA, SO-8 (REF. E02901 - COD. 20660307)</v>
          </cell>
        </row>
        <row r="374">
          <cell r="B374">
            <v>2050900023</v>
          </cell>
          <cell r="D374">
            <v>20660369</v>
          </cell>
          <cell r="E374">
            <v>85423920</v>
          </cell>
          <cell r="F374">
            <v>85423920</v>
          </cell>
          <cell r="G374">
            <v>85423920</v>
          </cell>
          <cell r="H374" t="str">
            <v>CIRCUITO INTEGRADO ELETRoNICO TIPO REGULADOR DE TENSAO, NAO MONTADO - 6.8~30V 5V 5por cento 100mA SOT-89 BL78LO5D SMD (2050900023)</v>
          </cell>
        </row>
        <row r="375">
          <cell r="B375">
            <v>2050900024</v>
          </cell>
          <cell r="D375">
            <v>20660384</v>
          </cell>
          <cell r="E375">
            <v>85423920</v>
          </cell>
          <cell r="F375">
            <v>85423920</v>
          </cell>
          <cell r="G375">
            <v>85423920</v>
          </cell>
          <cell r="H375" t="str">
            <v>CIRCUITO INTEGRADO ELETRoNICO TIPO REGULADOR DE TENSAO, NAO MONTADO - 30 VMAX 100mA 4,8~5,2V SOT-89 LR78L05A SMD (2050900024)</v>
          </cell>
        </row>
        <row r="376">
          <cell r="B376">
            <v>2050900084</v>
          </cell>
          <cell r="D376">
            <v>20691623</v>
          </cell>
          <cell r="E376">
            <v>85423920</v>
          </cell>
          <cell r="F376">
            <v>85423920</v>
          </cell>
          <cell r="H376" t="str">
            <v>CIRCUITO INTEGRADO ELETRoNICO TIPO REGULADOR DE TENSAO, NAO MONTADO - 100.0mA 2.5~36V SOT-23-3 (2050900084)</v>
          </cell>
        </row>
        <row r="377">
          <cell r="B377">
            <v>2050900231</v>
          </cell>
          <cell r="D377">
            <v>20691611</v>
          </cell>
          <cell r="E377">
            <v>85423920</v>
          </cell>
          <cell r="F377">
            <v>85423920</v>
          </cell>
          <cell r="G377">
            <v>85423920</v>
          </cell>
          <cell r="H377" t="str">
            <v>CIRCUITO INTEGRADO ELETRoNICO TIPO REGULADOR DE TENSAO, NAO MONTADO - LDO 4.75-18V 3.3V 1A 0.5por cento 5mA SOT223 GND (2050900231)</v>
          </cell>
        </row>
        <row r="378">
          <cell r="B378">
            <v>2050900541</v>
          </cell>
          <cell r="D378">
            <v>20660345</v>
          </cell>
          <cell r="E378">
            <v>85423920</v>
          </cell>
          <cell r="F378">
            <v>85423920</v>
          </cell>
          <cell r="G378">
            <v>85423920</v>
          </cell>
          <cell r="H378" t="str">
            <v>CIRCUITO INTEGRADO ELETRoNICO TIPO REGULADOR DE TENSAO, NAO MONTADO - DCDC 3.3~36V 600mA V SOT23-6L (2050900541) SMD</v>
          </cell>
        </row>
        <row r="379">
          <cell r="B379">
            <v>2050901181</v>
          </cell>
          <cell r="D379">
            <v>20691607</v>
          </cell>
          <cell r="E379">
            <v>85423920</v>
          </cell>
          <cell r="F379">
            <v>85423920</v>
          </cell>
          <cell r="G379">
            <v>85423920</v>
          </cell>
          <cell r="H379" t="str">
            <v>CIRCUITO INTEGRADO ELETRoNICO TIPO REGULADOR DE TENSAO, NAO MONTADO - 3.3V 120mA 3por cento (2050901181)</v>
          </cell>
        </row>
        <row r="380">
          <cell r="B380">
            <v>2050901311</v>
          </cell>
          <cell r="D380">
            <v>20691608</v>
          </cell>
          <cell r="E380">
            <v>85423920</v>
          </cell>
          <cell r="F380">
            <v>85423920</v>
          </cell>
          <cell r="G380">
            <v>85423920</v>
          </cell>
          <cell r="H380" t="str">
            <v>CIRCUITO INTEGRADO ELETRoNICO TIPO REGULADOR DE TENSAO, NAO MONTADO - 3.5V-28V 3A  ADJ (2050901311)</v>
          </cell>
        </row>
        <row r="381">
          <cell r="B381">
            <v>2051300611</v>
          </cell>
          <cell r="D381">
            <v>20691803</v>
          </cell>
          <cell r="E381">
            <v>85423120</v>
          </cell>
          <cell r="F381">
            <v>85423120</v>
          </cell>
          <cell r="G381">
            <v>85423120</v>
          </cell>
          <cell r="H381" t="str">
            <v>CIRCUITO INTEGRADO ELETRONICO CONTROLADOR, MONTADO, PRoPRIO PARA MONTAGEM EM SUPERFÍCIE SMD, TIPO MICROCONTROLADOR, MODELO DE PROCESSADOR DE 8 BITS, FREQUeNCIA DE CLOCK 8MHz - SMD 1.65-5.5V  SOT-23 (2051300611)</v>
          </cell>
        </row>
        <row r="382">
          <cell r="B382">
            <v>2051700011</v>
          </cell>
          <cell r="D382">
            <v>20691701</v>
          </cell>
          <cell r="E382">
            <v>85423920</v>
          </cell>
          <cell r="F382">
            <v>85423920</v>
          </cell>
          <cell r="G382">
            <v>85423920</v>
          </cell>
          <cell r="H382" t="str">
            <v>CIRCUITO INTEGRADO ELETRoNICO TIPO SENSOR DE CAMPO MAGNETICO, NAO MONTADO (REF. E01611 - Ref. 2051700011)</v>
          </cell>
        </row>
        <row r="383">
          <cell r="B383">
            <v>2050900402</v>
          </cell>
          <cell r="D383">
            <v>20691620</v>
          </cell>
          <cell r="E383">
            <v>85423920</v>
          </cell>
          <cell r="F383">
            <v>85423920</v>
          </cell>
          <cell r="G383">
            <v>85423920</v>
          </cell>
          <cell r="H383" t="str">
            <v>CIRCUITO INTEGRADO ELETRoNICO TIPO REGULADOR DE TENSAO, NAO MONTADO - 1.5~15V; 3V; 0.0mA; 0.0mV; SOT-23-3 (2050900402)</v>
          </cell>
        </row>
        <row r="384">
          <cell r="B384">
            <v>2050902561</v>
          </cell>
          <cell r="D384">
            <v>20660363</v>
          </cell>
          <cell r="E384">
            <v>85423920</v>
          </cell>
          <cell r="F384">
            <v>85423920</v>
          </cell>
          <cell r="G384">
            <v>85423920</v>
          </cell>
          <cell r="H384" t="str">
            <v>CIRCUITO INTEGRADO ELETRoNICO TIPO REGULADOR DE TENSAO, NAO MONTADO - AC/DC -0.3~700V 180mA (2050902561)</v>
          </cell>
        </row>
        <row r="385">
          <cell r="B385">
            <v>2120304122</v>
          </cell>
          <cell r="D385">
            <v>20661015</v>
          </cell>
          <cell r="E385">
            <v>85241100</v>
          </cell>
          <cell r="F385">
            <v>85241100</v>
          </cell>
          <cell r="H385" t="str">
            <v>MoDULO DE VISUALIZAcAO DE TELA (eCRA) PLANA (DISPLAY) DE CRISTAL LÍQUIDO (LCD) SEM CONTROLADOR (DRIVERS) NEM CIRCUITOS DE CONTROLE 3.4V 49.5*16.2mm HTN PTH  para apresentacAo de Codigo, valor e unidade de Energia e demais grandezas exibidas, apresentacAo de símbolos indicadores de tarifa corrente, quadrande de energia, Bateria Fraca, LCD - Modo Alternativo, Horario de VerAo, Alarmes (2120304122)</v>
          </cell>
        </row>
        <row r="386">
          <cell r="B386">
            <v>2041100051</v>
          </cell>
          <cell r="D386">
            <v>20640705</v>
          </cell>
          <cell r="E386">
            <v>85414111</v>
          </cell>
          <cell r="F386">
            <v>85414111</v>
          </cell>
          <cell r="G386">
            <v>85414111</v>
          </cell>
          <cell r="H386" t="str">
            <v>DIODO EMISSOR DE LUZ (LED) NAO MONTADO F5 625nm 1800mcd 1.9V 20mA RAD-2.54mm 14±0.5mm(A01723-A) PTH (2041100051)</v>
          </cell>
        </row>
        <row r="387">
          <cell r="B387">
            <v>2041100081</v>
          </cell>
          <cell r="D387">
            <v>20640704</v>
          </cell>
          <cell r="E387">
            <v>85414111</v>
          </cell>
          <cell r="F387">
            <v>85414111</v>
          </cell>
          <cell r="H387" t="str">
            <v>DIODO EMISSOR DE LUZ (LED) NAO MONTADO F5 625nm 110mcd 1.9V 5mA RAD-2.54mm 23±0.5mm (A01709-B) PTH (2041100081)</v>
          </cell>
        </row>
        <row r="388">
          <cell r="B388">
            <v>2041100091</v>
          </cell>
          <cell r="D388">
            <v>20640703</v>
          </cell>
          <cell r="E388">
            <v>85414111</v>
          </cell>
          <cell r="F388">
            <v>85414111</v>
          </cell>
          <cell r="H388" t="str">
            <v>DIODO EMISSOR DE LUZ (LED) NAO MONTADO F5 625nm 110mcd 1.9V 5mA RAD-2.54mm 14±0.5mm (A01709-A) PTH (2041100091)</v>
          </cell>
        </row>
        <row r="389">
          <cell r="B389">
            <v>2140102390</v>
          </cell>
          <cell r="D389">
            <v>20691972</v>
          </cell>
          <cell r="E389">
            <v>85177190</v>
          </cell>
          <cell r="F389">
            <v>85177190</v>
          </cell>
          <cell r="H389" t="str">
            <v>ANTENA DE COMUNICAcAO POR RADIOFREQUeNCIA, PARA UTILIZAcAO EM CONJUNTO COM EQUIPAMENTOS DE COMUNICAcAO DE DADOS POR REDES SEM FIO, 0.5m PATCH (2140102390)</v>
          </cell>
        </row>
        <row r="390">
          <cell r="B390">
            <v>2140102000</v>
          </cell>
          <cell r="D390">
            <v>20691952</v>
          </cell>
          <cell r="E390">
            <v>85177190</v>
          </cell>
          <cell r="F390">
            <v>85177190</v>
          </cell>
          <cell r="H390" t="str">
            <v>ANTENA DE COMUNICAcAO POR RADIOFREQUeNCIA, PARA UTILIZAcAO EM CONJUNTO COM EQUIPAMENTOS DE COMUNICAcAO DE DADOS POR REDES SEM FIO (5m) (2140102000)</v>
          </cell>
        </row>
        <row r="391">
          <cell r="B391">
            <v>2140100311</v>
          </cell>
          <cell r="D391">
            <v>20691935</v>
          </cell>
          <cell r="E391">
            <v>85177190</v>
          </cell>
          <cell r="F391">
            <v>85177190</v>
          </cell>
          <cell r="H391" t="str">
            <v>ANTENA DE COMUNICAcAO POR RADIOFREQUeNCIA, PARA UTILIZAcAO EM CONJUNTO COM EQUIPAMENTOS DE COMUNICAcAO DE DADOS POR REDES SEM FIO (Omni 2M) MJNX53.A2 (2140100311)</v>
          </cell>
        </row>
        <row r="392">
          <cell r="B392">
            <v>2041100393</v>
          </cell>
          <cell r="D392">
            <v>20640717</v>
          </cell>
          <cell r="E392">
            <v>85414111</v>
          </cell>
          <cell r="F392">
            <v>85414111</v>
          </cell>
          <cell r="G392">
            <v>85414111</v>
          </cell>
          <cell r="H392" t="str">
            <v>DIODO EMISSOR DE LUZ (LED) NAO MONTADO BRANCO 45mcd 1.8V 30mA 3.2*1.2*0.8mm (2041100393) SMD</v>
          </cell>
        </row>
        <row r="393">
          <cell r="B393">
            <v>2040500661</v>
          </cell>
          <cell r="D393">
            <v>20690619</v>
          </cell>
          <cell r="E393">
            <v>85414290</v>
          </cell>
          <cell r="F393">
            <v>85414290</v>
          </cell>
          <cell r="G393">
            <v>85414290</v>
          </cell>
          <cell r="H393" t="str">
            <v>DISPOSITIVO FOTOSSENSÍVEL SEMICONDUTOR TIPO FOTOTRANSISTOR (CeLULA FOTOVOLTAICA) NAO MONTADA EM MoDULO OU PAINEL F5 1.2V 940nm RAD-2.54mm 3.0±0.5mm Curva 90 6.5±0.5mm Preto PTH (2040500661)</v>
          </cell>
        </row>
        <row r="394">
          <cell r="B394">
            <v>2120304121</v>
          </cell>
          <cell r="D394">
            <v>20640109</v>
          </cell>
          <cell r="E394">
            <v>85241100</v>
          </cell>
          <cell r="F394">
            <v>85241100</v>
          </cell>
          <cell r="G394">
            <v>85241100</v>
          </cell>
          <cell r="H394" t="str">
            <v>MoDULO DE VISUALIZAcAO DE TELA (eCRA) PLANA (DISPLAY) DE CRISTAL LÍQUIDO (LCD)  SEM CONTROLADOR (DRIVERS) NEM CIRCUITOS DE CONTROLE HTN;49.5*16.2mm 3.4V 6*12;26mm  para apresentacAo de Codigo, valor e unidade de Energia e demais grandezas exibidas, apresentacAo de símbolos indicadores de tarifa corrente, quadrande de energia, Bateria Fraca, LCD - Modo Alternativo, Horario de VerAo, Alarmes (2120304121) PTH</v>
          </cell>
        </row>
        <row r="395">
          <cell r="B395">
            <v>2120302644</v>
          </cell>
          <cell r="D395">
            <v>20640108</v>
          </cell>
          <cell r="E395">
            <v>85241100</v>
          </cell>
          <cell r="F395">
            <v>85241100</v>
          </cell>
          <cell r="H395" t="str">
            <v>MoDULO DE VISUALIZAcAO DE TELA (eCRA) PLANA (DISPLAY) DE CRISTAL LÍQUIDO (LCD) SEM CONTROLADOR (DRIVERS) NEM CIRCUITOS DE CONTROLE 3.4V 4COM 17SEG 17mm 16*49.1mm TN PTH (600)  para apresentacAo de Codigo, valor e unidade de Energia e demais grandezas exibidas, apresentacAo de símbolos indicadores de tarifa corrente, quadrande de energia, Bateria Fraca, LCD - Modo Alternativo, Horario de VerAo, Alarmes(2120302644)</v>
          </cell>
        </row>
        <row r="396">
          <cell r="B396">
            <v>2120302823</v>
          </cell>
          <cell r="D396">
            <v>20661011</v>
          </cell>
          <cell r="E396">
            <v>85241100</v>
          </cell>
          <cell r="F396">
            <v>85241100</v>
          </cell>
          <cell r="H396" t="str">
            <v>MoDULO DE VISUALIZAcAO DE TELA (eCRA) PLANA (DISPLAY) DE CRISTAL LÍQUIDO (LCD)  SEM CONTROLADOR (DRIVERS) NEM CIRCUITOS DE CONTROLE 3.4V 4COM 30SEG 24mm 65.75*25.8mm, HTN PTH  para apresentacAo de Codigo, valor e unidade de Energia e demais grandezas exibidas, apresentacAo de símbolos indicadores de tarifa corrente, quadrande de energia, Bateria Fraca, LCD - Modo Alternativo, Horario de VerAo, Alarmes (2120302823)</v>
          </cell>
        </row>
        <row r="397">
          <cell r="B397">
            <v>2120302824</v>
          </cell>
          <cell r="D397">
            <v>20661013</v>
          </cell>
          <cell r="E397">
            <v>85241100</v>
          </cell>
          <cell r="F397">
            <v>85241100</v>
          </cell>
          <cell r="H397" t="str">
            <v>MoDULO DE VISUALIZAcAO DE TELA (eCRA) PLANA (DISPLAY) DE CRISTAL LÍQUIDO (LCD)  SEM CONTROLADOR (DRIVERS) NEM CIRCUITOS DE CONTROLE 3.4V 4COM 30SEG 24mm 65.75*25.8mm, HTN  para apresentacAo de Codigo, valor e unidade de Energia e demais grandezas exibidas, apresentacAo de símbolos indicadores de tarifa corrente, quadrande de energia, Bateria Fraca, LCD - Modo Alternativo, Horario de VerAo, Alarmes (2120302824) PTH</v>
          </cell>
        </row>
        <row r="398">
          <cell r="B398">
            <v>2120302033</v>
          </cell>
          <cell r="D398">
            <v>20640107</v>
          </cell>
          <cell r="E398">
            <v>85241100</v>
          </cell>
          <cell r="F398">
            <v>85241100</v>
          </cell>
          <cell r="H398" t="str">
            <v>MoDULO DE VISUALIZAcAO DE TELA (eCRA) PLANA (DISPLAY) DE CRISTAL LÍQUIDO (LCD) SEM CONTROLADOR (DRIVERS) NEM CIRCUITOS DE CONTROLE  3.4V 4COM 17SEG 17mm 16*49.1mm HTN (LDT1302003) PTH  para apresentacAo de Codigo, valor e unidade de Energia e demais grandezas exibidas, apresentacAo de símbolos indicadores de tarifa corrente, quadrande de energia, Bateria Fraca, LCD - Modo Alternativo, Horario de VerAo, Alarmes (2120302033)</v>
          </cell>
        </row>
        <row r="399">
          <cell r="B399">
            <v>2120302645</v>
          </cell>
          <cell r="D399">
            <v>20640110</v>
          </cell>
          <cell r="E399">
            <v>85241100</v>
          </cell>
          <cell r="F399">
            <v>85241100</v>
          </cell>
          <cell r="H399" t="str">
            <v>MoDULO DE VISUALIZAcAO DE TELA (eCRA) PLANA (DISPLAY) DE CRISTAL LÍQUIDO (LCD)SEM CONTROLADOR (DRIVERS) NEM CIRCUITOS DE CONTROLE 3.4V 4COM 17SEG 17mm 16*49.1mm   para apresentacAo de Codigo, valor e unidade de Energia e demais grandezas exibidas, apresentacAo de símbolos indicadores de tarifa corrente, quadrande de energia, Bateria Fraca, LCD - Modo Alternativo, Horario de VerAo, Alarmes (2120302645) PTH</v>
          </cell>
        </row>
        <row r="400">
          <cell r="B400">
            <v>2140103330</v>
          </cell>
          <cell r="D400">
            <v>20690037</v>
          </cell>
          <cell r="E400">
            <v>85177190</v>
          </cell>
          <cell r="F400">
            <v>85177190</v>
          </cell>
          <cell r="H400" t="str">
            <v>Cabo extensor, PARA UTILIZAcAO EM CONJUNTO COM EQUIPAMENTOS DE COMUNICAcAO DE DADOS POR REDES SEM FIO RF N-N (2140103330)</v>
          </cell>
        </row>
        <row r="401">
          <cell r="B401">
            <v>3090504240</v>
          </cell>
          <cell r="D401">
            <v>20690021</v>
          </cell>
          <cell r="E401">
            <v>85177900</v>
          </cell>
          <cell r="F401">
            <v>85177900</v>
          </cell>
          <cell r="H401" t="str">
            <v>Cabo de rede, parte para montagem de Placa de comutacAo para equipamento de comunicacAo de dados radio MCR, p/ protetor de sobretensAo Ethernet (modo SAF)38 cm (3090504240)</v>
          </cell>
        </row>
        <row r="402">
          <cell r="B402">
            <v>2140103360</v>
          </cell>
          <cell r="D402">
            <v>20692016</v>
          </cell>
          <cell r="E402">
            <v>85177900</v>
          </cell>
          <cell r="F402">
            <v>85177900</v>
          </cell>
          <cell r="H402" t="str">
            <v>Adaptador de Antena, parte para montagem de equipamentos de comunicacAo de dados - 36 * 25,4 * 25,4 mm; DC-6 MHz (2140103360);</v>
          </cell>
        </row>
        <row r="403">
          <cell r="B403">
            <v>3090504270</v>
          </cell>
          <cell r="D403">
            <v>20690025</v>
          </cell>
          <cell r="E403">
            <v>85177900</v>
          </cell>
          <cell r="F403">
            <v>85177900</v>
          </cell>
          <cell r="H403" t="str">
            <v>Cabo de rede, parte para montagem de placa de comutacAo para equipamento de comunicacAo de dados radio MCR (COM) - (3090504270)</v>
          </cell>
        </row>
        <row r="404">
          <cell r="B404">
            <v>3090504180</v>
          </cell>
          <cell r="D404">
            <v>20690023</v>
          </cell>
          <cell r="E404">
            <v>85177900</v>
          </cell>
          <cell r="F404">
            <v>85177900</v>
          </cell>
          <cell r="G404">
            <v>85177900</v>
          </cell>
          <cell r="H404" t="str">
            <v>Cabo de rede, parte para montagem de placa de comunicacAo MCR / ECR para MCR / ECR, para equipamento de comunicacAo de dados radio MCR (3090504180)</v>
          </cell>
        </row>
        <row r="405">
          <cell r="B405">
            <v>3090504220</v>
          </cell>
          <cell r="D405">
            <v>20690022</v>
          </cell>
          <cell r="E405">
            <v>85177900</v>
          </cell>
          <cell r="F405">
            <v>85177900</v>
          </cell>
          <cell r="H405" t="str">
            <v>Cabo de rede, parte para montagem de equipamento de comunicacAo de dados radio MCR, para protetor de sobretensAo Ethernet （modo B2B） 80 cm (3090504220)</v>
          </cell>
        </row>
        <row r="406">
          <cell r="B406">
            <v>2041100071</v>
          </cell>
          <cell r="D406">
            <v>20640707</v>
          </cell>
          <cell r="E406">
            <v>85414111</v>
          </cell>
          <cell r="F406">
            <v>85414111</v>
          </cell>
          <cell r="G406">
            <v>85414111</v>
          </cell>
          <cell r="H406" t="str">
            <v xml:space="preserve">DIODO EMISSOR DE LUZ (LED) NAO MONTADO DE INTENSIDADE DE CORRENTE 0,01A F5 625nm 110mcd 1.9V RAD-2.54mm </v>
          </cell>
        </row>
        <row r="407">
          <cell r="B407">
            <v>3042304850</v>
          </cell>
          <cell r="D407">
            <v>20299100</v>
          </cell>
          <cell r="E407">
            <v>74192000</v>
          </cell>
          <cell r="F407">
            <v>74192000</v>
          </cell>
          <cell r="G407">
            <v>74192000</v>
          </cell>
          <cell r="H407" t="str">
            <v>Terminal tipo Olhal, de materia-prima base em cobre, vazado - 2-6mm (3042304850)</v>
          </cell>
        </row>
        <row r="408">
          <cell r="B408">
            <v>2040400162</v>
          </cell>
          <cell r="D408">
            <v>20630606</v>
          </cell>
          <cell r="E408">
            <v>85414111</v>
          </cell>
          <cell r="F408">
            <v>85414111</v>
          </cell>
          <cell r="G408">
            <v>85414111</v>
          </cell>
          <cell r="H408" t="str">
            <v>DIODO EMISSOR DE LUZ (LED) NAO MONTADO 1.4V~1.6V 1A 18 5*8.7 5V 100mA 940nm PTH (2040400162)</v>
          </cell>
        </row>
        <row r="409">
          <cell r="B409" t="str">
            <v>HXEC602R21004</v>
          </cell>
          <cell r="D409">
            <v>20693714</v>
          </cell>
          <cell r="E409">
            <v>85176294</v>
          </cell>
          <cell r="F409">
            <v>85176294</v>
          </cell>
          <cell r="G409">
            <v>85176294</v>
          </cell>
          <cell r="H409" t="str">
            <v>PCBA de conversores de protocolo para interconexAo de rede com interface de comunicacAo cabeada no padrAo RS-485, contendo modulo de comunicacAo bidirecional de dados sem fio (recepcAo, conversAo e transmissAo), digitais, emissor de radio frequencia com receptor incorporado, capaz de operar na faixa ISM de frequencias 902 a 928 MHz e modulo de comunicacAo bidirecional de dados sem fio (recepcAo, conversAo e transmissAo), digitais, emissor de radio frequencia com receptor incorporado, capaz de operar na faixa de frequencia de 2.4 GHz conforme padrAo IEEE802.11 b/g/n20/n40, capazes de atuar como coletores de dados para medicAo remota em solucoes de medicAo centralizada, modelo HXEC602R210.</v>
          </cell>
        </row>
        <row r="410">
          <cell r="B410">
            <v>2140103000</v>
          </cell>
          <cell r="D410">
            <v>20692040</v>
          </cell>
          <cell r="E410">
            <v>85177190</v>
          </cell>
          <cell r="F410">
            <v>85177190</v>
          </cell>
          <cell r="H410" t="str">
            <v>ADAPTADOR DE ANTENA, PARA UTILIZAcAO EM CONJUNTO COM EQUIPAMENTOS DE COMUNICAcAO DE DADOS POR REDES SEM FIO, NB-IoT (2140103000)</v>
          </cell>
        </row>
        <row r="411">
          <cell r="B411" t="str">
            <v>HXEC602R21003</v>
          </cell>
          <cell r="D411">
            <v>20693713</v>
          </cell>
          <cell r="E411">
            <v>85176254</v>
          </cell>
          <cell r="F411">
            <v>85176254</v>
          </cell>
          <cell r="H411" t="str">
            <v>Distribuidor de conexoes para redes (hubs), para recepcAo, conversAo e transmissAo de dados em rede sem fio por radiofrequencia, RF NB-IoT- Pantheon + RS485 - PCBA coletor de dados (HXEC602.R21003)</v>
          </cell>
        </row>
        <row r="412">
          <cell r="B412">
            <v>2140102370</v>
          </cell>
          <cell r="D412">
            <v>20691991</v>
          </cell>
          <cell r="E412">
            <v>85177190</v>
          </cell>
          <cell r="F412">
            <v>85177190</v>
          </cell>
          <cell r="G412">
            <v>85177190</v>
          </cell>
          <cell r="H412" t="str">
            <v>ANTENA DE COMUNICAcAO 2.4GHz, PARA UTILIZAcAO EM CONJUNTO COM EQUIPAMENTOS DE COMUNICAcAO DE DADOS POR REDES SEM FIO (2140102370)</v>
          </cell>
        </row>
        <row r="413">
          <cell r="B413">
            <v>2140103220</v>
          </cell>
          <cell r="D413">
            <v>20694600</v>
          </cell>
          <cell r="E413">
            <v>85177190</v>
          </cell>
          <cell r="F413">
            <v>85177190</v>
          </cell>
          <cell r="G413">
            <v>85177190</v>
          </cell>
          <cell r="H413" t="str">
            <v>Antena de fibra de vidro, PARA UTILIZAcAO EM CONJUNTO COM EQUIPAMENTOS DE COMUNICAcAO DE DADOS POR REDES SEM FIO (2140103220)</v>
          </cell>
        </row>
        <row r="414">
          <cell r="B414">
            <v>2140103060</v>
          </cell>
          <cell r="D414">
            <v>20691995</v>
          </cell>
          <cell r="E414">
            <v>85177190</v>
          </cell>
          <cell r="F414">
            <v>85177190</v>
          </cell>
          <cell r="G414">
            <v>85177190</v>
          </cell>
          <cell r="H414" t="str">
            <v>ANTENA DE COMUNICAcAO POR RADIOFREQUeNCIA CONECTOR SMA, PARA UTILIZAcAO EM CONJUNTO COM EQUIPAMENTOS DE COMUNICAcAO DE DADOS POR REDES SEM FIO (1.35m) (2140103060)</v>
          </cell>
        </row>
        <row r="415">
          <cell r="B415">
            <v>2140103120</v>
          </cell>
          <cell r="D415">
            <v>20691999</v>
          </cell>
          <cell r="E415">
            <v>85177190</v>
          </cell>
          <cell r="F415">
            <v>85177190</v>
          </cell>
          <cell r="H415" t="str">
            <v xml:space="preserve"> ANTENA DO MoDULO eLTE230; 116 * 21,8 mm, comprimento 300 mm, 230 MHz, PARA UTILIZAcAO EM CONJUNTO COM EQUIPAMENTOS DE COMUNICAcAO DE DADOS POR REDES SEM FIO, preto, interface SMA</v>
          </cell>
        </row>
        <row r="416">
          <cell r="B416" t="str">
            <v xml:space="preserve">WSG-P70-0106
</v>
          </cell>
          <cell r="D416">
            <v>20694407</v>
          </cell>
          <cell r="E416">
            <v>85177900</v>
          </cell>
          <cell r="F416">
            <v>85177900</v>
          </cell>
          <cell r="H416" t="str">
            <v>Gabinete WSG P70 montada de plastico com tamanho 548mmx446mmx223mm com protecAo, fonte de energia 115 VAC, com carregador de bateria 12 AH e dois radios (WSG-P70-0106)</v>
          </cell>
        </row>
        <row r="417">
          <cell r="B417" t="str">
            <v>82-1743A01</v>
          </cell>
          <cell r="D417">
            <v>20694412</v>
          </cell>
          <cell r="E417">
            <v>85177900</v>
          </cell>
          <cell r="F417">
            <v>85177900</v>
          </cell>
          <cell r="H417" t="str">
            <v>ArmacAo de fixacAo, parte para montagem de equipamento de comunicacAo de dados em para poste (82-1743A01)</v>
          </cell>
        </row>
        <row r="418">
          <cell r="B418" t="str">
            <v>P60EII</v>
          </cell>
          <cell r="D418">
            <v>20694408</v>
          </cell>
          <cell r="E418">
            <v>85177900</v>
          </cell>
          <cell r="F418">
            <v>85177900</v>
          </cell>
          <cell r="H418" t="str">
            <v>Gabinete WSG P60 montada de plastico com tamanho 350x301x165mm com protecAo, fonte de energia (127-220VAC/24VDC, 0.3Amp) , com carregador de bateria 2Ah 24VDC  e um radio ECR900MHZ  (P60)</v>
          </cell>
        </row>
        <row r="419">
          <cell r="B419" t="str">
            <v>WSG-P70-0103</v>
          </cell>
          <cell r="D419">
            <v>20694406</v>
          </cell>
          <cell r="E419">
            <v>85177900</v>
          </cell>
          <cell r="F419">
            <v>85177900</v>
          </cell>
          <cell r="H419" t="str">
            <v>Gabinete WSG P70 montada de plastico com tamanho 548mmx446mmx223mm com protecAo, fonte de energia 115 VAC, com carregador de bateria 12 AH e dois radios(WSG-P70-0103)</v>
          </cell>
        </row>
        <row r="420">
          <cell r="B420">
            <v>2140103050</v>
          </cell>
          <cell r="D420">
            <v>20691994</v>
          </cell>
          <cell r="E420">
            <v>85177190</v>
          </cell>
          <cell r="F420">
            <v>85177190</v>
          </cell>
          <cell r="G420">
            <v>85177190</v>
          </cell>
          <cell r="H420" t="str">
            <v>ANTENA DE COMUNICAcAO POR RADIOFREQUeNCIA CONECTOR SMA, PARA UTILIZAcAO EM CONJUNTO COM EQUIPAMENTOS DE COMUNICAcAO DE DADOS POR REDES SEM FIO (0.35m) (2140103050)</v>
          </cell>
        </row>
        <row r="421">
          <cell r="B421">
            <v>2140103040</v>
          </cell>
          <cell r="D421">
            <v>20691996</v>
          </cell>
          <cell r="E421">
            <v>85177190</v>
          </cell>
          <cell r="F421">
            <v>85177190</v>
          </cell>
          <cell r="H421" t="str">
            <v>ANTENA DE COMUNICAcAO NB-IoT 700/800/850/800/1800/2100MHz (1.35m), PARA UTILIZAcAO EM CONJUNTO COM EQUIPAMENTOS DE COMUNICAcAO DE DADOS POR REDES SEM FIO (2140103040)</v>
          </cell>
        </row>
        <row r="422">
          <cell r="B422" t="str">
            <v>HXEC602.R210</v>
          </cell>
          <cell r="D422">
            <v>20693711</v>
          </cell>
          <cell r="E422">
            <v>85176254</v>
          </cell>
          <cell r="F422">
            <v>85176254</v>
          </cell>
          <cell r="H422" t="str">
            <v>Distribuidor de conexoes para redes (hubs), para recepcAo, conversAo e transmissAo de dados em rede sem fio por radiofrequencia, RF NB-IoT- Pantheon + RS485 - PCBA coletor de dados (HXEC602.R210)</v>
          </cell>
        </row>
        <row r="423">
          <cell r="B423">
            <v>2140103490</v>
          </cell>
          <cell r="D423">
            <v>20692041</v>
          </cell>
          <cell r="E423">
            <v>85177190</v>
          </cell>
          <cell r="F423">
            <v>85177190</v>
          </cell>
          <cell r="H423" t="str">
            <v>Adaptador de antenna, PARA UTILIZAcAO EM CONJUNTO COM EQUIPAMENTOS DE COMUNICAcAO DE DADOS POR REDES SEM FIO (2140103490)</v>
          </cell>
        </row>
        <row r="424">
          <cell r="B424">
            <v>2140100451</v>
          </cell>
          <cell r="D424">
            <v>20691923</v>
          </cell>
          <cell r="E424">
            <v>85177190</v>
          </cell>
          <cell r="F424">
            <v>85177190</v>
          </cell>
          <cell r="H424" t="str">
            <v>Antena de comunicacAo por radiofrequencia, PARA UTILIZAcAO EM CONJUNTO COM EQUIPAMENTOS DE COMUNICAcAO DE DADOS POR REDES SEM FIO, para medidores de energia eletrica Smart Meter (Zeus)(2M) (2140100451)</v>
          </cell>
        </row>
        <row r="425">
          <cell r="B425">
            <v>2140100821</v>
          </cell>
          <cell r="D425">
            <v>20691997</v>
          </cell>
          <cell r="E425">
            <v>85177190</v>
          </cell>
          <cell r="F425">
            <v>85177190</v>
          </cell>
          <cell r="H425" t="str">
            <v>Antena de haste, com conector SMA (WJ), comprimento 47mm, frequencia de 915MHz , para utilizacAo na SolucAo Pantheon (Ref.2140100821)</v>
          </cell>
        </row>
        <row r="426">
          <cell r="B426">
            <v>2041100041</v>
          </cell>
          <cell r="D426">
            <v>20640706</v>
          </cell>
          <cell r="E426">
            <v>85414111</v>
          </cell>
          <cell r="F426">
            <v>85414111</v>
          </cell>
          <cell r="G426">
            <v>85414111</v>
          </cell>
          <cell r="H426" t="str">
            <v>DIODO EMISSOR DE LUZ (LED) NAO MONTADO F5 625nm 1800mcd 1.9V 20mA RAD-2.54mm 23±0.5mm (A01723-B) PTH (2041100041)</v>
          </cell>
        </row>
        <row r="427">
          <cell r="B427">
            <v>2140103230</v>
          </cell>
          <cell r="D427">
            <v>20692520</v>
          </cell>
          <cell r="E427">
            <v>85177190</v>
          </cell>
          <cell r="F427">
            <v>85177190</v>
          </cell>
          <cell r="G427">
            <v>85177190</v>
          </cell>
          <cell r="H427" t="str">
            <v>Cabo de Antena do Modulo SMA (ZJ) - 316 line-N Macho, PARA UTILIZAcAO EM CONJUNTO COM EQUIPAMENTOS DE COMUNICAcAO DE DADOS POR REDES SEM FIO (2140103230)</v>
          </cell>
        </row>
        <row r="428">
          <cell r="B428">
            <v>2140103240</v>
          </cell>
          <cell r="D428">
            <v>20691979</v>
          </cell>
          <cell r="E428">
            <v>85177190</v>
          </cell>
          <cell r="F428">
            <v>85177190</v>
          </cell>
          <cell r="G428">
            <v>85177190</v>
          </cell>
          <cell r="H428" t="str">
            <v>Antena FRP N (ZK) 902-928MHz - L285mm, PARA UTILIZAcAO EM CONJUNTO COM EQUIPAMENTOS DE COMUNICAcAO DE DADOS POR REDES SEM FIO (2140103240)</v>
          </cell>
        </row>
        <row r="429">
          <cell r="B429">
            <v>2140102660</v>
          </cell>
          <cell r="D429">
            <v>20691993</v>
          </cell>
          <cell r="E429">
            <v>85177190</v>
          </cell>
          <cell r="F429">
            <v>85177190</v>
          </cell>
          <cell r="G429">
            <v>85177190</v>
          </cell>
          <cell r="H429" t="str">
            <v>ANTENA DE COMUNICAcAO GPRS, PARA UTILIZAcAO EM CONJUNTO COM EQUIPAMENTOS DE COMUNICAcAO DE DADOS POR REDES SEM FIO (2140102660)</v>
          </cell>
        </row>
        <row r="430">
          <cell r="B430">
            <v>2140102640</v>
          </cell>
          <cell r="D430" t="str">
            <v>206919A0</v>
          </cell>
          <cell r="E430">
            <v>85177190</v>
          </cell>
          <cell r="F430">
            <v>85177190</v>
          </cell>
          <cell r="G430">
            <v>85177190</v>
          </cell>
          <cell r="H430" t="str">
            <v>Antena de ComunicAo 4G - Compatível com GPRS/3G/4G, PARA UTILIZAcAO EM CONJUNTO COM EQUIPAMENTOS DE COMUNICAcAO DE DADOS POR REDES SEM FIO (2140102640)</v>
          </cell>
        </row>
        <row r="431">
          <cell r="B431">
            <v>2040400740</v>
          </cell>
          <cell r="D431">
            <v>20690651</v>
          </cell>
          <cell r="E431">
            <v>85414111</v>
          </cell>
          <cell r="F431">
            <v>85414111</v>
          </cell>
          <cell r="G431">
            <v>85414111</v>
          </cell>
          <cell r="H431" t="str">
            <v>DIODO EMISSOR DE LUZ (LED) NAO MONTADO F5 1.35V 940nm RAD-2.54mm 24±0.5mm Azul PTH (2040400740)</v>
          </cell>
        </row>
        <row r="432">
          <cell r="B432">
            <v>2140100061</v>
          </cell>
          <cell r="D432">
            <v>20691922</v>
          </cell>
          <cell r="E432">
            <v>85177190</v>
          </cell>
          <cell r="F432">
            <v>85177190</v>
          </cell>
          <cell r="H432" t="str">
            <v>Antena de comunicacAo por radiofrequencia, PARA UTILIZAcAO EM CONJUNTO COM EQUIPAMENTOS DE COMUNICAcAO DE DADOS POR REDES SEM FIO, para medidores de energia eletrica Smart Meter (Zeus)</v>
          </cell>
        </row>
        <row r="433">
          <cell r="B433">
            <v>2040400161</v>
          </cell>
          <cell r="D433">
            <v>20630605</v>
          </cell>
          <cell r="E433">
            <v>85414111</v>
          </cell>
          <cell r="F433">
            <v>85414111</v>
          </cell>
          <cell r="G433">
            <v>85414111</v>
          </cell>
          <cell r="H433" t="str">
            <v>DIODO EMISSOR DE LUZ (LED) NAO MONTADO DE INTENSIDADE DE CORRENTE 0,01A F5 1.35V 940nm 8.5±0.5mm PTH (REF. A01849-A) (2040400161)</v>
          </cell>
        </row>
        <row r="434">
          <cell r="B434">
            <v>2041100031</v>
          </cell>
          <cell r="D434">
            <v>20640708</v>
          </cell>
          <cell r="E434">
            <v>85414111</v>
          </cell>
          <cell r="F434">
            <v>85414111</v>
          </cell>
          <cell r="H434" t="str">
            <v>DIODO EMISSOR DE LUZ (LED) NAO MONTADO DE INTENSIDADE DE CORRENTE 0,01A F5 625nm 1800mcd 1.9V RAD-2.54mm 19.5±0.5mm (REF. A01723-C ) (2041100031)</v>
          </cell>
        </row>
        <row r="435">
          <cell r="B435">
            <v>2041100101</v>
          </cell>
          <cell r="D435">
            <v>20640701</v>
          </cell>
          <cell r="E435">
            <v>85414111</v>
          </cell>
          <cell r="F435">
            <v>85414111</v>
          </cell>
          <cell r="G435">
            <v>85414111</v>
          </cell>
          <cell r="H435" t="str">
            <v>DIODO EMISSOR DE LUZ (LED) NAO MONTADO 110MCD (REF. A01709 ) (2041100101)</v>
          </cell>
        </row>
        <row r="436">
          <cell r="B436">
            <v>2041100061</v>
          </cell>
          <cell r="D436">
            <v>20640700</v>
          </cell>
          <cell r="E436">
            <v>85414111</v>
          </cell>
          <cell r="F436">
            <v>85414111</v>
          </cell>
          <cell r="H436" t="str">
            <v>DIODO EMISSOR DE LUZ (LED) NAO MONTADO F5 625nm 1800mcd 1.9V 20mA RAD-2.54mm PTH (2041100061)</v>
          </cell>
        </row>
        <row r="437">
          <cell r="B437">
            <v>2041100271</v>
          </cell>
          <cell r="D437">
            <v>20640709</v>
          </cell>
          <cell r="E437">
            <v>85414111</v>
          </cell>
          <cell r="F437">
            <v>85414111</v>
          </cell>
          <cell r="G437">
            <v>85414111</v>
          </cell>
          <cell r="H437" t="str">
            <v>DIODO EMISSOR DE LUZ (LED), NAO MONTADO - 54MCD (2041100271)</v>
          </cell>
        </row>
        <row r="438">
          <cell r="B438">
            <v>2060500072</v>
          </cell>
          <cell r="D438">
            <v>20630800</v>
          </cell>
          <cell r="E438">
            <v>85414111</v>
          </cell>
          <cell r="F438">
            <v>85414111</v>
          </cell>
          <cell r="H438" t="str">
            <v>DIODO EMISSOR DE LUZ (LED) NAO MONTADO 20V,1W,5por cento,DO-41 (2060500072)</v>
          </cell>
        </row>
        <row r="439">
          <cell r="B439">
            <v>2091100101</v>
          </cell>
          <cell r="D439">
            <v>20630603</v>
          </cell>
          <cell r="E439">
            <v>85414111</v>
          </cell>
          <cell r="F439">
            <v>85414111</v>
          </cell>
          <cell r="G439">
            <v>85414111</v>
          </cell>
          <cell r="H439" t="str">
            <v>DIODO EMISSOR DE LUZ (LED) NAO MONTADO f5*5mm (2091100101)</v>
          </cell>
        </row>
        <row r="440">
          <cell r="B440">
            <v>2041101391</v>
          </cell>
          <cell r="D440">
            <v>20640710</v>
          </cell>
          <cell r="E440">
            <v>85414111</v>
          </cell>
          <cell r="F440">
            <v>85414111</v>
          </cell>
          <cell r="G440">
            <v>85414111</v>
          </cell>
          <cell r="H440" t="str">
            <v>DIODO EMISSOR DE LUZ (LED) NAO MONTADO 625nm 1800mcd 1.9V 20mA RAD-2.54mm 20±0.5mm Branco (2041101391)</v>
          </cell>
        </row>
        <row r="441">
          <cell r="B441">
            <v>2041101411</v>
          </cell>
          <cell r="D441">
            <v>20640711</v>
          </cell>
          <cell r="E441">
            <v>85414111</v>
          </cell>
          <cell r="F441">
            <v>85414111</v>
          </cell>
          <cell r="G441">
            <v>85414111</v>
          </cell>
          <cell r="H441" t="str">
            <v>DIODO EMISSOR DE LUZ (LED) NAO MONTADO 625nm 1800mcd 1.9V 20mA RAD-2.54mm 3.6±0.5mm Branco (2041101411)</v>
          </cell>
        </row>
        <row r="442">
          <cell r="B442">
            <v>2041101401</v>
          </cell>
          <cell r="D442">
            <v>20640712</v>
          </cell>
          <cell r="E442">
            <v>85414111</v>
          </cell>
          <cell r="F442">
            <v>85414111</v>
          </cell>
          <cell r="G442">
            <v>85414111</v>
          </cell>
          <cell r="H442" t="str">
            <v>DIODO EMISSOR DE LUZ (LED) NAO MONTADO 625nm 110mcd 1.9V 5mA RAD-2.54mm 8±0.5mm Vermelho (2041101401)</v>
          </cell>
        </row>
        <row r="443">
          <cell r="B443">
            <v>2041101431</v>
          </cell>
          <cell r="D443">
            <v>20640713</v>
          </cell>
          <cell r="E443">
            <v>85414111</v>
          </cell>
          <cell r="F443">
            <v>85414111</v>
          </cell>
          <cell r="G443">
            <v>85414111</v>
          </cell>
          <cell r="H443" t="str">
            <v>DIODO EMISSOR DE LUZ (LED) NAO MONTADO 625nm 110mcd 1.9V 5mA RAD-2.54mm 20±0.5mm Vermelho (2041101431)</v>
          </cell>
        </row>
        <row r="444">
          <cell r="B444">
            <v>2041101441</v>
          </cell>
          <cell r="D444">
            <v>20640714</v>
          </cell>
          <cell r="E444">
            <v>85414111</v>
          </cell>
          <cell r="F444">
            <v>85414111</v>
          </cell>
          <cell r="G444">
            <v>85414111</v>
          </cell>
          <cell r="H444" t="str">
            <v>DIODO EMISSOR DE LUZ (LED) NAO MONTAOD 625nm 110mcd 1.9V 5mA RAD-2.54mm 3.6±0.5mm Vermelho (2041101441)</v>
          </cell>
        </row>
        <row r="445">
          <cell r="B445">
            <v>2041101421</v>
          </cell>
          <cell r="D445">
            <v>20640715</v>
          </cell>
          <cell r="E445">
            <v>85414111</v>
          </cell>
          <cell r="F445">
            <v>85414111</v>
          </cell>
          <cell r="G445">
            <v>85414111</v>
          </cell>
          <cell r="H445" t="str">
            <v>DIODO EMISSOR DE LUZ (LED) NAO MONTADO 625nm 1800mcd 1.9V 20mA RAD-2.54mm 8±0.5mm Branco (2041101421)</v>
          </cell>
        </row>
        <row r="446">
          <cell r="B446">
            <v>2040500071</v>
          </cell>
          <cell r="D446">
            <v>20690602</v>
          </cell>
          <cell r="E446">
            <v>85414290</v>
          </cell>
          <cell r="F446">
            <v>85414290</v>
          </cell>
          <cell r="G446">
            <v>85414290</v>
          </cell>
          <cell r="H446" t="str">
            <v>DISPOSITIVO FOTOSSENSÍVEL SEMICONDUTOR TIPO FOTOTRANSISTOR (CeLULA FOTOVOLTAICA) NAO MONTADA EM MoDULO OU PAINEL F5 1.2V 940nm (REF. A01718/2040500071 ) (2040500071)</v>
          </cell>
        </row>
        <row r="447">
          <cell r="B447">
            <v>2040500160</v>
          </cell>
          <cell r="D447">
            <v>20690603</v>
          </cell>
          <cell r="E447">
            <v>85414290</v>
          </cell>
          <cell r="F447">
            <v>85414290</v>
          </cell>
          <cell r="G447">
            <v>85414290</v>
          </cell>
          <cell r="H447" t="str">
            <v>DISPOSITIVO FOTOSSENSÍVEL SEMICONDUTOR TIPO FOTOTRANSISTOR (CeLULA FOTOVOLTAICA) NAO MONTADA EM MoDULO OU PAINEL F5 1.2V 940nm RAD-2.54mm 20±0.5mm Preto (2040500160)</v>
          </cell>
        </row>
        <row r="448">
          <cell r="B448">
            <v>2040500150</v>
          </cell>
          <cell r="D448">
            <v>20690604</v>
          </cell>
          <cell r="E448">
            <v>85414290</v>
          </cell>
          <cell r="F448">
            <v>85414290</v>
          </cell>
          <cell r="G448">
            <v>85414290</v>
          </cell>
          <cell r="H448" t="str">
            <v>DISPOSITIVO FOTOSSENSÍVEL SEMICONDUTOR TIPO FOTOTRANSISTOR (CeLULA FOTOVOLTAICA) NAO MONTADA EM MoDULO OU PAINEL F5 1.2V 940nm RAD-2.54mm 24±0.5mm Preto (2040500150)</v>
          </cell>
        </row>
        <row r="449">
          <cell r="B449">
            <v>2040500170</v>
          </cell>
          <cell r="D449">
            <v>20690605</v>
          </cell>
          <cell r="E449">
            <v>85414290</v>
          </cell>
          <cell r="F449">
            <v>85414290</v>
          </cell>
          <cell r="H449" t="str">
            <v>DISPOSITIVO FOTOSSENSÍVEL SEMICONDUTOR TIPO FOTOTRANSISTOR (CeLULA FOTOVOLTAICA) NAO MONTADA EM MoDULO OU PAINEL F5 1.2V 940nm RAD-2.54mm 13.6±0.5mm Preto (2040500170)</v>
          </cell>
        </row>
        <row r="450">
          <cell r="B450">
            <v>2040400220</v>
          </cell>
          <cell r="D450">
            <v>20690607</v>
          </cell>
          <cell r="E450">
            <v>85414290</v>
          </cell>
          <cell r="F450">
            <v>85414290</v>
          </cell>
          <cell r="G450">
            <v>85414290</v>
          </cell>
          <cell r="H450" t="str">
            <v>DISPOSITIVO FOTOSSENSÍVEL SEMICONDUTOR TIPO FOTOTRANSISTOR (CeLULA FOTOVOLTAICA) NAO MONTADA EM MoDULO OU PAINEL F5 1.35V 940nm RAD-2.54mm 20±0.5mm Azul (2040400220)</v>
          </cell>
        </row>
        <row r="451">
          <cell r="B451">
            <v>2040400210</v>
          </cell>
          <cell r="D451">
            <v>20690608</v>
          </cell>
          <cell r="E451">
            <v>85414290</v>
          </cell>
          <cell r="F451">
            <v>85414290</v>
          </cell>
          <cell r="G451">
            <v>85414290</v>
          </cell>
          <cell r="H451" t="str">
            <v>DISPOSITIVO FOTOSSENSÍVEL SEMICONDUTOR TIPO FOTOTRANSISTOR (CeLULA FOTOVOLTAICA) NAO MONTADA EM MoDULO OU PAINEL F5 1.35V 940nm RAD-2.54mm 24±0.5mm Azul (2040400210)</v>
          </cell>
        </row>
        <row r="452">
          <cell r="B452">
            <v>2040400240</v>
          </cell>
          <cell r="D452">
            <v>20690609</v>
          </cell>
          <cell r="E452">
            <v>85414290</v>
          </cell>
          <cell r="F452">
            <v>85414290</v>
          </cell>
          <cell r="G452">
            <v>85414290</v>
          </cell>
          <cell r="H452" t="str">
            <v>DISPOSITIVO FOTOSSENSÍVEL SEMICONDUTOR TIPO FOTOTRANSISTOR (CeLULA FOTOVOLTAICA) NAO MONTADA EM MoDULO OU PAINEL F5 1.35V 940nm RAD-2.54mm 13.6±0.5mm  Azul (2040400240)</v>
          </cell>
        </row>
        <row r="453">
          <cell r="B453">
            <v>2120302031</v>
          </cell>
          <cell r="D453">
            <v>20661000</v>
          </cell>
          <cell r="E453">
            <v>85241100</v>
          </cell>
          <cell r="F453">
            <v>85241100</v>
          </cell>
          <cell r="H453" t="str">
            <v>MoDULO DE VISUALIZAcAO DE TELA (eCRA) PLANA (DISPLAY) DE CRISTAL LÍQUIDO (LCD)SEM CONTROLADOR (DRIVERS) NEM CIRCUITOS DE CONTROLE 3.4V±0.2V ,4COM ,17SEG. (REF. LAL020H0 )  para apresentacAo de Codigo, valor e unidade de Energia e demais grandezas exibidas, apresentacAo de símbolos indicadores de tarifa corrente, quadrande de energia, Bateria Fraca, LCD - Modo Alternativo, Horario de VerAo, Alarmes (2120302031)</v>
          </cell>
        </row>
        <row r="454">
          <cell r="B454">
            <v>2120302821</v>
          </cell>
          <cell r="D454">
            <v>20661002</v>
          </cell>
          <cell r="E454">
            <v>85241100</v>
          </cell>
          <cell r="F454">
            <v>85241100</v>
          </cell>
          <cell r="H454" t="str">
            <v>MoDULO DE VISUALIZAcAO DE TELA (eCRA) PLANA (DISPLAY) DE CRISTAL LÍQUIDO (LCD) SEM CONTROLADOR (DRIVERS) NEM CIRCUITOS DE CONTROLE 3.4V 4COM 30SEG 24.5mm 65.75*25.8MM HTN  para apresentacAo de Codigo, valor e unidade de Energia e demais grandezas exibidas, apresentacAo de símbolos indicadores de tarifa corrente, quadrande de energia, Bateria Fraca, LCD - Modo Alternativo, Horario de VerAo, Alarmes (REF. LWS030-0) (2120302821)</v>
          </cell>
        </row>
        <row r="455">
          <cell r="B455">
            <v>2120302641</v>
          </cell>
          <cell r="D455">
            <v>20640103</v>
          </cell>
          <cell r="E455">
            <v>85241100</v>
          </cell>
          <cell r="F455">
            <v>85241100</v>
          </cell>
          <cell r="H455" t="str">
            <v>MoDULO DE VISUALIZAcAO DE TELA (eCRA) PLANA (DISPLAY) DE CRISTAL LÍQUIDO (LCD)SEM CONTROLADOR (DRIVERS) NEM CIRCUITOS DE CONTROLE 3.4V 4COM 17SEG 17mm 16*49.1mm TN  para apresentacAo de Codigo, valor e unidade de Energia e demais grandezas exibidas, apresentacAo de símbolos indicadores de tarifa corrente, quadrande de energia, Bateria Fraca, LCD - Modo Alternativo, Horario de VerAo, Alarmes (REF. LWD058-0) (2120302641)</v>
          </cell>
        </row>
        <row r="456">
          <cell r="B456">
            <v>2120302032</v>
          </cell>
          <cell r="D456">
            <v>20661012</v>
          </cell>
          <cell r="E456">
            <v>85241100</v>
          </cell>
          <cell r="F456">
            <v>85241100</v>
          </cell>
          <cell r="H456" t="str">
            <v>MoDULO DE VISUALIZAcAO DE TELA (eCRA) PLANA (DISPLAY) DE CRISTAL LÍQUIDO (LCD)SEM CONTROLADOR (DRIVERS) NEM CIRCUITOS DE CONTROLE 3.4±0.2V,4COM,17SEG,17mm, 16*49.1mm,HTN PTH  para apresentacAo de Codigo, valor e unidade de Energia e demais grandezas exibidas, apresentacAo de símbolos indicadores de tarifa corrente, quadrande de energia, Bateria Fraca, LCD - Modo Alternativo, Horario de VerAo, Alarmes (2120302032)</v>
          </cell>
        </row>
        <row r="457">
          <cell r="B457">
            <v>2040500074</v>
          </cell>
          <cell r="D457">
            <v>20690625</v>
          </cell>
          <cell r="E457">
            <v>85414290</v>
          </cell>
          <cell r="F457">
            <v>85414290</v>
          </cell>
          <cell r="G457">
            <v>85414290</v>
          </cell>
          <cell r="H457" t="str">
            <v>DISPOSITIVO FOTOSSENSÍVEL SEMICONDUTOR TIPO FOTOTRANSISTOR (CeLULA FOTOVOLTAICA) NAO MONTADA EM MoDULO OU PAINEL F5 940 42uA 10uA 0.5-1.3V PTH (2040500074)</v>
          </cell>
        </row>
        <row r="458">
          <cell r="B458">
            <v>2041100273</v>
          </cell>
          <cell r="D458">
            <v>20640719</v>
          </cell>
          <cell r="E458">
            <v>85414111</v>
          </cell>
          <cell r="F458">
            <v>85414111</v>
          </cell>
          <cell r="H458" t="str">
            <v>DIODO EMISSOR DE LUZ (LED) NAO MONTADO 11.5-45mcd 1.55~2.35V 25.0mA 1.6*0.8*0.4mm SMD (2041100273)</v>
          </cell>
        </row>
        <row r="459">
          <cell r="B459">
            <v>2140103660</v>
          </cell>
          <cell r="D459">
            <v>20292207</v>
          </cell>
          <cell r="E459">
            <v>85177190</v>
          </cell>
          <cell r="F459">
            <v>85177190</v>
          </cell>
          <cell r="G459">
            <v>85177190</v>
          </cell>
          <cell r="H459" t="str">
            <v>Conjunto de montagem de abracadeira, em aco, para fixacAo de antena propria para modulos de comunicacAo de dados por rede sem fio, em formato de "U" (2140103660)</v>
          </cell>
        </row>
        <row r="460">
          <cell r="B460">
            <v>3010300500</v>
          </cell>
          <cell r="D460">
            <v>20691927</v>
          </cell>
          <cell r="E460">
            <v>85364100</v>
          </cell>
          <cell r="F460">
            <v>85364100</v>
          </cell>
          <cell r="G460">
            <v>85364100</v>
          </cell>
          <cell r="H460" t="str">
            <v>RELe DE TENSAO 12V, FORMA CONSTRUTIVA DE ESTADO SoLIDO, DE POTeNCIA, DE PESO LÍQUIDO APROXIMADO ENTRE 70g e 80g, 100A 180 5.565.314-C62 PTH</v>
          </cell>
        </row>
        <row r="461">
          <cell r="B461">
            <v>3090500630</v>
          </cell>
          <cell r="D461">
            <v>20691304</v>
          </cell>
          <cell r="E461">
            <v>85444200</v>
          </cell>
          <cell r="F461">
            <v>85444200</v>
          </cell>
          <cell r="G461">
            <v>85444200</v>
          </cell>
          <cell r="H461" t="str">
            <v>CABO CONDUTOR ELeTRICO DE TENSAO 120V A 240V, MUNIDO DE PEcA DE CONEXAO (CONECTOR FEMEA), ISOLADO PARA USO ELeTRICO 1*2Pin  65mm   2.54mm (G03180) PTH (3090500630)</v>
          </cell>
        </row>
        <row r="462">
          <cell r="B462">
            <v>3041700010</v>
          </cell>
          <cell r="D462">
            <v>20691502</v>
          </cell>
          <cell r="E462">
            <v>85369030</v>
          </cell>
          <cell r="F462">
            <v>85369030</v>
          </cell>
          <cell r="H462" t="str">
            <v>SOQUETE PARA MICROESTRUTURA ELETRoNICA DE CRISTAL OSCILADOR EM PLACA DE CIRCUITO IMPRESSO (ELeTRICO), PARA TENSAO DE ATe 380V (REF. 8.620.1BF00-00-3-3) (3041700010)</v>
          </cell>
        </row>
        <row r="463">
          <cell r="B463">
            <v>2050900091</v>
          </cell>
          <cell r="D463">
            <v>20650200</v>
          </cell>
          <cell r="E463">
            <v>85423920</v>
          </cell>
          <cell r="F463">
            <v>85423920</v>
          </cell>
          <cell r="G463">
            <v>85423920</v>
          </cell>
          <cell r="H463" t="str">
            <v>CIRCUITO INTEGRADO ELETRoNICO TIPO REGULADOR DE TENSAO, NAO MONTADO - TL431ACLP (REF. E01123) (2050900091)</v>
          </cell>
        </row>
        <row r="464">
          <cell r="B464">
            <v>2050902781</v>
          </cell>
          <cell r="D464">
            <v>20691619</v>
          </cell>
          <cell r="E464">
            <v>85423920</v>
          </cell>
          <cell r="F464">
            <v>85423920</v>
          </cell>
          <cell r="G464">
            <v>85423920</v>
          </cell>
          <cell r="H464" t="str">
            <v>CIRCUITO INTEGRADO ELETRoNICO TIPO REGULADOR DE TENSAO, NAO MONTADO - AC-DC;0.0mA;DIP7 (2050902781) PTH</v>
          </cell>
        </row>
        <row r="465">
          <cell r="B465">
            <v>3010300510</v>
          </cell>
          <cell r="D465">
            <v>20691928</v>
          </cell>
          <cell r="E465">
            <v>85364100</v>
          </cell>
          <cell r="F465">
            <v>85364100</v>
          </cell>
          <cell r="G465">
            <v>85364100</v>
          </cell>
          <cell r="H465" t="str">
            <v>RELe DE TENSAO 12V, FORMA CONSTRUTIVA DE ESTADO SoLIDO, DE POTeNCIA, DE PESO LÍQUIDO APROXIMADO ENTRE 75g e 85g, 120A 12VDC 5.565.015-J17 PTH (3010300510)</v>
          </cell>
        </row>
        <row r="466">
          <cell r="B466" t="str">
            <v>HXEC600.R110</v>
          </cell>
          <cell r="D466">
            <v>20693700</v>
          </cell>
          <cell r="E466">
            <v>85177900</v>
          </cell>
          <cell r="F466">
            <v>85177900</v>
          </cell>
          <cell r="H466" t="str">
            <v>Unidade de processamento para solucAo de medicAo de energia eletrica centralizada com alimentacAo auto-range 127~220 VAC, comunicacAo RS-485 e interface de radiofrequencia com tecnologias FHSS e LoRa na faixa de 915 MHz com 30 dBm de potencia de transmissAo, parte para uso em equipamentos de comunicacAo de dados (HXEC600.R110)</v>
          </cell>
        </row>
        <row r="467">
          <cell r="B467">
            <v>3040701960</v>
          </cell>
          <cell r="D467">
            <v>20581200</v>
          </cell>
          <cell r="E467">
            <v>85369090</v>
          </cell>
          <cell r="F467">
            <v>85369090</v>
          </cell>
          <cell r="G467">
            <v>85369090</v>
          </cell>
          <cell r="H467" t="str">
            <v>TERMINAL DE CORRENTE PARA  CONEXAO DE CIRCUITO ELeTRICO COM TENSAO ATe 240V, EM LATAO COM TRATAMENTO ESTANHADO, DIMENSoES 36x31,8x17,5mm, TORQUE DE 15N.M (3040701960)</v>
          </cell>
        </row>
        <row r="468">
          <cell r="B468">
            <v>3040702190</v>
          </cell>
          <cell r="D468">
            <v>20580904</v>
          </cell>
          <cell r="E468">
            <v>85369090</v>
          </cell>
          <cell r="F468">
            <v>85369090</v>
          </cell>
          <cell r="G468">
            <v>85369090</v>
          </cell>
          <cell r="H468" t="str">
            <v>TERMINAL DE CORRENTE PARA  CONEXAO DE CIRCUITO ELeTRICO COM TENSAO ATe 240V, EM AcO CARBONO COM TRATAMENTO ZINCO NÍQUEL, TORQUE DE 5N.M (3040702190)</v>
          </cell>
        </row>
        <row r="469">
          <cell r="B469">
            <v>3010502270</v>
          </cell>
          <cell r="D469">
            <v>20291602</v>
          </cell>
          <cell r="E469">
            <v>85444200</v>
          </cell>
          <cell r="F469">
            <v>85444200</v>
          </cell>
          <cell r="G469">
            <v>85444200</v>
          </cell>
          <cell r="H469" t="str">
            <v>PONTE DE COBRE FASE MUNIDA DE PINO RÍGIDO PARA CONEXAO, CONDUTORA ELeTRICA PARA APLICAcAO EM TENSAO DE ATe 240V, ESTANHADA PARCIALMENTE, DIMENSoES 98x50,5x10,1mm, CORRENTE MaXIMA DE 120A (3010502270)</v>
          </cell>
        </row>
        <row r="470">
          <cell r="B470">
            <v>3010502110</v>
          </cell>
          <cell r="D470">
            <v>20291301</v>
          </cell>
          <cell r="E470">
            <v>85444200</v>
          </cell>
          <cell r="F470">
            <v>85444200</v>
          </cell>
          <cell r="G470">
            <v>85444200</v>
          </cell>
          <cell r="H470" t="str">
            <v>PONTE DE COBRE FASE MUNIDA DE PINO RÍGIDO PARA CONEXAO, CONDUTORA ELeTRICA PARA APLICAcAO EM TENSAO DE ATe 240V, ESTANHADA PARCIALMENTE, DIMENSoES 66x39,5x10,1mm, CORRENTE MaXIMA DE 120A (3010502110)</v>
          </cell>
        </row>
        <row r="471">
          <cell r="B471">
            <v>3040102440</v>
          </cell>
          <cell r="D471">
            <v>40273203</v>
          </cell>
          <cell r="E471">
            <v>85369090</v>
          </cell>
          <cell r="F471">
            <v>85369090</v>
          </cell>
          <cell r="G471">
            <v>85369090</v>
          </cell>
          <cell r="H471" t="str">
            <v>TERMINAL DO NEUTRO PARA  CONEXAO DE CIRCUITO ELeTRICO COM TENSAO ATe 240V, EM LATAO COM TRATAMENTO NIQUELADO, FIO PRETO (300mm), DIMENSoES 35x30x20mm, TORQUE DE 15N.M (3040102440)</v>
          </cell>
        </row>
        <row r="472">
          <cell r="B472">
            <v>3010502880</v>
          </cell>
          <cell r="D472">
            <v>20291603</v>
          </cell>
          <cell r="E472">
            <v>85444200</v>
          </cell>
          <cell r="F472">
            <v>85444200</v>
          </cell>
          <cell r="G472">
            <v>85444200</v>
          </cell>
          <cell r="H472" t="str">
            <v>PONTE DE COBRE FASE B MUNIDA DE PINO RÍGIDO PARA CONEXAO, CONDUTORA ELeTRICA PARA APLICAcAO EM TENSAO DE ATe 240V, ESTANHADA, DIMENSoES 89x47x17,9mm, CORRENTE MaXIMA DE 120A (3010502880)</v>
          </cell>
        </row>
        <row r="473">
          <cell r="B473">
            <v>3010502890</v>
          </cell>
          <cell r="D473">
            <v>20291302</v>
          </cell>
          <cell r="E473">
            <v>85444200</v>
          </cell>
          <cell r="F473">
            <v>85444200</v>
          </cell>
          <cell r="G473">
            <v>85444200</v>
          </cell>
          <cell r="H473" t="str">
            <v>PONTE DE COBRE FASE C MUNIDA DE PINO RÍGIDO PARA CONEXAO, CONDUTORA ELeTRICA PARA APLICAcAO EM TENSAO DE ATe 240V, ESTANHADA, DIMENSoES 57x38,1x11,1mm, CORRENTE MaXIMA DE 120A (3010502890)</v>
          </cell>
        </row>
        <row r="474">
          <cell r="B474">
            <v>3040500120</v>
          </cell>
          <cell r="D474">
            <v>40272303</v>
          </cell>
          <cell r="E474">
            <v>85369090</v>
          </cell>
          <cell r="F474">
            <v>85369090</v>
          </cell>
          <cell r="G474">
            <v>85369090</v>
          </cell>
          <cell r="H474" t="str">
            <v>TERMINAL DE COMUNICAcAO RÍGIDO PARA CONEXAO DE CIRCUITO ELeTRICO COM TENSAO ATe 40V, EM LATAO COM TRATAMENTO NIQUELADO, DIMENSoES 44,1x14,8x4,1mm (3040500120)</v>
          </cell>
        </row>
        <row r="475">
          <cell r="B475">
            <v>3040500130</v>
          </cell>
          <cell r="D475">
            <v>40272304</v>
          </cell>
          <cell r="E475">
            <v>85369090</v>
          </cell>
          <cell r="F475">
            <v>85369090</v>
          </cell>
          <cell r="G475">
            <v>85369090</v>
          </cell>
          <cell r="H475" t="str">
            <v>TERMINAL DE COMUNICAcAO RÍGIDO PARA CONEXAO DE CIRCUITO ELeTRICO COM TENSAO ATe 40V, EM LATAO COM TRATAMENTO NIQUELADO, DIMENSoES 35,9x17,8x4,1mm (3040500130)</v>
          </cell>
        </row>
        <row r="476">
          <cell r="B476">
            <v>3090303020</v>
          </cell>
          <cell r="D476">
            <v>10714000</v>
          </cell>
          <cell r="E476">
            <v>85444200</v>
          </cell>
          <cell r="F476">
            <v>85444200</v>
          </cell>
          <cell r="G476">
            <v>85444200</v>
          </cell>
          <cell r="H476" t="str">
            <v>Fio de Cobre, munido de conexAo, de tensAo 220 V AVR 0.3 Vermelho - L=50mm, isolado para uso eletrico (3090303020)</v>
          </cell>
        </row>
        <row r="477">
          <cell r="B477">
            <v>3090303030</v>
          </cell>
          <cell r="D477">
            <v>10714001</v>
          </cell>
          <cell r="E477">
            <v>85444200</v>
          </cell>
          <cell r="F477">
            <v>85444200</v>
          </cell>
          <cell r="G477">
            <v>85444200</v>
          </cell>
          <cell r="H477" t="str">
            <v>Fio de Cobre, munido de conexAo, de tensAo 220 V AVR 0.3 Preto - L=50mm, isolado para uso eletrico (3090303030)</v>
          </cell>
        </row>
        <row r="478">
          <cell r="B478">
            <v>2140102360</v>
          </cell>
          <cell r="D478">
            <v>20691992</v>
          </cell>
          <cell r="E478">
            <v>85177190</v>
          </cell>
          <cell r="F478">
            <v>85177190</v>
          </cell>
          <cell r="G478">
            <v>85177190</v>
          </cell>
          <cell r="H478" t="str">
            <v>ANTENA DE COMUNICAcAO 3G/4G, PARA UTILIZAcAO EM CONJUNTO COM EQUIPAMENTOS DE COMUNICAcAO DE DADOS POR REDES SEM FIO (2140102360)</v>
          </cell>
        </row>
        <row r="479">
          <cell r="B479">
            <v>2041100261</v>
          </cell>
          <cell r="D479">
            <v>20640716</v>
          </cell>
          <cell r="E479">
            <v>85414111</v>
          </cell>
          <cell r="F479">
            <v>85414111</v>
          </cell>
          <cell r="G479">
            <v>85414111</v>
          </cell>
          <cell r="H479" t="str">
            <v>DIODO EMISSOR DE LUZ (LED), NAO MONTADO - 56/16mcd 2V 25mA 1.9*1.6*0.8mm (2041100261)</v>
          </cell>
        </row>
        <row r="480">
          <cell r="B480">
            <v>2041100361</v>
          </cell>
          <cell r="D480">
            <v>20640722</v>
          </cell>
          <cell r="E480">
            <v>85414111</v>
          </cell>
          <cell r="F480">
            <v>85414111</v>
          </cell>
          <cell r="G480">
            <v>85414111</v>
          </cell>
          <cell r="H480" t="str">
            <v>DIODO EMISSOR DE LUZ (LED) NAO MONTADO 140mcd 2.2V 30mA 2.0*1.25*0.8mm SMD (2041100361)</v>
          </cell>
        </row>
        <row r="481">
          <cell r="B481">
            <v>2041100303</v>
          </cell>
          <cell r="D481">
            <v>20640723</v>
          </cell>
          <cell r="E481">
            <v>85414111</v>
          </cell>
          <cell r="F481">
            <v>85414111</v>
          </cell>
          <cell r="G481">
            <v>85414111</v>
          </cell>
          <cell r="H481" t="str">
            <v>DIODO EMISSOR DE LUZ (LED) NAO MONTADO 18~54MCD 2~2.4V 30.0mA 2*1.25*1.1mm SMD (2041100303)</v>
          </cell>
        </row>
        <row r="482">
          <cell r="B482">
            <v>2041101621</v>
          </cell>
          <cell r="D482">
            <v>20640721</v>
          </cell>
          <cell r="E482">
            <v>85414111</v>
          </cell>
          <cell r="F482">
            <v>85414111</v>
          </cell>
          <cell r="G482">
            <v>85414111</v>
          </cell>
          <cell r="H482" t="str">
            <v>DIODO EMISSOR DE LUZ (LED), NAO MONTADO - 45~180MCD 1.8~2.4V 30mA 3.2*1.2*0.8mm (2041101621)</v>
          </cell>
        </row>
        <row r="483">
          <cell r="B483">
            <v>2050903531</v>
          </cell>
          <cell r="D483">
            <v>20691621</v>
          </cell>
          <cell r="E483">
            <v>85423920</v>
          </cell>
          <cell r="F483">
            <v>85423920</v>
          </cell>
          <cell r="G483">
            <v>85423920</v>
          </cell>
          <cell r="H483" t="str">
            <v>CIRCUITO INTEGRADO ELETRoNICO TIPO REGULADOR DE TENSAO, NAO MONTADO - DM8254T AC-DC;0.0mA;DIP-7 (2050903531) PTH</v>
          </cell>
        </row>
        <row r="484">
          <cell r="B484">
            <v>2051300461</v>
          </cell>
          <cell r="D484">
            <v>20691926</v>
          </cell>
          <cell r="E484">
            <v>85423920</v>
          </cell>
          <cell r="F484">
            <v>85423920</v>
          </cell>
          <cell r="G484">
            <v>85423920</v>
          </cell>
          <cell r="H484" t="str">
            <v>CIRCUITO INTEGRADO ELETRoNICO TIPO PORTA LOGICA NOR, NAO MONTADO - 3.3V CMOS SO14 SMD (2051300461)</v>
          </cell>
        </row>
        <row r="485">
          <cell r="B485">
            <v>3090310550</v>
          </cell>
          <cell r="D485">
            <v>20691305</v>
          </cell>
          <cell r="E485">
            <v>85444200</v>
          </cell>
          <cell r="F485">
            <v>85444200</v>
          </cell>
          <cell r="G485">
            <v>85444200</v>
          </cell>
          <cell r="H485" t="str">
            <v>CABO CONDUTOR ELeTRICO DE TENSAO 120V A 240V, MUNIDO DE PEcA DE CONEXAO (CONECTOR FEMEA), ISOLADO PARA USO ELeTRICO 1*6Pin  90mm  2.54mm (G03179) PTH (3090500620)</v>
          </cell>
        </row>
        <row r="486">
          <cell r="B486">
            <v>2090101751</v>
          </cell>
          <cell r="D486">
            <v>20691322</v>
          </cell>
          <cell r="E486">
            <v>85369040</v>
          </cell>
          <cell r="F486">
            <v>85369040</v>
          </cell>
          <cell r="G486">
            <v>85369040</v>
          </cell>
          <cell r="H486" t="str">
            <v>CONECTOR PARA CIRCUITO IMPRESSO, DE TENSAO ATe 320V, MACHO 1*6PIN 2.5*6mm (2090101751) PTH</v>
          </cell>
        </row>
        <row r="487">
          <cell r="B487">
            <v>2090100041</v>
          </cell>
          <cell r="D487">
            <v>20691503</v>
          </cell>
          <cell r="E487">
            <v>85369040</v>
          </cell>
          <cell r="F487">
            <v>85369040</v>
          </cell>
          <cell r="G487">
            <v>85369040</v>
          </cell>
          <cell r="H487" t="str">
            <v>CONECTOR PARA CIRCUITO IMPRESSO, DE TENSAO ATe 320V, 1×4, 2.54, H:8.5MM (REF. G04052 ) (2090100041)</v>
          </cell>
        </row>
        <row r="488">
          <cell r="B488">
            <v>2090100021</v>
          </cell>
          <cell r="D488">
            <v>20691506</v>
          </cell>
          <cell r="E488">
            <v>85369040</v>
          </cell>
          <cell r="F488">
            <v>85369040</v>
          </cell>
          <cell r="H488" t="str">
            <v>CONECTOR PARA CIRCUITO IMPRESSO, DE TENSAO ATe 320V, 2x2, 2.54, H:8.5MM (REF. G04127 ) (2090100021)</v>
          </cell>
        </row>
        <row r="489">
          <cell r="B489">
            <v>2090100011</v>
          </cell>
          <cell r="D489">
            <v>20691507</v>
          </cell>
          <cell r="E489">
            <v>85369040</v>
          </cell>
          <cell r="F489">
            <v>85369040</v>
          </cell>
          <cell r="G489">
            <v>85369040</v>
          </cell>
          <cell r="H489" t="str">
            <v>CONECTOR PARA CIRCUITO IMPRESSO, DE TENSAO ATe 320V, 2×4, 2.54, H:8.5MM (REF. G04101 ) (2090100011)</v>
          </cell>
        </row>
        <row r="490">
          <cell r="B490">
            <v>2090900071</v>
          </cell>
          <cell r="D490">
            <v>20691303</v>
          </cell>
          <cell r="E490">
            <v>85369040</v>
          </cell>
          <cell r="F490">
            <v>85369040</v>
          </cell>
          <cell r="G490">
            <v>85369040</v>
          </cell>
          <cell r="H490" t="str">
            <v>CONECTOR PARA CIRCUITO IMPRESSO, DE TENSAO APROXIMADA 300V - DE SAIDA DE COMUNICAcAO 8A 5.0mm 2 (PTH) (2090900071)</v>
          </cell>
        </row>
        <row r="491">
          <cell r="B491">
            <v>3010502140</v>
          </cell>
          <cell r="D491">
            <v>20291601</v>
          </cell>
          <cell r="E491">
            <v>85444200</v>
          </cell>
          <cell r="F491">
            <v>85444200</v>
          </cell>
          <cell r="H491" t="str">
            <v>PONTE DE COBRE FASE MUNIDA DE PINO RÍGIDO PARA CONEXAO, CONDUTORA ELeTRICA PARA APLICAcAO EM TENSAO DE ATe 240V, ESTANHADA PARCIALMENTE, CORRENTE MaXIMA DE 120A (3010502140)</v>
          </cell>
        </row>
        <row r="492">
          <cell r="B492">
            <v>3040300940</v>
          </cell>
          <cell r="D492">
            <v>20140001</v>
          </cell>
          <cell r="E492">
            <v>85444200</v>
          </cell>
          <cell r="F492">
            <v>85444200</v>
          </cell>
          <cell r="H492" t="str">
            <v>PONTE DE COBRE FASE A MUNIDA DE FURO ROSQUEADO M3 PARA CONEXAO, CONDUTORA ELeTRICA PARA APLICAcAO EM TENSAO DE ATe 240V, ESTANHADA, DIMENSoES 165,8x145x5mm, CORRENTE MaXIMA DE 200A (3040300940)</v>
          </cell>
        </row>
        <row r="493">
          <cell r="B493">
            <v>3040300950</v>
          </cell>
          <cell r="D493">
            <v>20140002</v>
          </cell>
          <cell r="E493">
            <v>85444200</v>
          </cell>
          <cell r="F493">
            <v>85444200</v>
          </cell>
          <cell r="H493" t="str">
            <v>PONTE DE COBRE FASE B MUNIDA DE FURO ROSQUEADO M3 PARA CONEXAO, CONDUTORA ELeTRICA PARA APLICAcAO EM TENSAO DE ATe 240V, ESTANHADA, DIMENSoES 127,6x105,2x5mm, CORRENTE MaXIMA DE 200A (3040300950)</v>
          </cell>
        </row>
        <row r="494">
          <cell r="B494">
            <v>3040300960</v>
          </cell>
          <cell r="D494">
            <v>20140003</v>
          </cell>
          <cell r="E494">
            <v>85444200</v>
          </cell>
          <cell r="F494">
            <v>85444200</v>
          </cell>
          <cell r="H494" t="str">
            <v>PONTE DE COBRE FASE C MUNIDA DE FURO ROSQUEADO M3 PARA CONEXAO, CONDUTORA ELeTRICA PARA APLICAcAO EM TENSAO DE ATe 240V, ESTANHADA, DIMENSoES 90,8x65,4x5mm, CORRENTE MaXIMA DE 200A (3040300960)</v>
          </cell>
        </row>
        <row r="495">
          <cell r="B495">
            <v>3040301260</v>
          </cell>
          <cell r="D495">
            <v>20290904</v>
          </cell>
          <cell r="E495">
            <v>85444200</v>
          </cell>
          <cell r="F495">
            <v>85444200</v>
          </cell>
          <cell r="H495" t="str">
            <v>PONTE DE COBRE MUNIDA DE FURO 5,5mm PARA CONEXAO, CONDUTORA ELeTRICA PARA APLICAcAO EM TENSAO DE ATe 240V, DIMENSoES 31x9x2mm, CORRENTE MaXIMA DE 120A (3040300960)</v>
          </cell>
        </row>
        <row r="496">
          <cell r="B496">
            <v>3040300020</v>
          </cell>
          <cell r="D496">
            <v>40270000</v>
          </cell>
          <cell r="E496">
            <v>85444200</v>
          </cell>
          <cell r="F496">
            <v>85444200</v>
          </cell>
          <cell r="G496">
            <v>85444200</v>
          </cell>
          <cell r="H496" t="str">
            <v>PONTE DE COBRE NEUTRO MUNIDA DE FIO PRETO (80MM) PARA CONEXAO, CONDUTORA ELeTRICA PARA APLICAcAO EM TENSAO DE ATe 240V, ESTANHADA, DIMENSoES 32,5x27,5x12mm, CORRENTE MaXIMA DE 120A (3040300020)</v>
          </cell>
        </row>
        <row r="497">
          <cell r="B497">
            <v>3010500010</v>
          </cell>
          <cell r="D497">
            <v>40270001</v>
          </cell>
          <cell r="E497">
            <v>85444200</v>
          </cell>
          <cell r="F497">
            <v>85444200</v>
          </cell>
          <cell r="G497">
            <v>85444200</v>
          </cell>
          <cell r="H497" t="str">
            <v>PONTE DE COBRE FASE MUNIDA DE FIO VERMELHO (100mm), FIO AMARELO (100mm) E FIO AZUL (100mm) PARA CONEXAO, CONDUTORA ELeTRICA PARA APLICAcAO EM TENSAO DE ATe 240V, ESTANHADA, DIMENSoES 64,5x37,5x2,5mm CORRENTE MaXIMA DE 120A (3010500010)</v>
          </cell>
        </row>
        <row r="498">
          <cell r="B498">
            <v>3010500020</v>
          </cell>
          <cell r="D498">
            <v>40270305</v>
          </cell>
          <cell r="E498">
            <v>85444200</v>
          </cell>
          <cell r="F498">
            <v>85444200</v>
          </cell>
          <cell r="H498" t="str">
            <v>PONTE DE COBRE FASE MUNIDA DE FIO VERMELHO (100mm), FIO AMARELO (100mm) E FIO AZUL (100mm) PARA CONEXAO, CONDUTORA ELeTRICA PARA APLICAcAO EM TENSAO DE ATe 240V, ESTANHADA PARCIALMENTE, DIMENSoES 64,5x38x2,5mm, CORRENTE MaXIMA DE 120A (3010500020)</v>
          </cell>
        </row>
        <row r="499">
          <cell r="B499">
            <v>3090100050</v>
          </cell>
          <cell r="D499">
            <v>40270300</v>
          </cell>
          <cell r="E499">
            <v>85444200</v>
          </cell>
          <cell r="F499">
            <v>85444200</v>
          </cell>
          <cell r="H499" t="str">
            <v>PONTE DE COBRE NEUTRO MUNIDA DE FIO PRETO (100mm) PARA CONEXAO, CONDUTORA ELeTRICA PARA APLICAcAO EM TENSAO DE ATe 240V, ESTANHADA, CORRENTE MaXIMA DE 120A (3090100050)</v>
          </cell>
        </row>
        <row r="500">
          <cell r="B500">
            <v>3090100040</v>
          </cell>
          <cell r="D500">
            <v>40270301</v>
          </cell>
          <cell r="E500">
            <v>85444200</v>
          </cell>
          <cell r="F500">
            <v>85444200</v>
          </cell>
          <cell r="H500" t="str">
            <v>PONTE DE COBRE FASE MUNIDA DE FIO VERMELHO (100mm) PARA CONEXAO, CONDUTORA ELeTRICA PARA APLICAcAO EM TENSAO DE ATe 240V, ESTANHADA, CORRENTE MaXIMA DE 120A (3090100040)</v>
          </cell>
        </row>
        <row r="501">
          <cell r="B501">
            <v>3090100020</v>
          </cell>
          <cell r="D501">
            <v>40270302</v>
          </cell>
          <cell r="E501">
            <v>85444200</v>
          </cell>
          <cell r="F501">
            <v>85444200</v>
          </cell>
          <cell r="H501" t="str">
            <v>PONTE DE COBRE NEUTRO MUNIDA DE FIO PRETO (100mm) PARA CONEXAO, CONDUTORA ELeTRICA PARA APLICAcAO EM TENSAO DE ATe 240V, ESTANHADA, DIMENSoES 154x7,5x2,5mm, CORRENTE MaXIMA DE 120A (3090100020)</v>
          </cell>
        </row>
        <row r="502">
          <cell r="B502">
            <v>3090100010</v>
          </cell>
          <cell r="D502">
            <v>40270303</v>
          </cell>
          <cell r="E502">
            <v>85444200</v>
          </cell>
          <cell r="F502">
            <v>85444200</v>
          </cell>
          <cell r="H502" t="str">
            <v>PONTE DE COBRE FASE MUNIDA DE FIO VERMELHO (100mm) PARA CONEXAO, CONDUTORA ELeTRICA PARA APLICAcAO EM TENSAO DE ATe 240V, ESTANHADA, DIMENSoES 192x7,5x2,5mm, CORRENTE MaXIMA DE 120A (3090100010)</v>
          </cell>
        </row>
        <row r="503">
          <cell r="B503">
            <v>3090100030</v>
          </cell>
          <cell r="D503">
            <v>40270304</v>
          </cell>
          <cell r="E503">
            <v>85444200</v>
          </cell>
          <cell r="F503">
            <v>85444200</v>
          </cell>
          <cell r="H503" t="str">
            <v>PONTE DE COBRE FASE ESTANHADA, MUNIDA DE FIO PRETO (100mm) PARA CONEXAO E TRANSFORMADOR DE CORRENTE COM FIO VERMELHO E PRETO (160mm), CONDUTORA ELeTRICA PARA APLICAcAO EM TENSAO DE ATe 240V, DIMENSoES 158x7,5x2,5mm, CORRENTE MaXIMA DE 120A (3090100030)</v>
          </cell>
        </row>
        <row r="504">
          <cell r="B504">
            <v>3090107600</v>
          </cell>
          <cell r="D504">
            <v>40270306</v>
          </cell>
          <cell r="E504">
            <v>85444200</v>
          </cell>
          <cell r="F504">
            <v>85444200</v>
          </cell>
          <cell r="H504" t="str">
            <v>PONTE DE COBRE FASE MUNIDA DE FIO VERMELHO (100mm) PARA CONEXAO, CONDUTORA ELeTRICA PARA APLICAcAO EM TENSAO DE ATe 240V, ESTANHADA, DIMENSoES 200x7,5x2,5mm, CORRENTE MaXIMA DE 120A (3090107600)</v>
          </cell>
        </row>
        <row r="505">
          <cell r="B505">
            <v>3090107590</v>
          </cell>
          <cell r="D505">
            <v>40270307</v>
          </cell>
          <cell r="E505">
            <v>85444200</v>
          </cell>
          <cell r="F505">
            <v>85444200</v>
          </cell>
          <cell r="H505" t="str">
            <v>PONTE DE COBRE NEUTRO MUNIDA DE FIO PRETO (100mm) PARA CONEXAO, CONDUTORA ELeTRICA PARA APLICAcAO EM TENSAO DE ATe 240V, ESTANHADA, DIMENSoES 222x7,5x2,5mm, CORRENTE MaXIMA DE 120A (3090107590)</v>
          </cell>
        </row>
        <row r="506">
          <cell r="B506">
            <v>3010502700</v>
          </cell>
          <cell r="D506">
            <v>20291303</v>
          </cell>
          <cell r="E506">
            <v>85444200</v>
          </cell>
          <cell r="F506">
            <v>85444200</v>
          </cell>
          <cell r="G506">
            <v>85444200</v>
          </cell>
          <cell r="H506" t="str">
            <v>PONTE DE COBRE FASE C MUNIDA DE PINO RÍGIDO PARA CONEXAO, CONDUTORA ELeTRICA PARA APLICAcAO EM TENSAO DE ATe 240V, ESTANHADA, DIMENSoES 66x39,5x10,1mm, CORRENTE MaXIMA DE 120A (3010502700)</v>
          </cell>
        </row>
        <row r="507">
          <cell r="B507">
            <v>3010502710</v>
          </cell>
          <cell r="D507">
            <v>20291604</v>
          </cell>
          <cell r="E507">
            <v>85444200</v>
          </cell>
          <cell r="F507">
            <v>85444200</v>
          </cell>
          <cell r="G507">
            <v>85444200</v>
          </cell>
          <cell r="H507" t="str">
            <v>PONTE DE COBRE FASE B MUNIDA DE PINO RÍGIDO PARA CONEXAO, CONDUTORA ELeTRICA PARA APLICAcAO EM TENSAO DE ATe 240V, ESTANHADA, DIMENSoES 98x50,5x10,1mm, CORRENTE MaXIMA DE 120A (3010502710)</v>
          </cell>
        </row>
        <row r="508">
          <cell r="B508">
            <v>3010502720</v>
          </cell>
          <cell r="D508">
            <v>20291702</v>
          </cell>
          <cell r="E508">
            <v>85444200</v>
          </cell>
          <cell r="F508">
            <v>85444200</v>
          </cell>
          <cell r="G508">
            <v>85444200</v>
          </cell>
          <cell r="H508" t="str">
            <v>PONTE DE COBRE FASE A MUNIDA DE PINO RÍGIDO PARA CONEXAO, CONDUTORA ELeTRICA PARA APLICAcAO EM TENSAO DE ATe 240V, ESTANHADA, DIMENSoES 138x48,4x24mm, CORRENTE MaXIMA DE 120A (3010502720)</v>
          </cell>
        </row>
        <row r="509">
          <cell r="B509">
            <v>3010502730</v>
          </cell>
          <cell r="D509">
            <v>20291304</v>
          </cell>
          <cell r="E509">
            <v>85444200</v>
          </cell>
          <cell r="F509">
            <v>85444200</v>
          </cell>
          <cell r="G509">
            <v>85444200</v>
          </cell>
          <cell r="H509" t="str">
            <v>PONTE DE COBRE NEUTRO MUNIDA DE PINO RÍGIDO PARA CONEXAO, CONDUTORA ELeTRICA PARA APLICAcAO EM TENSAO DE ATe 240V, ESTANHADA, CORRENTE MaXIMA DE 120A(3010502730)</v>
          </cell>
        </row>
        <row r="510">
          <cell r="B510" t="str">
            <v>CIUEV700R11001</v>
          </cell>
          <cell r="D510">
            <v>20691399</v>
          </cell>
          <cell r="E510">
            <v>85176272</v>
          </cell>
          <cell r="F510">
            <v>85176272</v>
          </cell>
          <cell r="G510">
            <v>85176272</v>
          </cell>
          <cell r="H510" t="str">
            <v>Modulos de radio frequencia para comunicacAo de dados sem fio (recepcAo, conversAo e transmisAo), digitais, emissores de radio frequencia com receptor incorporado, capazes de operar na faixa ISM de 902 a 928 MHz, em redes de topologia "Mesh" ou "Estrela", suportando tecnologias LoRa e FSK com espalhamento espectral por salto em frequencia (FHSS) e taxa de transmissAo de ate 22 kbps</v>
          </cell>
        </row>
        <row r="511">
          <cell r="B511">
            <v>2080500362</v>
          </cell>
          <cell r="D511">
            <v>20600501</v>
          </cell>
          <cell r="E511">
            <v>85176277</v>
          </cell>
          <cell r="F511">
            <v>85176277</v>
          </cell>
          <cell r="G511">
            <v>85176277</v>
          </cell>
          <cell r="H511" t="str">
            <v>Modulos de comunicacAo de dados sem fio, emissor com receptor incorporado, digital, para transmissAo e recepcAo de dados, compatíveis com o padrAo IEEE802.11, wifi b/g/n20/n40, com frequencia de operacAo na faixa de 2.4 GHz, de taxa de transmissAo de ate 150 Mbit/s - para montagem em placa de circuito impresso em tecnologia SMT (Surface Mount Technology), com tensAo de alimentacAo 3.3V(2080500362) b/g/n20/n40 para montagem SMD 3.3V SMD (2080500362)</v>
          </cell>
        </row>
        <row r="512">
          <cell r="B512">
            <v>3051506430</v>
          </cell>
          <cell r="D512">
            <v>20292102</v>
          </cell>
          <cell r="E512">
            <v>73269090</v>
          </cell>
          <cell r="F512">
            <v>73269090</v>
          </cell>
          <cell r="G512">
            <v>73269090</v>
          </cell>
          <cell r="H512" t="str">
            <v>SUPORTE DE FIXAcAO EM AcO INOXIDaVEL SUS304, OBTIDO A PARTIR DE PROCESSOS DE CORTE E DOBRA, PARA ACCESS POINT, DIMENSoES 500 x 410 x 32mm (3051506430)</v>
          </cell>
        </row>
        <row r="513">
          <cell r="B513">
            <v>3090505860</v>
          </cell>
          <cell r="D513">
            <v>20690019</v>
          </cell>
          <cell r="E513">
            <v>85444200</v>
          </cell>
          <cell r="F513">
            <v>85444200</v>
          </cell>
          <cell r="G513">
            <v>85444200</v>
          </cell>
          <cell r="H513" t="str">
            <v>CABO DE FORcA MUNIDO DE PLUG TRIPOLAR PARA CONEXAO, CONDUTOR ELeTRICO PARA APLICAcAO EM TENSAO DE ATe 500V, ISOLADO PARA USO ELeTRICO COM ISOLAMENTO DE PVC, DE 3m, COM CONTATOS EM PBT E LIGA DE ZINCO (3090505860)</v>
          </cell>
        </row>
        <row r="514">
          <cell r="B514">
            <v>2110100641</v>
          </cell>
          <cell r="D514">
            <v>20691558</v>
          </cell>
          <cell r="E514">
            <v>85416090</v>
          </cell>
          <cell r="F514">
            <v>85416090</v>
          </cell>
          <cell r="G514">
            <v>85416090</v>
          </cell>
          <cell r="H514" t="str">
            <v>Cristal piezeletrico montado, de frequencia 0.032768MHz</v>
          </cell>
        </row>
        <row r="515">
          <cell r="B515">
            <v>2050102621</v>
          </cell>
          <cell r="D515">
            <v>20660378</v>
          </cell>
          <cell r="E515">
            <v>85423120</v>
          </cell>
          <cell r="F515">
            <v>85423120</v>
          </cell>
          <cell r="G515">
            <v>85423120</v>
          </cell>
          <cell r="H515" t="str">
            <v>Circuito Integrado eletronico do tipo microcontrolador,  modelo de microprocessador 32 bits, frequencia de clock 8MHz, montado, proprio para montagem em superfície SMD 2.6~3.6V 192.0kB 512.0kB 22*22*1.6mm (2050102621) SMD</v>
          </cell>
        </row>
        <row r="516">
          <cell r="B516">
            <v>2050100861</v>
          </cell>
          <cell r="D516">
            <v>20660377</v>
          </cell>
          <cell r="E516">
            <v>85423120</v>
          </cell>
          <cell r="F516">
            <v>85423120</v>
          </cell>
          <cell r="G516">
            <v>85423120</v>
          </cell>
          <cell r="H516" t="str">
            <v>Circuito Integrado eletronico controlador, montado, proprio para montagem em superfície SMD, do tipo microcontrolador, modelo de processador 16 bits, frequencia de clock 48MHz - 3.3V 768kB 128kB LQFP144 (2050100861) SMD</v>
          </cell>
        </row>
        <row r="517">
          <cell r="B517">
            <v>2050501821</v>
          </cell>
          <cell r="D517">
            <v>20680122</v>
          </cell>
          <cell r="E517">
            <v>85423221</v>
          </cell>
          <cell r="F517">
            <v>85423221</v>
          </cell>
          <cell r="G517">
            <v>85423221</v>
          </cell>
          <cell r="H517" t="str">
            <v>Circuito Integrado eletronico de memoria do tipo flash, com capacidade de memoria 128Mbytes, montado, proprio para montagem em superfície SMD, com tempo de acesso 24 ns - flash 2.7~3.6V 128Mb SPI S08(200mil) SMD (2050501821)</v>
          </cell>
        </row>
        <row r="518">
          <cell r="B518">
            <v>2050900121</v>
          </cell>
          <cell r="D518">
            <v>20691632</v>
          </cell>
          <cell r="E518">
            <v>85423939</v>
          </cell>
          <cell r="F518">
            <v>85423939</v>
          </cell>
          <cell r="G518">
            <v>85423939</v>
          </cell>
          <cell r="H518" t="str">
            <v>Circuito integrado eletronico tipo regulador de tensAo, montado, proprio para montagem em superfície SMD - DCDC 4~36V 3000.0mA QFN-8 SMD (2050900121)</v>
          </cell>
        </row>
        <row r="519">
          <cell r="B519">
            <v>2050903501</v>
          </cell>
          <cell r="D519">
            <v>20691631</v>
          </cell>
          <cell r="E519">
            <v>85423939</v>
          </cell>
          <cell r="F519">
            <v>85423939</v>
          </cell>
          <cell r="G519">
            <v>85423939</v>
          </cell>
          <cell r="H519" t="str">
            <v>Circuito integrado eletronico  tipo regulador de tensAo, montado, proprio para montagem em superfície SMD - DCDC 4.7~40V 600mA SOT23-6 (2050903501)</v>
          </cell>
        </row>
        <row r="520">
          <cell r="B520">
            <v>2050903051</v>
          </cell>
          <cell r="D520">
            <v>20691630</v>
          </cell>
          <cell r="E520">
            <v>85423939</v>
          </cell>
          <cell r="F520">
            <v>85423939</v>
          </cell>
          <cell r="G520">
            <v>85423939</v>
          </cell>
          <cell r="H520" t="str">
            <v>Circuito integrado eletronico tipo supervisor de tensAo, montado, proprio para montagem em superfície SMD - LDO 0.8V~5.5V 500mA 3.3V SOT-23-5 (2050903051)</v>
          </cell>
        </row>
        <row r="521">
          <cell r="B521">
            <v>2050900982</v>
          </cell>
          <cell r="D521">
            <v>20691628</v>
          </cell>
          <cell r="E521">
            <v>85423939</v>
          </cell>
          <cell r="F521">
            <v>85423939</v>
          </cell>
          <cell r="G521">
            <v>85423939</v>
          </cell>
          <cell r="H521" t="str">
            <v>Circuito integrado eletronico tipo supervisor de tensAo (alta precisAo), montado, proprio para montagem em superfície SMD - LDO 1.2~5.5V 0mA 2.93V SOT-23 (2050900982)</v>
          </cell>
        </row>
        <row r="522">
          <cell r="B522">
            <v>2050903371</v>
          </cell>
          <cell r="D522">
            <v>20691633</v>
          </cell>
          <cell r="E522">
            <v>85423939</v>
          </cell>
          <cell r="F522">
            <v>85423939</v>
          </cell>
          <cell r="G522">
            <v>85423939</v>
          </cell>
          <cell r="H522" t="str">
            <v>Circuito integrado eletronico tipo regulador de tensAo, montado, proprio para montagem em superfície SMD - LDO 2.5V~20V 800.0mA 1.8V~15V SOT223 (2050903371)</v>
          </cell>
        </row>
        <row r="523">
          <cell r="B523">
            <v>2050902701</v>
          </cell>
          <cell r="D523">
            <v>20691629</v>
          </cell>
          <cell r="E523">
            <v>85423920</v>
          </cell>
          <cell r="F523">
            <v>85423920</v>
          </cell>
          <cell r="G523">
            <v>85423920</v>
          </cell>
          <cell r="H523" t="str">
            <v>Circuito integrado eletronico tipo conversor de tensAo AC-DC AC-DC, nAo montado - 0mA DIP7 (2050902701)</v>
          </cell>
        </row>
        <row r="524">
          <cell r="B524">
            <v>2110301440</v>
          </cell>
          <cell r="D524">
            <v>20691557</v>
          </cell>
          <cell r="E524">
            <v>85416010</v>
          </cell>
          <cell r="F524">
            <v>85416010</v>
          </cell>
          <cell r="G524">
            <v>85416010</v>
          </cell>
          <cell r="H524" t="str">
            <v>Cristal piezeletrico montado, de frequencia 25MH (2110301440)</v>
          </cell>
        </row>
        <row r="525">
          <cell r="B525">
            <v>2050903821</v>
          </cell>
          <cell r="D525">
            <v>20691627</v>
          </cell>
          <cell r="E525">
            <v>85423939</v>
          </cell>
          <cell r="F525">
            <v>85423939</v>
          </cell>
          <cell r="G525">
            <v>85423939</v>
          </cell>
          <cell r="H525" t="str">
            <v>Circuito integrado eletronico tipo regulador de tensAo Low Drop-out, montado, proprio para montagem em superfície SMD - LDO 2.7~36V 150mA 3.3V SOT-89 (2050903821)</v>
          </cell>
        </row>
        <row r="526">
          <cell r="B526">
            <v>2050900082</v>
          </cell>
          <cell r="D526">
            <v>20691617</v>
          </cell>
          <cell r="E526">
            <v>85423939</v>
          </cell>
          <cell r="F526">
            <v>85423939</v>
          </cell>
          <cell r="G526">
            <v>85423939</v>
          </cell>
          <cell r="H526" t="str">
            <v>Circuito Integrado eletronico tipo REGULADOR DE TENSAO, montado, proprio para montagem em superfície SMD - 100mA 2.495~36V SOT-23 (2050900082)</v>
          </cell>
        </row>
        <row r="527">
          <cell r="B527">
            <v>2050700074</v>
          </cell>
          <cell r="D527">
            <v>20660371</v>
          </cell>
          <cell r="E527">
            <v>85423939</v>
          </cell>
          <cell r="F527">
            <v>85423939</v>
          </cell>
          <cell r="G527">
            <v>85423939</v>
          </cell>
          <cell r="H527" t="str">
            <v>Circuito Integrado eletronico tipo DRIVER DE ACIONAMENTO DE RELe, montado, proprio para montagem em superfície SMD - 5~36V 450mA SOT23-6 (2050700074)</v>
          </cell>
        </row>
        <row r="528">
          <cell r="B528">
            <v>2050900161</v>
          </cell>
          <cell r="D528">
            <v>20660310</v>
          </cell>
          <cell r="E528">
            <v>85423190</v>
          </cell>
          <cell r="F528">
            <v>85423190</v>
          </cell>
          <cell r="G528">
            <v>85423190</v>
          </cell>
          <cell r="H528" t="str">
            <v>CIRCUITO INTEGRADO ELETRoNICO TIPO MICROCONTROLADOR, MONTADO, PRoPRIO PARA MONTAGEM POR INSERcAO PTH, DE MODELO DE MICROPROCESSADOR 71M6542GT E FREQUeNCIA DE CLOCK DE 0,42 MHZ (REF. E02503) (2050900161)</v>
          </cell>
        </row>
        <row r="529">
          <cell r="B529">
            <v>3090305680</v>
          </cell>
          <cell r="D529">
            <v>20691312</v>
          </cell>
          <cell r="E529">
            <v>85369090</v>
          </cell>
          <cell r="F529">
            <v>85369090</v>
          </cell>
          <cell r="G529">
            <v>85369090</v>
          </cell>
          <cell r="H529" t="str">
            <v>CONECTOR FEMEA PARA CONEXAO DE CIRCUITO ELeTRICO COM TENSAO ATe 240V - 2.5mm 5264 + SCN 2P 60mm 3239 para cabo 24AWG e montagem PTH (3090305680)</v>
          </cell>
        </row>
        <row r="530">
          <cell r="B530">
            <v>2110100012</v>
          </cell>
          <cell r="D530">
            <v>20691509</v>
          </cell>
          <cell r="E530">
            <v>85416090</v>
          </cell>
          <cell r="F530">
            <v>85416090</v>
          </cell>
          <cell r="G530">
            <v>85416090</v>
          </cell>
          <cell r="H530" t="str">
            <v>CRISTAL PIEZELeTRICO MONTADO, DE FREQUENCIA 0,032768 MHz (D01053-1) (2110100012)</v>
          </cell>
        </row>
        <row r="531">
          <cell r="B531">
            <v>3030107520</v>
          </cell>
          <cell r="D531">
            <v>21166003</v>
          </cell>
          <cell r="E531">
            <v>74153300</v>
          </cell>
          <cell r="F531">
            <v>74153300</v>
          </cell>
          <cell r="G531">
            <v>74153300</v>
          </cell>
          <cell r="H531" t="str">
            <v>PARAFUSO FENDA CRUZADA, DIMENSAO M6x15mm, EM MATeRIA-PRIMA BASE LATAO (LIGA DE COBREZINCO), DE PROCESSO DE FABRICAcAO POR USINAGEM COM ACABAMENTO SUPERFICIAL POR NIQUELAGEM (3030107520)</v>
          </cell>
        </row>
        <row r="532">
          <cell r="B532">
            <v>2090302051</v>
          </cell>
          <cell r="D532">
            <v>20691323</v>
          </cell>
          <cell r="E532">
            <v>85369090</v>
          </cell>
          <cell r="F532">
            <v>85369090</v>
          </cell>
          <cell r="G532">
            <v>85369090</v>
          </cell>
          <cell r="H532" t="str">
            <v>Conector para conexAo de circuito eletrico, de tensAo aproximada entre 0V e 20V, bloco terminal macho separavel para montagem PTH 1*2 3.81mm 9.2mm PTH (2090302051)</v>
          </cell>
        </row>
        <row r="533">
          <cell r="B533">
            <v>2010101810</v>
          </cell>
          <cell r="D533">
            <v>20660931</v>
          </cell>
          <cell r="E533">
            <v>85332120</v>
          </cell>
          <cell r="F533">
            <v>85332120</v>
          </cell>
          <cell r="G533">
            <v>85332120</v>
          </cell>
          <cell r="H533" t="str">
            <v>RESISTOR (RESISTeNCIA ELeTRICA FIXA) PRoPRIO PARA MONTAGEM EM SUPERFÍCIE SMD  33O 5por cento 100ppm POTeNCIA DE 1/16W 0402 (2010101810) SMD</v>
          </cell>
        </row>
        <row r="534">
          <cell r="B534">
            <v>2010105620</v>
          </cell>
          <cell r="D534">
            <v>20660968</v>
          </cell>
          <cell r="E534">
            <v>85332120</v>
          </cell>
          <cell r="F534">
            <v>85332120</v>
          </cell>
          <cell r="G534">
            <v>85332120</v>
          </cell>
          <cell r="H534" t="str">
            <v>RESISTOR (RESISTeNCIA ELeTRICA FIXA) PRoPRIO PARA MONTAGEM EM SUPERFÍCIE SMD  470k 5por cento 100.0ppm POTeNCIA DE 1/16W 0402 (2010105620) SMD</v>
          </cell>
        </row>
        <row r="535">
          <cell r="B535">
            <v>2010107240</v>
          </cell>
          <cell r="D535">
            <v>20660923</v>
          </cell>
          <cell r="E535">
            <v>85332120</v>
          </cell>
          <cell r="F535">
            <v>85332120</v>
          </cell>
          <cell r="G535">
            <v>85332120</v>
          </cell>
          <cell r="H535" t="str">
            <v>RESISTOR (RESISTeNCIA ELeTRICA FIXA) PRoPRIO PARA MONTAGEM EM SUPERFÍCIE SMD  5.1kO 1por cento 100ppm POTeNCIA DE 1/16W 0402 (2010107240) SMD</v>
          </cell>
        </row>
        <row r="536">
          <cell r="B536">
            <v>2010107090</v>
          </cell>
          <cell r="D536">
            <v>20660969</v>
          </cell>
          <cell r="E536">
            <v>85332120</v>
          </cell>
          <cell r="F536">
            <v>85332120</v>
          </cell>
          <cell r="G536">
            <v>85332120</v>
          </cell>
          <cell r="H536" t="str">
            <v>RESISTOR (RESISTeNCIA ELeTRICA FIXA) PRoPRIO PARA MONTAGEM EM SUPERFÍCIE SMD  51k 1por cento 100.0ppm POTeNCIA DE 1/16W 0402 (2010107090) SMD</v>
          </cell>
        </row>
        <row r="537">
          <cell r="B537">
            <v>2010102130</v>
          </cell>
          <cell r="D537">
            <v>20660972</v>
          </cell>
          <cell r="E537">
            <v>85332120</v>
          </cell>
          <cell r="F537">
            <v>85332120</v>
          </cell>
          <cell r="G537">
            <v>85332120</v>
          </cell>
          <cell r="H537" t="str">
            <v>RESISTOR (RESISTeNCIA ELeTRICA FIXA) PRoPRIO PARA MONTAGEM EM SUPERFÍCIE SMD  4.7k 1por cento 100.0ppm POTeNCIA DE 1/10W 0603 (2010102130) SMD</v>
          </cell>
        </row>
        <row r="538">
          <cell r="B538">
            <v>2010102220</v>
          </cell>
          <cell r="D538">
            <v>20660973</v>
          </cell>
          <cell r="E538">
            <v>85332120</v>
          </cell>
          <cell r="F538">
            <v>85332120</v>
          </cell>
          <cell r="G538">
            <v>85332120</v>
          </cell>
          <cell r="H538" t="str">
            <v>RESISTOR (RESISTeNCIA ELeTRICA FIXA) PRoPRIO PARA MONTAGEM EM SUPERFÍCIE SMD  6.8k 1por cento 100.0ppm POTeNCIA DE 1/10W 0603 (2010102220) SMD</v>
          </cell>
        </row>
        <row r="539">
          <cell r="B539">
            <v>2010102230</v>
          </cell>
          <cell r="D539">
            <v>20660974</v>
          </cell>
          <cell r="E539">
            <v>85332120</v>
          </cell>
          <cell r="F539">
            <v>85332120</v>
          </cell>
          <cell r="G539">
            <v>85332120</v>
          </cell>
          <cell r="H539" t="str">
            <v>RESISTOR (RESISTeNCIA ELeTRICA FIXA) PRoPRIO PARA MONTAGEM EM SUPERFÍCIE SMD  3.3k 1por cento 100.0ppm POTeNCIA DE 1/10W 0603 (2010102230) SMD</v>
          </cell>
        </row>
        <row r="540">
          <cell r="B540">
            <v>2010102410</v>
          </cell>
          <cell r="D540">
            <v>20633661</v>
          </cell>
          <cell r="E540">
            <v>85332120</v>
          </cell>
          <cell r="F540">
            <v>85332120</v>
          </cell>
          <cell r="G540">
            <v>85332120</v>
          </cell>
          <cell r="H540" t="str">
            <v>RESISTOR (RESISTeNCIA ELeTRICA FIXA) PRoPRIO PARA MONTAGEM EM SUPERFÍCIE SMD  33K 1por cento 100ppm POTeNCIA DE 1/10W 0603 SMD (2010102410)</v>
          </cell>
        </row>
        <row r="541">
          <cell r="B541">
            <v>2010102490</v>
          </cell>
          <cell r="D541">
            <v>20660975</v>
          </cell>
          <cell r="E541">
            <v>85332120</v>
          </cell>
          <cell r="F541">
            <v>85332120</v>
          </cell>
          <cell r="G541">
            <v>85332120</v>
          </cell>
          <cell r="H541" t="str">
            <v>RESISTOR (RESISTeNCIA ELeTRICA FIXA) PRoPRIO PARA MONTAGEM EM SUPERFÍCIE SMD  12.1k 1por cento 100.0ppm POTeNCIA DE 1/10W 0603 (2010102490) SMD</v>
          </cell>
        </row>
        <row r="542">
          <cell r="B542">
            <v>2010104870</v>
          </cell>
          <cell r="D542">
            <v>20660967</v>
          </cell>
          <cell r="E542">
            <v>85332120</v>
          </cell>
          <cell r="F542">
            <v>85332120</v>
          </cell>
          <cell r="G542">
            <v>85332120</v>
          </cell>
          <cell r="H542" t="str">
            <v>RESISTOR (RESISTeNCIA ELeTRICA FIXA) PRoPRIO PARA MONTAGEM EM SUPERFÍCIE SMD  30R 1por cento 100.0ppm POTeNCIA DE 1/4W 1206 (2010104870) SMD</v>
          </cell>
        </row>
        <row r="543">
          <cell r="B543">
            <v>2010106020</v>
          </cell>
          <cell r="D543">
            <v>20660976</v>
          </cell>
          <cell r="E543">
            <v>85332120</v>
          </cell>
          <cell r="F543">
            <v>85332120</v>
          </cell>
          <cell r="G543">
            <v>85332120</v>
          </cell>
          <cell r="H543" t="str">
            <v>RESISTOR (RESISTeNCIA ELeTRICA FIXA) PRoPRIO PARA MONTAGEM EM SUPERFÍCIE SMD  390k 1por cento 100.0ppm POTeNCIA DE 1/16W 0402 (2010106020) SMD</v>
          </cell>
        </row>
        <row r="544">
          <cell r="B544">
            <v>2010110500</v>
          </cell>
          <cell r="D544">
            <v>20660970</v>
          </cell>
          <cell r="E544">
            <v>85332120</v>
          </cell>
          <cell r="F544">
            <v>85332120</v>
          </cell>
          <cell r="G544">
            <v>85332120</v>
          </cell>
          <cell r="H544" t="str">
            <v>RESISTOR (RESISTeNCIA ELeTRICA FIXA) PRoPRIO PARA MONTAGEM EM SUPERFÍCIE SMD  1M 1por cento 100.0ppm POTeNCIA DE 1/16W 0402 (2010110500) SMD</v>
          </cell>
        </row>
        <row r="545">
          <cell r="B545">
            <v>2010101780</v>
          </cell>
          <cell r="D545">
            <v>20660971</v>
          </cell>
          <cell r="E545">
            <v>85332120</v>
          </cell>
          <cell r="F545">
            <v>85332120</v>
          </cell>
          <cell r="G545">
            <v>85332120</v>
          </cell>
          <cell r="H545" t="str">
            <v>RESISTOR (RESISTeNCIA ELeTRICA FIXA) PRoPRIO PARA MONTAGEM EM SUPERFÍCIE SMD  110k 1por cento 100.0ppm POTeNCIA DE 1/16W 0402 (2010101780) SMD</v>
          </cell>
        </row>
        <row r="546">
          <cell r="B546">
            <v>2020105620</v>
          </cell>
          <cell r="D546">
            <v>20672568</v>
          </cell>
          <cell r="E546">
            <v>85322310</v>
          </cell>
          <cell r="F546" t="str">
            <v>Not applicable</v>
          </cell>
          <cell r="G546">
            <v>85322310</v>
          </cell>
          <cell r="H546" t="str">
            <v>CAPACITOR (CONDENSDOR ELeTRICO FIXO) COM DIELeTRICO DE CERAMICA DE UMA So CAMADA PRoPRIO PARA MONTAGEM EM SUPERFÍCIE SMD 22.0pF 0.05 NPO 50.0V 0402 SMD (2020105620)</v>
          </cell>
        </row>
        <row r="547">
          <cell r="B547">
            <v>2020101510</v>
          </cell>
          <cell r="D547">
            <v>20672569</v>
          </cell>
          <cell r="E547">
            <v>85322310</v>
          </cell>
          <cell r="F547" t="str">
            <v>Not applicable</v>
          </cell>
          <cell r="G547">
            <v>85322310</v>
          </cell>
          <cell r="H547" t="str">
            <v>CAPACITOR (CONDENSDOR ELeTRICO FIXO) COM DIELeTRICO DE CERAMICA DE UMA So CAMADA PRoPRIO PARA MONTAGEM EM SUPERFÍCIE SMD 33pF 5por cento NPO 50V 0402 SMD (2020101510)</v>
          </cell>
        </row>
        <row r="548">
          <cell r="B548">
            <v>2020103000</v>
          </cell>
          <cell r="D548">
            <v>20672571</v>
          </cell>
          <cell r="E548">
            <v>85322310</v>
          </cell>
          <cell r="F548" t="str">
            <v>Not applicable</v>
          </cell>
          <cell r="G548">
            <v>85322310</v>
          </cell>
          <cell r="H548" t="str">
            <v>CAPACITOR (CONDENSDOR ELeTRICO FIXO) COM DIELeTRICO DE CERAMICA DE UMA So CAMADA PRoPRIO PARA MONTAGEM EM SUPERFÍCIE SMD 15.0nF 10por cento X7R 50.0V 0402 SMD (2020103000)</v>
          </cell>
        </row>
        <row r="549">
          <cell r="B549">
            <v>2020101700</v>
          </cell>
          <cell r="D549">
            <v>20672570</v>
          </cell>
          <cell r="E549">
            <v>85322310</v>
          </cell>
          <cell r="F549" t="str">
            <v>Not applicable</v>
          </cell>
          <cell r="G549">
            <v>85322310</v>
          </cell>
          <cell r="H549" t="str">
            <v>CAPACITOR (CONDENSDOR ELETRICO FIXO) COM DIELETRICO DE CERAMICA DE UMA SO CAMADA PROPRIO PARA MONTAGEM EM SUPERFICIE SMD 20.0pF 5POR CENTO NPO 50.0V 0402 SMD (2020101700)</v>
          </cell>
        </row>
        <row r="550">
          <cell r="B550">
            <v>2020302751</v>
          </cell>
          <cell r="D550">
            <v>20672678</v>
          </cell>
          <cell r="E550">
            <v>85322200</v>
          </cell>
          <cell r="F550">
            <v>85322200</v>
          </cell>
          <cell r="G550">
            <v>85322200</v>
          </cell>
          <cell r="H550" t="str">
            <v>CAPACITOR (CONDENSADOR ELeTRICO FIXO) eletrolítico de alumínio montagem PTH 100uF 16V 20por cento YXJ 5000h RAD-2mm/F5*11mm (2020302751)</v>
          </cell>
        </row>
        <row r="551">
          <cell r="B551">
            <v>2020302581</v>
          </cell>
          <cell r="D551">
            <v>20672679</v>
          </cell>
          <cell r="E551">
            <v>85322200</v>
          </cell>
          <cell r="F551">
            <v>85322200</v>
          </cell>
          <cell r="G551">
            <v>85322200</v>
          </cell>
          <cell r="H551" t="str">
            <v>CAPACITOR (CONDENSADOR ELeTRICO FIXO) eletrolítico de alumínio PTH 470µF 10V 20por cento YXJ 6000h RAD-2.5mm/F6.3*11mm (2020302581)</v>
          </cell>
        </row>
        <row r="552">
          <cell r="B552">
            <v>2020302711</v>
          </cell>
          <cell r="D552">
            <v>20672677</v>
          </cell>
          <cell r="E552">
            <v>85322200</v>
          </cell>
          <cell r="F552">
            <v>85322200</v>
          </cell>
          <cell r="G552">
            <v>85322200</v>
          </cell>
          <cell r="H552" t="str">
            <v>CAPACITOR (CONDENSADOR ELeTRICO FIXO) eletrolítico de alumínio PTH 2200uF 25V 20por cento YXJ 10000h RAD-5mm/F12.5*25mm (2020302711)</v>
          </cell>
        </row>
        <row r="553">
          <cell r="B553">
            <v>2020300753</v>
          </cell>
          <cell r="D553">
            <v>20672675</v>
          </cell>
          <cell r="E553">
            <v>85322200</v>
          </cell>
          <cell r="F553">
            <v>85322200</v>
          </cell>
          <cell r="G553">
            <v>85322200</v>
          </cell>
          <cell r="H553" t="str">
            <v>CAPACITOR (CONDENSADOR ELeTRICO FIXO) ELETROLÍTICO DE ALUMÍNIO  PTH 100uF 20por cento 25V YXJ 5000h RAD-2mm/F5*11mm (2020300753)</v>
          </cell>
        </row>
        <row r="554">
          <cell r="B554">
            <v>2020300673</v>
          </cell>
          <cell r="D554">
            <v>20672676</v>
          </cell>
          <cell r="E554">
            <v>85322200</v>
          </cell>
          <cell r="F554">
            <v>85322200</v>
          </cell>
          <cell r="G554">
            <v>85322200</v>
          </cell>
          <cell r="H554" t="str">
            <v>CAPACITOR (CONDENSADOR ELeTRICO FIXO) ELETROLÍTICO DE ALUMÍNIO  PTH 470uF 20por cento 35V YXJ 10000h RAD-5mm/F10*16mm (2020300673)</v>
          </cell>
        </row>
        <row r="555">
          <cell r="B555">
            <v>2061100104</v>
          </cell>
          <cell r="D555">
            <v>20630905</v>
          </cell>
          <cell r="E555">
            <v>85411012</v>
          </cell>
          <cell r="F555">
            <v>85411012</v>
          </cell>
          <cell r="G555">
            <v>85411012</v>
          </cell>
          <cell r="H555" t="str">
            <v>DISPOSITIVO SEMICONDUTOR TIPO DIODO RETIFICADOR, NAO MONTADO, DE INTENSIDADE DE CORRENTE 0,8A (2061100104)</v>
          </cell>
        </row>
        <row r="556">
          <cell r="B556">
            <v>2060100352</v>
          </cell>
          <cell r="D556">
            <v>20630111</v>
          </cell>
          <cell r="E556">
            <v>85411022</v>
          </cell>
          <cell r="F556">
            <v>85411022</v>
          </cell>
          <cell r="G556">
            <v>85411022</v>
          </cell>
          <cell r="H556" t="str">
            <v>DISPOSITIVO SEMICONDUTOR TIPO DIODO SCHOTTKY montado, proprio para montagem em superfície SMD, de intensidade de corrente 0,2A (2060100352)</v>
          </cell>
        </row>
        <row r="557">
          <cell r="B557">
            <v>2060100564</v>
          </cell>
          <cell r="D557">
            <v>20630207</v>
          </cell>
          <cell r="E557">
            <v>85411022</v>
          </cell>
          <cell r="F557">
            <v>85411022</v>
          </cell>
          <cell r="G557">
            <v>85411022</v>
          </cell>
          <cell r="H557" t="str">
            <v>DISPOSITIVO SEMICONDUTOR TIPO DIODO RETIFICADOR MONTADO, PRoPRIO PARA MONTAGEM EM SUPERFÍCIE SMD DE INTENSIDADE DE CORRENTE 0,5A (2060100564) SMD</v>
          </cell>
        </row>
        <row r="558">
          <cell r="B558">
            <v>2060102040</v>
          </cell>
          <cell r="D558">
            <v>20630208</v>
          </cell>
          <cell r="E558">
            <v>85411022</v>
          </cell>
          <cell r="F558">
            <v>85411022</v>
          </cell>
          <cell r="G558">
            <v>85411022</v>
          </cell>
          <cell r="H558" t="str">
            <v>DISPOSITIVO SEMICONDUTOR TIPO DIODO de recuperacAo rapida, montado, proprio para montagem em superfície SMD, de intensidade de corrente 0,2A (2060102040) SMD</v>
          </cell>
        </row>
        <row r="559">
          <cell r="B559">
            <v>2060300270</v>
          </cell>
          <cell r="D559">
            <v>20630112</v>
          </cell>
          <cell r="E559">
            <v>85411021</v>
          </cell>
          <cell r="F559">
            <v>85411021</v>
          </cell>
          <cell r="G559">
            <v>85411021</v>
          </cell>
          <cell r="H559" t="str">
            <v>DISPOSITIVO SEMICONDUTOR TIPO DIODO ZENER, MONTADO, PRoPRIO PARA MONTAGEM EM SUPERFÍCIE SMD DE INTENSIDADE DE CORRENTE 1A (2060300270) SMD</v>
          </cell>
        </row>
        <row r="560">
          <cell r="B560">
            <v>2060100494</v>
          </cell>
          <cell r="D560">
            <v>20690636</v>
          </cell>
          <cell r="E560">
            <v>85411021</v>
          </cell>
          <cell r="F560">
            <v>85411021</v>
          </cell>
          <cell r="G560">
            <v>85411021</v>
          </cell>
          <cell r="H560" t="str">
            <v>DISPOSITIVO SEMICONDUTOR TIPO DIODO ZENER, MONTADO, PRoPRIO PARA MONTAGEM EM SUPERFÍCIE SMD DE INTENSIDADE DE CORRENTE 1A (2060100494)</v>
          </cell>
        </row>
        <row r="561">
          <cell r="B561">
            <v>2060700291</v>
          </cell>
          <cell r="D561">
            <v>20680250</v>
          </cell>
          <cell r="E561">
            <v>85412120</v>
          </cell>
          <cell r="F561">
            <v>85412120</v>
          </cell>
          <cell r="G561">
            <v>85412120</v>
          </cell>
          <cell r="H561" t="str">
            <v>DISPOSITIVO SEMICONDUTOR TIPO TRANSISTOR MONTADO, PROPRIO PARA MONTAGEM EM SUPERFÍCIE SMD, DE CAPACIDADE DE DISSIPACAO DE 0,35W (2060700291)</v>
          </cell>
        </row>
        <row r="562">
          <cell r="B562">
            <v>2021101071</v>
          </cell>
          <cell r="D562">
            <v>20672680</v>
          </cell>
          <cell r="E562">
            <v>85322990</v>
          </cell>
          <cell r="F562">
            <v>85322990</v>
          </cell>
          <cell r="G562">
            <v>85322990</v>
          </cell>
          <cell r="H562" t="str">
            <v>Capacitor (condensador eletrico fixo) de camada eletrica dupla (EDLC) proprio para montagem por insercAo PTH 4.0F 5.5V 10por cento 23*12*25mm (2021101071)</v>
          </cell>
        </row>
        <row r="563">
          <cell r="B563">
            <v>2070100033</v>
          </cell>
          <cell r="D563">
            <v>20692022</v>
          </cell>
          <cell r="E563">
            <v>85065010</v>
          </cell>
          <cell r="F563">
            <v>85065010</v>
          </cell>
          <cell r="G563">
            <v>85065010</v>
          </cell>
          <cell r="H563" t="str">
            <v>Bateria eletrica nAo recarregavel de lítio, de volume exterior aproximado de 14,25cm³, para montagem PTH 3.6V 0.0mA 1.2Ah 0.0mm PTH (2070100033)</v>
          </cell>
        </row>
        <row r="564">
          <cell r="B564">
            <v>2050900022</v>
          </cell>
          <cell r="D564">
            <v>20691610</v>
          </cell>
          <cell r="E564">
            <v>85423920</v>
          </cell>
          <cell r="F564">
            <v>85423920</v>
          </cell>
          <cell r="G564">
            <v>85423920</v>
          </cell>
          <cell r="H564" t="str">
            <v>CIRCUITO INTEGRADO ELETRoNICO TIPO REGULADOR DE TENSAO, NAO MONTADO - 6.8~30V 5V 5por cento 100mA SOT-89  GND 3mA ( 2050900022)</v>
          </cell>
        </row>
        <row r="565">
          <cell r="B565">
            <v>2050900081</v>
          </cell>
          <cell r="D565">
            <v>20691601</v>
          </cell>
          <cell r="E565">
            <v>85423920</v>
          </cell>
          <cell r="F565">
            <v>85423920</v>
          </cell>
          <cell r="G565">
            <v>85423920</v>
          </cell>
          <cell r="H565" t="str">
            <v>CIRCUITO INTEGRADO ELETRoNICO TIPO REGULADOR DE TENSAO, NAO MONTADO - 2.5V-36V 0.2R SOT23-3 (REF. E01488) (2050900081)</v>
          </cell>
        </row>
        <row r="566">
          <cell r="B566">
            <v>2050701481</v>
          </cell>
          <cell r="D566">
            <v>20660370</v>
          </cell>
          <cell r="E566">
            <v>85423939</v>
          </cell>
          <cell r="F566">
            <v>85423939</v>
          </cell>
          <cell r="G566">
            <v>85423939</v>
          </cell>
          <cell r="H566" t="str">
            <v>Circuito integrado eletronico do tipo transceptor RS485 semiduplex, montado, proprio para montagem em superfície (SMD - Surface Mounted Device); AZRS485E; 4.75~5.25V; UART; 250kbps; encapsulamento SOP8</v>
          </cell>
        </row>
        <row r="567">
          <cell r="B567">
            <v>2050900761</v>
          </cell>
          <cell r="D567">
            <v>20680208</v>
          </cell>
          <cell r="E567">
            <v>85423920</v>
          </cell>
          <cell r="F567">
            <v>85423920</v>
          </cell>
          <cell r="G567">
            <v>85423920</v>
          </cell>
          <cell r="H567" t="str">
            <v>CIRCUITO INTEGRADO ELETRoNICO TIPO REGULADOR DE TENSAO, NAO MONTADO - 4.2~40V 1.2~37V 1por cento 1.5A TO-220-3 (2050900761)</v>
          </cell>
        </row>
        <row r="568">
          <cell r="B568">
            <v>3040702430</v>
          </cell>
          <cell r="D568">
            <v>20580907</v>
          </cell>
          <cell r="E568">
            <v>85369090</v>
          </cell>
          <cell r="F568">
            <v>85369090</v>
          </cell>
          <cell r="G568">
            <v>85369090</v>
          </cell>
          <cell r="H568" t="str">
            <v>TERMINAL DE CORRENTE PARA  CONEXAO DE CIRCUITO ELeTRICO COM TENSAO ATe 240V, EM LATAO COM TRATAMENTO NIQUELADO, DIMENSoES 20x17x12,6mm, TORQUE DE 5N.M (3040702430)</v>
          </cell>
        </row>
        <row r="569">
          <cell r="B569">
            <v>2020300781</v>
          </cell>
          <cell r="D569">
            <v>20660665</v>
          </cell>
          <cell r="E569">
            <v>85322200</v>
          </cell>
          <cell r="F569">
            <v>85322200</v>
          </cell>
          <cell r="G569">
            <v>85322200</v>
          </cell>
          <cell r="H569" t="str">
            <v>CAPACITOR (CONDENSADOR ELeTRICO FIXO) Eletrolítico de Aluminio 220.0F; 35:02;: Kya: 7000 hours; RAD-3.5mm/8*11.5mm (2020300781) </v>
          </cell>
        </row>
        <row r="570">
          <cell r="B570">
            <v>2050903367</v>
          </cell>
          <cell r="D570">
            <v>20633762</v>
          </cell>
          <cell r="E570">
            <v>85423939</v>
          </cell>
          <cell r="F570">
            <v>85423939</v>
          </cell>
          <cell r="G570">
            <v>85423939</v>
          </cell>
          <cell r="H570" t="str">
            <v>Circuito Integrado eletronico tipo REGULADOR DE TENSAO, montado, proprio para montagem em superfície SMD - LDO:4~30V; 100.0mA; 100.0mV:SOT-89; (SOT-89) (2050903367)</v>
          </cell>
        </row>
        <row r="571">
          <cell r="B571">
            <v>2060500383</v>
          </cell>
          <cell r="D571">
            <v>20690652</v>
          </cell>
          <cell r="E571">
            <v>85411021</v>
          </cell>
          <cell r="F571">
            <v>85411021</v>
          </cell>
          <cell r="G571">
            <v>85411021</v>
          </cell>
          <cell r="H571" t="str">
            <v>DISPOSITIVO SEMICONDUTOR TIPO DIODO ZENER, MONTADO, PRoPRIO PARA MONTAGEM EM SUPERFÍCIE SMD DE INTENSIDADE DE CORRENTE 0,005A  (2060500383).</v>
          </cell>
        </row>
        <row r="572">
          <cell r="B572">
            <v>2100301357</v>
          </cell>
          <cell r="D572">
            <v>20691597</v>
          </cell>
          <cell r="E572">
            <v>85043199</v>
          </cell>
          <cell r="F572">
            <v>85043199</v>
          </cell>
          <cell r="G572">
            <v>85043199</v>
          </cell>
          <cell r="H572" t="str">
            <v>Transformador eletrico, tipo Bobina enrolada, de potencia de 0,0125 kVA, de frequencia 200KHz; 1000±10por centouH :60.0uH:2；23mm*22mm*18.5mm；EE20:4200/1500V(2100301357)</v>
          </cell>
        </row>
        <row r="573">
          <cell r="B573">
            <v>2100301381</v>
          </cell>
          <cell r="D573">
            <v>20691598</v>
          </cell>
          <cell r="E573">
            <v>85043199</v>
          </cell>
          <cell r="F573">
            <v>85043199</v>
          </cell>
          <cell r="G573">
            <v>85043199</v>
          </cell>
          <cell r="H573" t="str">
            <v>Transformador eletrico, tipo Bobina enrolada, de potencia de 0,0125 kVA, de frequencia 200KHz；1.8mH: 100uH: 2 grupos 26T: 19mm * 17mm * 18mm; EE17; 4200/1500VAC (2100301381) </v>
          </cell>
        </row>
        <row r="574">
          <cell r="B574">
            <v>3060901240</v>
          </cell>
          <cell r="D574">
            <v>20692015</v>
          </cell>
          <cell r="E574">
            <v>85177190</v>
          </cell>
          <cell r="F574">
            <v>85177190</v>
          </cell>
          <cell r="G574">
            <v>85177190</v>
          </cell>
          <cell r="H574" t="str">
            <v>Protetor de antenas contra descargas atmosfericas, para montagem em conjunto com antena propria para modulos de comunicacAo de dados por rede sem fio, 81,5 * 62 * 25 mm, 800-1000 MHz (3060901240)</v>
          </cell>
        </row>
        <row r="575">
          <cell r="B575">
            <v>2050900171</v>
          </cell>
          <cell r="D575">
            <v>20691603</v>
          </cell>
          <cell r="E575">
            <v>85423920</v>
          </cell>
          <cell r="F575">
            <v>85423920</v>
          </cell>
          <cell r="G575">
            <v>85423920</v>
          </cell>
          <cell r="H575" t="str">
            <v>CIRCUITO INTEGRADO ELETRoNICO TIPO REGULADOR DE TENSAO, NAO MONTADO - OVP PWM 132/66kHz 2.08A 5.4R 16W DIP8 (E02513) PTH (2050900171)</v>
          </cell>
        </row>
        <row r="576">
          <cell r="B576" t="str">
            <v>MPM53R11001</v>
          </cell>
          <cell r="D576">
            <v>20691340</v>
          </cell>
          <cell r="E576">
            <v>85176277</v>
          </cell>
          <cell r="F576">
            <v>85176277</v>
          </cell>
          <cell r="G576">
            <v>85176277</v>
          </cell>
          <cell r="H576" t="str">
            <v>Modulos de comunicacAo de dados via rede eletrica, compatíveis com o padrAo PLC Meters &amp; More, para medidores inteligentes de energia eletrica, capazes de operar na faixa de frequencia de 86 KHz, utilizando modulacAo BPSK.</v>
          </cell>
        </row>
        <row r="577">
          <cell r="B577">
            <v>2060100094</v>
          </cell>
          <cell r="D577">
            <v>20633761</v>
          </cell>
          <cell r="E577">
            <v>85411022</v>
          </cell>
          <cell r="F577">
            <v>85411022</v>
          </cell>
          <cell r="H577" t="str">
            <v>DISPOSITIVO SEMICONDUTOR TIPO DIODO retificador montado, proprio para montagem em superfície SMD , de intensidade de corrente 0,005A (2060100094)</v>
          </cell>
        </row>
        <row r="578">
          <cell r="B578" t="str">
            <v>MPG72R21003</v>
          </cell>
          <cell r="D578">
            <v>20691327</v>
          </cell>
          <cell r="E578">
            <v>85176272</v>
          </cell>
          <cell r="F578">
            <v>85176272</v>
          </cell>
          <cell r="G578">
            <v>85176272</v>
          </cell>
          <cell r="H578" t="str">
            <v>Ex 027 Modulos de comunicacAo (de recepcAo, conversAo e transmissAo) de dados via rede eletrica, providos de emissor com receptor incorporado, digital, compatíveis com o tipo de rede PLC G3 (com fio), para medidores inteligentes de energia eletrica da família Zeus-NG, capazes de operar na faixa de frequencia de 150-487,5 KHz, utilizando modulacAo BPSK/OFDM, de taxa de transmissAo de ate 300 kbps //
Modulos de comunicacAo (de recepcAo, conversAo e transmissAo) de dados via rede eletrica, providos de emissor com receptor incorporado, digital, compatíveis com o tipo de rede PLC G3 (com fio), para medidores inteligentes de energia eletrica da família Zeus-NG, capazes de operar na faixa de frequencia de 150-487,5 KHz, utilizando modulacAo BPSK/OFDM, de taxa de transmissAo de ate 300 kbps , marca XXXX, modelo YYYY, ano de fabricacAo ZZZZ e numeros de serie de AAAA a BBBB.</v>
          </cell>
        </row>
        <row r="579">
          <cell r="B579" t="str">
            <v>MPG16R32001</v>
          </cell>
          <cell r="D579">
            <v>20691328</v>
          </cell>
          <cell r="E579">
            <v>85176272</v>
          </cell>
          <cell r="F579">
            <v>85176272</v>
          </cell>
          <cell r="G579">
            <v>85176277</v>
          </cell>
          <cell r="H579" t="str">
            <v>Modulos de comunicacAo (de recepcAo, conversAo e transmissAo) de dados via rede eletrica, providos de emissor com receptor incorporado, digital, compatíveis com o tipo de rede PLC G3 (com fio), para medidores inteligentes de energia eletrica, capazes de operar na faixa de frequencia de 150 a 487,5kHz, utilizando modulacAo BPSK/OFDM, de taxa de transmissAo de ate 300kbps - marca AAAA, modelo BBBB, ano de fabricacAo YYYY e numero de serie de XXXX a ZZZZ</v>
          </cell>
        </row>
        <row r="580">
          <cell r="B580" t="str">
            <v>MWB53R11000</v>
          </cell>
          <cell r="D580">
            <v>20691938</v>
          </cell>
          <cell r="E580">
            <v>85176277</v>
          </cell>
          <cell r="F580">
            <v>85176277</v>
          </cell>
          <cell r="G580">
            <v>85176277</v>
          </cell>
          <cell r="H580" t="str">
            <v>Modulo de comunicacAo RF para medidores inteligentes de energia eletrica, possui tecnologia 3G  e compatibilidade com padroes UMTS, GSM e WCDMA, operando nas faixas 850/900/1900/2100 MHz e 850/900/1800/1900 MHz, com taxa de transmissAo WCDMA de 384kbps, contendo slot para SIM cards 2FF e supercapacitores para funcAo de "Last Gasp" e LEDs para indicacAo de comunicacAo com a rede e com os medidores de energia. Ano de fabricacAo XXXX, numeros de serie AAAAAA a BBBBBB.</v>
          </cell>
        </row>
        <row r="581">
          <cell r="B581">
            <v>3040702160</v>
          </cell>
          <cell r="D581">
            <v>20580703</v>
          </cell>
          <cell r="E581">
            <v>85369090</v>
          </cell>
          <cell r="F581">
            <v>85369090</v>
          </cell>
          <cell r="H581" t="str">
            <v>TERMINAL DE CORRENTE PARA  CONEXAO DE CIRCUITO ELeTRICO COM TENSAO ATe 240V, EM AcO CARBONO COM TRATAMENTO ZINCADO BRANCO, DIMENSoES 20x16,5x11mm, TORQUE DE 5N.M (3040702160)</v>
          </cell>
        </row>
        <row r="582">
          <cell r="B582">
            <v>3040702180</v>
          </cell>
          <cell r="D582">
            <v>20580903</v>
          </cell>
          <cell r="E582">
            <v>85369090</v>
          </cell>
          <cell r="F582">
            <v>85369090</v>
          </cell>
          <cell r="H582" t="str">
            <v>TERMINAL DE CORRENTE PARA  CONEXAO DE CIRCUITO ELeTRICO COM TENSAO ATe 240V, EM AcO CARBONO COM TRATAMENTO ZINCADO BRANCO, DIMENSoES 20x17x12,6mm, TORQUE DE 5N.M (3040702180)</v>
          </cell>
        </row>
        <row r="583">
          <cell r="B583">
            <v>3040101940</v>
          </cell>
          <cell r="D583">
            <v>40273200</v>
          </cell>
          <cell r="E583">
            <v>85369090</v>
          </cell>
          <cell r="F583">
            <v>85369090</v>
          </cell>
          <cell r="H583" t="str">
            <v>TERMINAL DO NEUTRO PARA  CONEXAO DE CIRCUITO ELeTRICO COM TENSAO ATe 240V, EM LATAO COM TRATAMENTO NIQUELADO, FIO PRETO (300mm), DIMENSoES 35x30x20mm, TORQUE DE 15N.M (3040101940)</v>
          </cell>
        </row>
        <row r="584">
          <cell r="B584">
            <v>3040702200</v>
          </cell>
          <cell r="D584">
            <v>20580704</v>
          </cell>
          <cell r="E584">
            <v>85369090</v>
          </cell>
          <cell r="F584">
            <v>85369090</v>
          </cell>
          <cell r="G584">
            <v>85369090</v>
          </cell>
          <cell r="H584" t="str">
            <v>TERMINAL DE CORRENTE PARA  CONEXAO DE CIRCUITO ELeTRICO COM TENSAO ATe 240V, EM AcO CARBONO COM TRATAMENTO ZINCO NÍQUEL, DIMENSoES 20x16,5x11mm, TORQUE DE 5N.M (3040702200)</v>
          </cell>
        </row>
        <row r="585">
          <cell r="B585">
            <v>3040702220</v>
          </cell>
          <cell r="D585">
            <v>20581204</v>
          </cell>
          <cell r="E585">
            <v>85369090</v>
          </cell>
          <cell r="F585">
            <v>85369090</v>
          </cell>
          <cell r="G585">
            <v>85369090</v>
          </cell>
          <cell r="H585" t="str">
            <v>TERMINAL DE CORRENTE PARA  CONEXAO DE CIRCUITO ELeTRICO COM TENSAO ATe 240V, EM AcO CARBONO COM TRATAMENTO ZINCO NÍQUEL, DIMENSoES 36x25,8x17,5mm, TORQUE DE 30N.M (3040702220)</v>
          </cell>
        </row>
        <row r="586">
          <cell r="B586">
            <v>3040702040</v>
          </cell>
          <cell r="D586">
            <v>20581500</v>
          </cell>
          <cell r="E586">
            <v>85369090</v>
          </cell>
          <cell r="F586">
            <v>85369090</v>
          </cell>
          <cell r="G586">
            <v>85369090</v>
          </cell>
          <cell r="H586" t="str">
            <v>TERMINAL DE CORRENTE PARA  CONEXAO DE CIRCUITO ELeTRICO COM TENSAO ATe 240V, EM AcO CARBONO COM TRATAMENTO ZINCADO BRANCO, DIMENSoES 38x31,1x21mm, TORQUE DE 30N.M (3040702040)</v>
          </cell>
        </row>
        <row r="587">
          <cell r="B587">
            <v>3040702240</v>
          </cell>
          <cell r="D587">
            <v>20581400</v>
          </cell>
          <cell r="E587">
            <v>85369090</v>
          </cell>
          <cell r="F587">
            <v>85369090</v>
          </cell>
          <cell r="H587" t="str">
            <v>TERMINAL DE CORRENTE PARA  CONEXAO DE CIRCUITO ELeTRICO COM TENSAO ATe 240V, EM LATAO H62 COM TRATAMENTO NIQUELADO, DIMENSoES 20x16,5x12,5mm, TORQUE DE 5N.M (3040702240)</v>
          </cell>
        </row>
        <row r="588">
          <cell r="B588">
            <v>3040702270</v>
          </cell>
          <cell r="D588">
            <v>20580905</v>
          </cell>
          <cell r="E588">
            <v>85369090</v>
          </cell>
          <cell r="F588">
            <v>85369090</v>
          </cell>
          <cell r="G588">
            <v>85369090</v>
          </cell>
          <cell r="H588" t="str">
            <v>TERMINAL DE CORRENTE PARA CONEXAO DE CIRCUITO ELETRICO COM TENSAO ATE 240V, EM LATAO COM TRATAMENTO NIQUELADO, DIMENSOES 20x17x12,6mm, TORQUE DE 5N.M (3040702270)</v>
          </cell>
        </row>
        <row r="589">
          <cell r="B589">
            <v>3040702280</v>
          </cell>
          <cell r="D589">
            <v>20580705</v>
          </cell>
          <cell r="E589">
            <v>85369090</v>
          </cell>
          <cell r="F589">
            <v>85369090</v>
          </cell>
          <cell r="G589">
            <v>85369090</v>
          </cell>
          <cell r="H589" t="str">
            <v>TERMINAL DE CORRENTE PARA CONEXAO DE CIRCUITO ELETRICO COM TENSAO ATE 240V, EM LATAO COM TRATAMENTO NIQUELADO, DIMENSOES 20x16,5x11mm, TORQUE DE 5N.M (3040702280)</v>
          </cell>
        </row>
        <row r="590">
          <cell r="B590">
            <v>3090306870</v>
          </cell>
          <cell r="D590">
            <v>40272506</v>
          </cell>
          <cell r="E590">
            <v>85369090</v>
          </cell>
          <cell r="F590">
            <v>85369090</v>
          </cell>
          <cell r="G590">
            <v>85369090</v>
          </cell>
          <cell r="H590" t="str">
            <v>TERMINAL DE TENSAO PARA CONEXAO DE CIRCUITO ELeTRICO COM TENSAO ATe 240V, EM LATAO COM TRATAMENTO ESTANHADO, FIO VERMELHO (140mm), DIMENSoES 19x8x6mm, TORQUE DE 2N.M (3090306870)</v>
          </cell>
        </row>
        <row r="591">
          <cell r="B591">
            <v>3090306850</v>
          </cell>
          <cell r="D591">
            <v>40272504</v>
          </cell>
          <cell r="E591">
            <v>85369090</v>
          </cell>
          <cell r="F591">
            <v>85369090</v>
          </cell>
          <cell r="G591">
            <v>85369090</v>
          </cell>
          <cell r="H591" t="str">
            <v>TERMINAL DE TENSAO PARA CONEXAO DE CIRCUITO ELeTRICO COM TENSAO ATe 240V, EM LATAO COM TRATAMENTO ESTANHADO, FIO AMARELO (140mm), DIMENSoES 19x8x6mm, TORQUE DE 2N.M (3090306850)</v>
          </cell>
        </row>
        <row r="592">
          <cell r="B592">
            <v>3090306880</v>
          </cell>
          <cell r="D592">
            <v>40272507</v>
          </cell>
          <cell r="E592">
            <v>85369090</v>
          </cell>
          <cell r="F592">
            <v>85369090</v>
          </cell>
          <cell r="G592">
            <v>85369090</v>
          </cell>
          <cell r="H592" t="str">
            <v>TERMINAL DE TENSAO PARA CONEXAO DE CIRCUITO ELeTRICO COM TENSAO ATe 240V, EM LATAO COM TRATAMENTO ESTANHADO, FIO PRETO (140mm), DIMENSoES 19x8x6mm, TORQUE DE 2N.M (3090306880)</v>
          </cell>
        </row>
        <row r="593">
          <cell r="B593">
            <v>3090306860</v>
          </cell>
          <cell r="D593">
            <v>40272505</v>
          </cell>
          <cell r="E593">
            <v>85369090</v>
          </cell>
          <cell r="F593">
            <v>85369090</v>
          </cell>
          <cell r="G593">
            <v>85369090</v>
          </cell>
          <cell r="H593" t="str">
            <v>TERMINAL DE TENSAO PARA CONEXAO DE CIRCUITO ELeTRICO COM TENSAO ATe 240V, EM LATAO COM TRATAMENTO ESTANHADO, FIO VERDE (140mm), DIMENSoES 19x8x6mm, TORQUE DE 2N.M (3090306860)</v>
          </cell>
        </row>
        <row r="594">
          <cell r="B594">
            <v>3030502910</v>
          </cell>
          <cell r="D594" t="str">
            <v>EST5885</v>
          </cell>
          <cell r="E594">
            <v>85369090</v>
          </cell>
          <cell r="F594">
            <v>85369090</v>
          </cell>
          <cell r="H594" t="str">
            <v>TERMINAL DE COMUNICAcAO RÍGIDO PARA CONEXAO DE CIRCUITO ELeTRICO COM TENSAO ATe 40V, EM LATAO COM TRATAMENTO NIQUELADO(3030502910)</v>
          </cell>
        </row>
        <row r="595">
          <cell r="B595">
            <v>3040702350</v>
          </cell>
          <cell r="D595">
            <v>20581501</v>
          </cell>
          <cell r="E595">
            <v>85369090</v>
          </cell>
          <cell r="F595">
            <v>85369090</v>
          </cell>
          <cell r="G595">
            <v>85369090</v>
          </cell>
          <cell r="H595" t="str">
            <v>TERMINAL DE CORRENTE PARA  CONEXAO DE CIRCUITO ELeTRICO COM TENSAO ATe 240V, EM AcO CARBONO COM TRATAMENTO ZINCO NÍQUEL, DIMENSoES 38x31,1x21mm, TORQUE DE 30N.M (3040702350)</v>
          </cell>
        </row>
        <row r="596">
          <cell r="B596">
            <v>3090300080</v>
          </cell>
          <cell r="D596">
            <v>40270403</v>
          </cell>
          <cell r="E596">
            <v>85369090</v>
          </cell>
          <cell r="F596">
            <v>85369090</v>
          </cell>
          <cell r="G596">
            <v>85369090</v>
          </cell>
          <cell r="H596" t="str">
            <v>TERMINAL DE COMUNICAcAO PARA CONEXAO DE CIRCUITO ELeTRICO COM TENSAO ATe 40V, EM LATAO COM TRATAMENTO ESTANHADO, FIO BRANCO (140mm), DIMENSoES 14,5x5,1x4,1mm, TORQUE DE 2N.M (3090300080)</v>
          </cell>
        </row>
        <row r="597">
          <cell r="B597">
            <v>3040700880</v>
          </cell>
          <cell r="D597">
            <v>20580700</v>
          </cell>
          <cell r="E597">
            <v>85369090</v>
          </cell>
          <cell r="F597">
            <v>85369090</v>
          </cell>
          <cell r="H597" t="str">
            <v>TERMINAL DE CORRENTE PARA  CONEXAO DE CIRCUITO ELeTRICO COM TENSAO ATe 240V, EM LATAO COM TRATAMENTO ESTANHADO, DIMENSoES 20x16,5x11mm, TORQUE DE 5N.M (3040700880)</v>
          </cell>
        </row>
        <row r="598">
          <cell r="B598">
            <v>3040700830</v>
          </cell>
          <cell r="D598">
            <v>20580801</v>
          </cell>
          <cell r="E598">
            <v>85369090</v>
          </cell>
          <cell r="F598">
            <v>85369090</v>
          </cell>
          <cell r="H598" t="str">
            <v>TERMINAL DE CORRENTE PARA  CONEXAO DE CIRCUITO ELeTRICO COM TENSAO ATe 240V, EM AcO CARBONO COM TRATAMENTO ESTANHADO, DIMENSoES 36x24,25x16,5mm, TORQUE DE 23N.M (3040700830)</v>
          </cell>
        </row>
        <row r="599">
          <cell r="B599">
            <v>3040700390</v>
          </cell>
          <cell r="D599">
            <v>20580100</v>
          </cell>
          <cell r="E599">
            <v>85369090</v>
          </cell>
          <cell r="F599">
            <v>85369090</v>
          </cell>
          <cell r="H599" t="str">
            <v>TERMINAL DE CORRENTE TIPO GAVETA PARA  CONEXAO DE CIRCUITO ELeTRICO COM TENSAO ATe 240V, EM LATAO COM TRATAMENTO ESTANHADO, DIMENSoES 20x17x12,6mm, TORQUE DE 3N.M (3040700390)</v>
          </cell>
        </row>
        <row r="600">
          <cell r="B600">
            <v>3040700010</v>
          </cell>
          <cell r="D600">
            <v>20580101</v>
          </cell>
          <cell r="E600">
            <v>85369090</v>
          </cell>
          <cell r="F600">
            <v>85369090</v>
          </cell>
          <cell r="H600" t="str">
            <v>TERMINAL DE CORRENTE TIPO GAVETA PARA  CONEXAO DE CIRCUITO ELeTRICO COM TENSAO ATe 240V, EM AcO CARBONO COM TRATAMENTO ZINCADO AMARELO, DIMENSoES 20x17x12,6mm, TORQUE DE 5N.M (3040700010)</v>
          </cell>
        </row>
        <row r="601">
          <cell r="B601">
            <v>3040700380</v>
          </cell>
          <cell r="D601">
            <v>20580103</v>
          </cell>
          <cell r="E601">
            <v>85369090</v>
          </cell>
          <cell r="F601">
            <v>85369090</v>
          </cell>
          <cell r="H601" t="str">
            <v>TERMINAL DE CORRENTE TIPO GAVETA PARA  CONEXAO DE CIRCUITO ELeTRICO COM TENSAO ATe 240V, EM AcO CARBONO COM TRATAMENTO ESTANHADO, DIMENSoES 20x17x12,6mm, TORQUE DE 5N.M (3040700380)</v>
          </cell>
        </row>
        <row r="602">
          <cell r="B602">
            <v>3040700230</v>
          </cell>
          <cell r="D602">
            <v>20580200</v>
          </cell>
          <cell r="E602">
            <v>85369090</v>
          </cell>
          <cell r="F602">
            <v>85369090</v>
          </cell>
          <cell r="H602" t="str">
            <v>TERMINAL DE CORRENTE TIPO GAVETA PARA  CONEXAO DE CIRCUITO ELeTRICO COM TENSAO ATe 240V, EM LATAO COM TRATAMENTO ESTANHADO, DIMENSoES 20x16,5x11mm, TORQUE DE 3N.M (3040700230)</v>
          </cell>
        </row>
        <row r="603">
          <cell r="B603">
            <v>3040700210</v>
          </cell>
          <cell r="D603">
            <v>20580201</v>
          </cell>
          <cell r="E603">
            <v>85369090</v>
          </cell>
          <cell r="F603">
            <v>85369090</v>
          </cell>
          <cell r="H603" t="str">
            <v>TERMINAL DE CORRENTE TIPO GAVETA PARA  CONEXAO DE CIRCUITO ELeTRICO COM TENSAO ATe 240V, EM AcO CARBONO COM TRATAMENTO ZINCADO AMARELO, DIMENSoES 20x16,5x11mm, TORQUE DE 5N.M (3040700210)</v>
          </cell>
        </row>
        <row r="604">
          <cell r="B604">
            <v>3040700220</v>
          </cell>
          <cell r="D604">
            <v>20580203</v>
          </cell>
          <cell r="E604">
            <v>85369090</v>
          </cell>
          <cell r="F604">
            <v>85369090</v>
          </cell>
          <cell r="H604" t="str">
            <v>TERMINAL DE CORRENTE TIPO GAVETA PARA  CONEXAO DE CIRCUITO ELeTRICO COM TENSAO ATe 240V, EM AcO CARBONO COM TRATAMENTO ESTANHADO, DIMENSoES 20x16,5x11mm, TORQUE DE 5N.M (3040700220)</v>
          </cell>
        </row>
        <row r="605">
          <cell r="B605">
            <v>3040700750</v>
          </cell>
          <cell r="D605">
            <v>20580502</v>
          </cell>
          <cell r="E605">
            <v>85369090</v>
          </cell>
          <cell r="F605">
            <v>85369090</v>
          </cell>
          <cell r="H605" t="str">
            <v>TERMINAL DE CORRENTE PARA  CONEXAO DE CIRCUITO ELeTRICO COM TENSAO ATe 240V, EM LATAO COM TRATAMENTO ESTANHADO, DIMENSoES 36x24,2x16,5mm, TORQUE DE 9N.M (3040700750)</v>
          </cell>
        </row>
        <row r="606">
          <cell r="B606">
            <v>3040700900</v>
          </cell>
          <cell r="D606">
            <v>20580701</v>
          </cell>
          <cell r="E606">
            <v>85369090</v>
          </cell>
          <cell r="F606">
            <v>85369090</v>
          </cell>
          <cell r="H606" t="str">
            <v>TERMINAL DE CORRENTE PARA  CONEXAO DE CIRCUITO ELeTRICO COM TENSAO ATe 240V, EM AcO CARBONO COM TRATAMENTO ESTANHADO, DIMENSoES 20x16,5x11mm, TORQUE DE 5N.M (3040700900)</v>
          </cell>
        </row>
        <row r="607">
          <cell r="B607">
            <v>3040700890</v>
          </cell>
          <cell r="D607">
            <v>20580702</v>
          </cell>
          <cell r="E607">
            <v>85369090</v>
          </cell>
          <cell r="F607">
            <v>85369090</v>
          </cell>
          <cell r="H607" t="str">
            <v>TERMINAL DE CORRENTE PARA  CONEXAO DE CIRCUITO ELeTRICO COM TENSAO ATe 240V, EM AcO CARBONO COM TRATAMENTO ZINCADO AMARELO, DIMENSoES 20x16,5x11mm, TORQUE DE 5N.M (3040700890)</v>
          </cell>
        </row>
        <row r="608">
          <cell r="B608">
            <v>3040700840</v>
          </cell>
          <cell r="D608">
            <v>20580800</v>
          </cell>
          <cell r="E608">
            <v>85369090</v>
          </cell>
          <cell r="F608">
            <v>85369090</v>
          </cell>
          <cell r="H608" t="str">
            <v>TERMINAL DE CORRENTE PARA  CONEXAO DE CIRCUITO ELeTRICO COM TENSAO ATe 240V, EM LATAO COM TRATAMENTO ESTANHADO, DIMENSoES 36x24,25x16,5mm, TORQUE DE 15N.M (3040700840)</v>
          </cell>
        </row>
        <row r="609">
          <cell r="B609">
            <v>3040700940</v>
          </cell>
          <cell r="D609">
            <v>20580802</v>
          </cell>
          <cell r="E609">
            <v>85369090</v>
          </cell>
          <cell r="F609">
            <v>85369090</v>
          </cell>
          <cell r="H609" t="str">
            <v>TERMINAL DE CORRENTE PARA  CONEXAO DE CIRCUITO ELeTRICO COM TENSAO ATe 240V, EM AcO CARBONO COM TRATAMENTO ZINCADO AMARELO, DIMENSoES 36x24,25x16,5mm, TORQUE DE 30N.M (3040700940)</v>
          </cell>
        </row>
        <row r="610">
          <cell r="B610">
            <v>3040700850</v>
          </cell>
          <cell r="D610">
            <v>20580900</v>
          </cell>
          <cell r="E610">
            <v>85369090</v>
          </cell>
          <cell r="F610">
            <v>85369090</v>
          </cell>
          <cell r="H610" t="str">
            <v>TERMINAL DE CORRENTE PARA  CONEXAO DE CIRCUITO ELeTRICO COM TENSAO ATe 240V, EM LATAO COM TRATAMENTO ESTANHADO, DIMENSoES 20x17x12,6mm, TORQUE DE 5N.M (3040700850)</v>
          </cell>
        </row>
        <row r="611">
          <cell r="B611">
            <v>3040700870</v>
          </cell>
          <cell r="D611">
            <v>20580901</v>
          </cell>
          <cell r="E611">
            <v>85369090</v>
          </cell>
          <cell r="F611">
            <v>85369090</v>
          </cell>
          <cell r="H611" t="str">
            <v>TERMINAL DE CORRENTE PARA  CONEXAO DE CIRCUITO ELeTRICO COM TENSAO ATe 240V, EM AcO CARBONO COM TRATAMENTO ESTANHADO, DIMENSoES 20x17x12,6mm, TORQUE DE 5N.M (3040700870)</v>
          </cell>
        </row>
        <row r="612">
          <cell r="B612">
            <v>3040700860</v>
          </cell>
          <cell r="D612">
            <v>20580902</v>
          </cell>
          <cell r="E612">
            <v>85369090</v>
          </cell>
          <cell r="F612">
            <v>85369090</v>
          </cell>
          <cell r="H612" t="str">
            <v>TERMINAL DE CORRENTE PARA  CONEXAO DE CIRCUITO ELeTRICO COM TENSAO ATe 240V, EM AcO CARBONO COM TRATAMENTO ZINCADO AMARELO, DIMENSoES 20x17x12,6mm, TORQUE DE 5N.M (3040700860)</v>
          </cell>
        </row>
        <row r="613">
          <cell r="B613">
            <v>3040100640</v>
          </cell>
          <cell r="D613">
            <v>20581001</v>
          </cell>
          <cell r="E613">
            <v>85369090</v>
          </cell>
          <cell r="F613">
            <v>85369090</v>
          </cell>
          <cell r="H613" t="str">
            <v>TERMINAL DO NEUTRO PARA  CONEXAO DE CIRCUITO ELeTRICO COM TENSAO ATe 240V, EM LATAO COM TRATAMENTO ESTANHADO, DIMENSoES 35x30x20mm, TORQUE DE 30N.M (3040100640)</v>
          </cell>
        </row>
        <row r="614">
          <cell r="B614">
            <v>3042300610</v>
          </cell>
          <cell r="D614">
            <v>20581000</v>
          </cell>
          <cell r="E614">
            <v>85369090</v>
          </cell>
          <cell r="F614">
            <v>85369090</v>
          </cell>
          <cell r="H614" t="str">
            <v>TERMINAL DO NEUTRO PARA  CONEXAO DE CIRCUITO ELeTRICO COM TENSAO ATe 240V, EM LATAO SEM TRATAMENTO, DIMENSoES 35x30x20mm, TORQUE DE 30N.M (3042300610)</v>
          </cell>
        </row>
        <row r="615">
          <cell r="B615">
            <v>3040700420</v>
          </cell>
          <cell r="D615">
            <v>20580500</v>
          </cell>
          <cell r="E615">
            <v>85369090</v>
          </cell>
          <cell r="F615">
            <v>85369090</v>
          </cell>
          <cell r="H615" t="str">
            <v>TERMINAL DE CORRENTE PARA  CONEXAO DE CIRCUITO ELeTRICO COM TENSAO ATe 240V, EM AcO CARBONO COM TRATAMENTO ZINCADO AMARELO, DIMENSoES 36x24,2x16,5mm, TORQUE DE 18N.M (3040700420)</v>
          </cell>
        </row>
        <row r="616">
          <cell r="B616">
            <v>3040700670</v>
          </cell>
          <cell r="D616">
            <v>20580501</v>
          </cell>
          <cell r="E616">
            <v>85369090</v>
          </cell>
          <cell r="F616">
            <v>85369090</v>
          </cell>
          <cell r="H616" t="str">
            <v>TERMINAL DE CORRENTE PARA  CONEXAO DE CIRCUITO ELeTRICO COM TENSAO ATe 240V, EM AcO CARBONO COM TRATAMENTO ESTANHADO, DIMENSoES 36x24,2x16,5mm, TORQUE DE 18N.M (3040700670)</v>
          </cell>
        </row>
        <row r="617">
          <cell r="B617">
            <v>3040702070</v>
          </cell>
          <cell r="D617">
            <v>20581203</v>
          </cell>
          <cell r="E617">
            <v>85369090</v>
          </cell>
          <cell r="F617">
            <v>85369090</v>
          </cell>
          <cell r="H617" t="str">
            <v>TERMINAL DE CORRENTE PARA  CONEXAO DE CIRCUITO ELeTRICO COM TENSAO ATe 240V, EM AcO CARBONO COM TRATAMENTO ZINCADO BRANCO, DIMENSoES 36x25,8x17,5mm, TORQUE DE 30N.M (3040702070)</v>
          </cell>
        </row>
        <row r="618">
          <cell r="B618">
            <v>3032702090</v>
          </cell>
          <cell r="D618">
            <v>21115100</v>
          </cell>
          <cell r="E618">
            <v>73181500</v>
          </cell>
          <cell r="F618">
            <v>73181500</v>
          </cell>
          <cell r="G618">
            <v>73181500</v>
          </cell>
          <cell r="H618" t="str">
            <v xml:space="preserve">PARAFUSO TIPO COMPOSTO CABEcA TIPO PANELA DIAM. 7mm FENDA CRUZADA COM ARRUELA DE PRESSAO E LISA, DIMENSAO M5x12mm, EM MATeRIA-PRIMA BASE AcO DE BAIXO CARBONO, DE PROCESSO DE FABRICAcAO POR USINAGEM COM ACABAMENTO SUPERFICIAL POR GALVANIZAcAO ZINCADO BRANCO(3032702090) </v>
          </cell>
        </row>
        <row r="619">
          <cell r="B619">
            <v>3032701660</v>
          </cell>
          <cell r="D619">
            <v>21140402</v>
          </cell>
          <cell r="E619">
            <v>73181500</v>
          </cell>
          <cell r="F619">
            <v>73181500</v>
          </cell>
          <cell r="G619">
            <v>73181500</v>
          </cell>
          <cell r="H619" t="str">
            <v>Parafuso M5x18mm - de materia-prima base de aco baixo carbono, de processo de fabricacAo por usinagem, com acabamento superficial Zincado Amarelo (3032701660)</v>
          </cell>
        </row>
        <row r="620">
          <cell r="B620">
            <v>2060100221</v>
          </cell>
          <cell r="D620">
            <v>20633729</v>
          </cell>
          <cell r="E620">
            <v>85411021</v>
          </cell>
          <cell r="F620">
            <v>85411021</v>
          </cell>
          <cell r="G620">
            <v>85411021</v>
          </cell>
          <cell r="H620" t="str">
            <v>DISPOSITIVO SEMICONDUTOR TIPO DIODO ZENER, MONTADO, PRoPRIO PARA MONTAGEM EM SUPERFÍCIE SMD DE INTENSIDADE DE CORRENTE 0,015A (A01014-1) (2060100221)</v>
          </cell>
        </row>
        <row r="621">
          <cell r="B621">
            <v>2060100282</v>
          </cell>
          <cell r="D621">
            <v>20630707</v>
          </cell>
          <cell r="E621">
            <v>85411021</v>
          </cell>
          <cell r="F621">
            <v>85411021</v>
          </cell>
          <cell r="G621">
            <v>85411021</v>
          </cell>
          <cell r="H621" t="str">
            <v>DISPOSITIVO SEMICONDUTOR TIPO DIODO ZENER, MONTADO, PRoPRIO PARA MONTAGEM EM SUPERFÍCIE SMD DE INTENSIDADE DE CORRENTE 1A (2060100282)</v>
          </cell>
        </row>
        <row r="622">
          <cell r="B622">
            <v>2060900061</v>
          </cell>
          <cell r="D622">
            <v>20680216</v>
          </cell>
          <cell r="E622">
            <v>85412120</v>
          </cell>
          <cell r="F622">
            <v>85412120</v>
          </cell>
          <cell r="G622">
            <v>85412120</v>
          </cell>
          <cell r="H622" t="str">
            <v>DISPOSITIVO SEMICONDUTOR TIPO TRANSISTOR, MONTADO, PRoPRIO PARA MONTAGEM EM SUPERFÍCIE SMD, DE CAPACIDADE DE DISSIPAcAO 0,5W (2060900061) SMD</v>
          </cell>
        </row>
        <row r="623">
          <cell r="B623">
            <v>4029802290</v>
          </cell>
          <cell r="D623">
            <v>21500493</v>
          </cell>
          <cell r="E623">
            <v>90303390</v>
          </cell>
          <cell r="F623">
            <v>90303390</v>
          </cell>
          <cell r="G623">
            <v>90303390</v>
          </cell>
          <cell r="H623" t="str">
            <v>Aparelho para controle de grandezas eletricas, divisor de potencia CC, sem dispositivo registrador, para 26,5 GHz, APC 3,5</v>
          </cell>
        </row>
        <row r="624">
          <cell r="B624">
            <v>7030301500</v>
          </cell>
          <cell r="D624">
            <v>92492</v>
          </cell>
          <cell r="E624">
            <v>84798912</v>
          </cell>
          <cell r="F624" t="str">
            <v>Not applicable</v>
          </cell>
          <cell r="G624">
            <v>84798912</v>
          </cell>
          <cell r="H624" t="str">
            <v>DOSEADOR DE LIQUIDOS - MAQUINAS AUTOMATICAS PARA MISTURA, DOSAGEM E ARMAZENAMENTO DE COLA BI-COMPONENTE; COM ATE TRES EIXOS PROGRAMAVEIS PARA O ENVASE SIMPLES OU EM MULTIPLOS COMPARTIMENTOS ALINHADOS EM MATRIZ, SUPORTANDO UMA PRESSAO DE AR DE ATE 0,65 MPA; COM INTERFACE PARA CONTROLE, AJUSTE E DEPURAMENTO DA MISTURA. PERMITINDO O AJUSTE NA PROPORCAO DE 10:1 ALINHADOS NA PRECISAO DE +/-2% (INCLUINDO SEUS LIMITES); COM CAPACIDADE DE ARMAZENAMENTO SEPARADO PODENDO CHEGAR ATE 60L DOS COMPONENTES A SEREM MISTURADOS.</v>
          </cell>
        </row>
        <row r="625">
          <cell r="B625">
            <v>60030003200106</v>
          </cell>
          <cell r="D625">
            <v>92496</v>
          </cell>
          <cell r="E625">
            <v>84283990</v>
          </cell>
          <cell r="F625" t="str">
            <v>Not applicable</v>
          </cell>
          <cell r="G625">
            <v>84283990</v>
          </cell>
          <cell r="H625" t="str">
            <v>Esteira de transporte de componentes eletronicos, de duas camadas, bilateral, equipada com cinta de PVC e dimensoes de 4800*460*750</v>
          </cell>
        </row>
        <row r="626">
          <cell r="B626">
            <v>7030301510</v>
          </cell>
          <cell r="D626" t="str">
            <v>PENDING</v>
          </cell>
          <cell r="E626">
            <v>84193900</v>
          </cell>
          <cell r="F626" t="str">
            <v>Not applicable</v>
          </cell>
          <cell r="H626" t="str">
            <v xml:space="preserve">Secador para materiais de polímeros, por sopragem - Maquina sopradora de calor em tunel para secagem e cura de polímeros ou outros materiais em fornaca circuladora de ar quente. Chegando a temperatura igual ou menor a 100C; Equipada com: sopradores com capacidade de deslocar ate 1000 m³/h de volume de ar;  Com aquecedores em aco inox; isolamento termico em fibra cerAmica e fibra densa de algodAo resistente a ate 1000C </v>
          </cell>
        </row>
        <row r="627">
          <cell r="B627">
            <v>4020408430</v>
          </cell>
          <cell r="D627">
            <v>92276</v>
          </cell>
          <cell r="E627">
            <v>84715090</v>
          </cell>
          <cell r="F627" t="str">
            <v>Not applicable</v>
          </cell>
          <cell r="H627" t="str">
            <v>Gabinete industrial completo para maquina printer GKG-G5 (ref.4020408430); Marca: GKG; Modelo:Gkg-g5 - Host complete ; Numero de serie: KAN9210486; Ano de fabricacAo: 2022</v>
          </cell>
        </row>
        <row r="628">
          <cell r="B628">
            <v>7029900250</v>
          </cell>
          <cell r="D628">
            <v>49434</v>
          </cell>
          <cell r="E628">
            <v>84561119</v>
          </cell>
          <cell r="F628" t="str">
            <v>Not applicable</v>
          </cell>
          <cell r="G628">
            <v>84561119</v>
          </cell>
          <cell r="H628" t="str">
            <v>ESTACAO DE GRAVACAO A LASER PARA DIVERSOS MATERIAIS, POR ELIMINACAO DE MATERIAIS POR LASER, DE COMANDO NUMERICO, PARA CORTE DE CHAPAS METALICAS DE ESPESSURA INFERIOR A 8MM. HAN'S LASER, COM LASER YLP DE 20W, COMPRIMENTO DE ONDA DE 1064 NM ± 5 NM, FREQUENCIA DE 20KHZ-200KHZ, PRECISAO DE ±0,003MM, REFRIGERADO A AR; COMPUTADOR INDUSTRIAL; LENTE F254, MODELO AAAA, MARCA BBBB, ANO DE FABRICACAO XXXX, NUMERO DE SERIE DE YYYY A ZZZZ.</v>
          </cell>
        </row>
        <row r="629">
          <cell r="B629">
            <v>7020500750</v>
          </cell>
          <cell r="D629">
            <v>90999</v>
          </cell>
          <cell r="E629">
            <v>84713019</v>
          </cell>
          <cell r="F629" t="str">
            <v>Not applicable</v>
          </cell>
          <cell r="G629">
            <v>84713019</v>
          </cell>
          <cell r="H629" t="str">
            <v>Coletor de dados capaz de funcionar sem fonte externa de energia, de peso aproximado 370g e area de tela de 9cm², marca Supoin, modelo X5, com display LCD de alta definicAo com toque capacitivo (ref.7020500750)</v>
          </cell>
        </row>
        <row r="630">
          <cell r="B630">
            <v>2020104910</v>
          </cell>
          <cell r="D630">
            <v>20672567</v>
          </cell>
          <cell r="E630">
            <v>85322410</v>
          </cell>
          <cell r="F630" t="str">
            <v>Not applicable</v>
          </cell>
          <cell r="G630">
            <v>85322410</v>
          </cell>
          <cell r="H630" t="str">
            <v>CAPACITOR (CONDENSADOR ELeTRICO FIXO) COM DIELeTRICO DE CERAMICA, DE CAMADAS MuLTIPLAS, PRoPRIO PARA MONTAGEM EM SUPERFÍCIE SMD - 10uF X7R 50V1206 (2020104910)</v>
          </cell>
        </row>
        <row r="631">
          <cell r="B631">
            <v>2020104100</v>
          </cell>
          <cell r="D631">
            <v>20672566</v>
          </cell>
          <cell r="E631">
            <v>85322410</v>
          </cell>
          <cell r="F631" t="str">
            <v>Not applicable</v>
          </cell>
          <cell r="G631">
            <v>85322410</v>
          </cell>
          <cell r="H631" t="str">
            <v>CAPACITOR (CONDENSADOR ELeTRICO FIXO) COM DIELeTRICO DE CERAMICA, DE CAMADAS MuLTIPLAS, PRoPRIO PARA MONTAGEM EM SUPERFÍCIE SMD - 1uF 10por cento X5R 10V  0603 (2020104100)</v>
          </cell>
        </row>
        <row r="632">
          <cell r="B632">
            <v>2020101720</v>
          </cell>
          <cell r="D632">
            <v>20672564</v>
          </cell>
          <cell r="E632">
            <v>85322410</v>
          </cell>
          <cell r="F632" t="str">
            <v>Not applicable</v>
          </cell>
          <cell r="G632">
            <v>85322410</v>
          </cell>
          <cell r="H632" t="str">
            <v>CAPACITOR (CONDENSADOR ELeTRICO FIXO) COM DIELeTRICO DE CERAMICA, DE CAMADAS MuLTIPLAS, PRoPRIO PARA MONTAGEM EM SUPERFÍCIE SMD - 2.2nF 10por cento X7R 50V 0402 (2020101720)</v>
          </cell>
        </row>
        <row r="633">
          <cell r="B633">
            <v>2020101290</v>
          </cell>
          <cell r="D633">
            <v>20672563</v>
          </cell>
          <cell r="E633">
            <v>85322410</v>
          </cell>
          <cell r="F633" t="str">
            <v>Not applicable</v>
          </cell>
          <cell r="G633">
            <v>85322410</v>
          </cell>
          <cell r="H633" t="str">
            <v>CAPACITOR (CONDENSADOR ELeTRICO FIXO) COM DIELeTRICO DE CERAMICA, DE CAMADAS MuLTIPLAS, PRoPRIO PARA MONTAGEM EM SUPERFÍCIE SMD - 220nF 10por cento X7R 25V 0603 (2020101290)</v>
          </cell>
        </row>
        <row r="634">
          <cell r="B634">
            <v>2020101870</v>
          </cell>
          <cell r="D634">
            <v>20672565</v>
          </cell>
          <cell r="E634">
            <v>85322410</v>
          </cell>
          <cell r="F634" t="str">
            <v>Not applicable</v>
          </cell>
          <cell r="G634">
            <v>85322410</v>
          </cell>
          <cell r="H634" t="str">
            <v>CAPACITOR (CONDENSADOR ELeTRICO FIXO) COM DIELeTRICO DE CERAMICA, DE CAMADAS MuLTIPLAS, PRoPRIO PARA MONTAGEM EM SUPERFÍCIE SMD CERAMICO 51pF 5por cento NPO 50V 0402 SMD (2020101870)</v>
          </cell>
        </row>
        <row r="635">
          <cell r="B635">
            <v>2020302542</v>
          </cell>
          <cell r="D635">
            <v>20660653</v>
          </cell>
          <cell r="E635">
            <v>85322200</v>
          </cell>
          <cell r="F635">
            <v>85322200</v>
          </cell>
          <cell r="G635">
            <v>85322200</v>
          </cell>
          <cell r="H635" t="str">
            <v>Capacitor (condensador eletrico) fixo 10.0uF 20por cento 400V  RAD-5mm com dimensoes de 10*16mm, para montagem por insercAo (PTH),  eletrolítico de alumínio (2020302542)</v>
          </cell>
        </row>
        <row r="636">
          <cell r="B636">
            <v>2060101723</v>
          </cell>
          <cell r="D636">
            <v>20690621</v>
          </cell>
          <cell r="E636">
            <v>85411021</v>
          </cell>
          <cell r="F636">
            <v>85411021</v>
          </cell>
          <cell r="G636">
            <v>85411021</v>
          </cell>
          <cell r="H636" t="str">
            <v>DISPOSITIVO SEMICONDUTOR TIPO DIODO ZENER, MONTADO, PRoPRIO PARA MONTAGEM EM SUPERFÍCIE SMD DE INTENSIDADE DE CORRENTE 1A (2060101723) SMD</v>
          </cell>
        </row>
        <row r="637">
          <cell r="B637">
            <v>2060500031</v>
          </cell>
          <cell r="D637">
            <v>20633708</v>
          </cell>
          <cell r="E637">
            <v>85411011</v>
          </cell>
          <cell r="F637">
            <v>85411011</v>
          </cell>
          <cell r="H637" t="str">
            <v>DISPOSITIVO SEMICONDUTOR TIPO DIODO ZENER, NAO MONTADO, DE INTENSIDADE DE CORRENTE 0,1A - 10V,1W,5por cento,LL-41 (A01744) SMD (5000) (2060500031)</v>
          </cell>
        </row>
        <row r="638">
          <cell r="B638">
            <v>2030300074</v>
          </cell>
          <cell r="D638">
            <v>20691975</v>
          </cell>
          <cell r="E638">
            <v>85045010</v>
          </cell>
          <cell r="F638" t="str">
            <v>Need to update benefit</v>
          </cell>
          <cell r="H638" t="str">
            <v>Bobina de auto-inducao (Indutor) de 15 a 40mH, para montagem por insercao (PTH), de frequencia de 1kHZ, 2.0Ω de resistencia, com dimensoes de 17mm de comprimento, 17mm de largura e 11.5mm de altura.</v>
          </cell>
        </row>
        <row r="639">
          <cell r="B639">
            <v>2030500501</v>
          </cell>
          <cell r="D639">
            <v>20691968</v>
          </cell>
          <cell r="E639">
            <v>85045010</v>
          </cell>
          <cell r="F639" t="str">
            <v>Need to update benefit</v>
          </cell>
          <cell r="H639" t="str">
            <v>Bobina de auto-inducao (indutor) de 470µH, para montagem por insercao (PTH), de frequencia de 100kHz, tolerancia de 10%, intensidade de corrente de 0.126A, 7.7Ω de resistencia, de dimensoes de 4.0 mm de comprimento, 12.5 mm de largura e 4.0 mm de altura (2030500501) PTH</v>
          </cell>
        </row>
        <row r="640">
          <cell r="B640">
            <v>2150141940</v>
          </cell>
          <cell r="D640">
            <v>20661724</v>
          </cell>
          <cell r="E640">
            <v>85340033</v>
          </cell>
          <cell r="F640" t="str">
            <v>Not applicable</v>
          </cell>
          <cell r="G640">
            <v>85340033</v>
          </cell>
          <cell r="H640" t="str">
            <v>PLACA DE CIRCUITO IMPRESSO DE NATUREZA DO MATERIAL BASE RÍGIDO, COMPOSIcAO DA PLACA COM ISOLANTE DE RESINA EPoXIDA E TECIDO DE FIBRA DE VIDRO, ESTRUTURA DE DUPLA FACE, E INTERLIGAcAO ENTRE FACES COM FUROS METALIZADOS, 2 106mm 322mm 1.6mm 2 nAo-RoHS/2 (2150141940) SMD</v>
          </cell>
        </row>
        <row r="641">
          <cell r="B641">
            <v>2020300047</v>
          </cell>
          <cell r="D641">
            <v>20672663</v>
          </cell>
          <cell r="E641">
            <v>85322200</v>
          </cell>
          <cell r="F641">
            <v>85322200</v>
          </cell>
          <cell r="H641" t="str">
            <v>CAPACITOR (CONDENSADOR ELeTRICO FIXO) ELETROLÍTICO DE ALUMÍNIO 470uF 20por cento 10V YXF 6000h RAD-3.5mm/p8*11.5mm PTH (2020300047)</v>
          </cell>
        </row>
        <row r="642">
          <cell r="B642">
            <v>2060100044</v>
          </cell>
          <cell r="D642">
            <v>20633734</v>
          </cell>
          <cell r="E642">
            <v>85411022</v>
          </cell>
          <cell r="F642">
            <v>85411022</v>
          </cell>
          <cell r="G642">
            <v>85411022</v>
          </cell>
          <cell r="H642" t="str">
            <v>DISPOSITIVO SEMICONDUTOR TIPO DIODO retificador, montado, proprio para montagem em superfície SMD, de intensidade de corrente 3A (2060100044)</v>
          </cell>
        </row>
        <row r="643">
          <cell r="B643">
            <v>2060100553</v>
          </cell>
          <cell r="D643">
            <v>20633735</v>
          </cell>
          <cell r="E643">
            <v>85411022</v>
          </cell>
          <cell r="F643">
            <v>85411022</v>
          </cell>
          <cell r="G643">
            <v>85411022</v>
          </cell>
          <cell r="H643" t="str">
            <v>DISPOSITIVO SEMICONDUTOR TIPO DIODO Schottky montado, proprio para montagem em superfície SMD, de intensidade de corrente de 3A (2060100553)</v>
          </cell>
        </row>
        <row r="644">
          <cell r="B644">
            <v>2150142150</v>
          </cell>
          <cell r="D644">
            <v>20661723</v>
          </cell>
          <cell r="E644">
            <v>85340033</v>
          </cell>
          <cell r="F644" t="str">
            <v>Not applicable</v>
          </cell>
          <cell r="G644">
            <v>85340033</v>
          </cell>
          <cell r="H644" t="str">
            <v>PLACA DE CIRCUITO IMPRESSO DE NATUREZA DO MATERIAL BASE RÍGIDO, COMPOSIcAO DA PLACA COM ISOLANTE DE RESINA EPoXIDA E TECIDO DE FIBRA DE VIDRO, ESTRUTURA DE DUPLA FACE, E INTERLIGAcAO ENTRE FACES COM FUROS METALIZADOS, 2 273mm 156mm 1.6mm 6 nAo-RoHS/6 (2150142150) SMD</v>
          </cell>
        </row>
        <row r="645">
          <cell r="B645">
            <v>2020104260</v>
          </cell>
          <cell r="D645">
            <v>20672562</v>
          </cell>
          <cell r="E645">
            <v>85322410</v>
          </cell>
          <cell r="F645" t="str">
            <v>Not applicable</v>
          </cell>
          <cell r="G645">
            <v>85322410</v>
          </cell>
          <cell r="H645" t="str">
            <v>CAPACITOR (CONDENSADOR ELeTRICO FIXO) COM DIELeTRICO DE CERAMICA, DE CAMADAS MuLTIPLAS, PRoPRIO PARA MONTAGEM EM SUPERFÍCIE SMD CERAMICO 330pF 10por cento X7R 1kV 1206 SMD (2020104260)</v>
          </cell>
        </row>
        <row r="646">
          <cell r="B646">
            <v>2020104270</v>
          </cell>
          <cell r="D646">
            <v>20672560</v>
          </cell>
          <cell r="E646">
            <v>85322410</v>
          </cell>
          <cell r="F646" t="str">
            <v>Not applicable</v>
          </cell>
          <cell r="G646">
            <v>85322410</v>
          </cell>
          <cell r="H646" t="str">
            <v>CAPACITOR (CONDENSADOR ELeTRICO FIXO) COM DIELeTRICO DE CERAMICA, DE CAMADAS MuLTIPLAS, PRoPRIO PARA MONTAGEM EM SUPERFÍCIE SMD CERAMICO 47pF 5por cento NPO 1kV 1206 SMD (2020104270)</v>
          </cell>
        </row>
        <row r="647">
          <cell r="B647">
            <v>2050700073</v>
          </cell>
          <cell r="D647">
            <v>20660380</v>
          </cell>
          <cell r="E647">
            <v>85423939</v>
          </cell>
          <cell r="F647">
            <v>85423939</v>
          </cell>
          <cell r="G647">
            <v>85423939</v>
          </cell>
          <cell r="H647" t="str">
            <v>CIRCUITO INTEGRADO ELETRoNICO TIPO PONTE H UTILIZADO COMO DRIVER DE RELe, MONTADO, PRoPRIO PARA MONTAGEM EM SUPERFÍCIE SMD -  5~30V SOT23-6 (2050700073) SMD</v>
          </cell>
        </row>
        <row r="648">
          <cell r="B648">
            <v>2070100032</v>
          </cell>
          <cell r="D648">
            <v>20692010</v>
          </cell>
          <cell r="E648">
            <v>85065010</v>
          </cell>
          <cell r="F648">
            <v>85065010</v>
          </cell>
          <cell r="G648">
            <v>85065010</v>
          </cell>
          <cell r="H648" t="str">
            <v>BATERIA ELETRICA DE LITIO (REVESTIDA), DE VOLUME EXTERIOR APROXIMADO DE 14,25CM3 - 3.6V 15mA 1.2Ah mm (2070100032) PTH.</v>
          </cell>
        </row>
        <row r="649">
          <cell r="B649">
            <v>2030700652</v>
          </cell>
          <cell r="D649">
            <v>20650128</v>
          </cell>
          <cell r="E649">
            <v>85045010</v>
          </cell>
          <cell r="F649" t="str">
            <v>Need to update benefit</v>
          </cell>
          <cell r="G649">
            <v>85045000</v>
          </cell>
          <cell r="H649" t="str">
            <v>Bobina de auto-inducao (indutor) de 2.2mH, para montagem por insercao (PTH), de frequencia de 1kHz, tolerancia de 10%, intensidade de corrente de 0.12A, 6Ω de resistencia, RAD-3mm/7.5 mm de comprimento, 11.0 mm de largura e 7.5 mm de altura (2030500392) PTH</v>
          </cell>
        </row>
        <row r="650">
          <cell r="B650">
            <v>2050903131</v>
          </cell>
          <cell r="D650">
            <v>20660355</v>
          </cell>
          <cell r="E650">
            <v>85423939</v>
          </cell>
          <cell r="F650">
            <v>85423939</v>
          </cell>
          <cell r="G650">
            <v>85423110</v>
          </cell>
          <cell r="H650" t="str">
            <v>CIRCUITO INTEGRADO ELETRoNICO TIPO REGULADOR DE TENSAO LDO, MONTADO, PRoPRIO PARA MONTAGEM EM SUPERFÍCIE SMD -  2.7~36V 150mA 3.3V SOT-89 GND SMD (2050903131)</v>
          </cell>
        </row>
        <row r="651">
          <cell r="B651">
            <v>2050902471</v>
          </cell>
          <cell r="D651">
            <v>20660354</v>
          </cell>
          <cell r="E651">
            <v>85423939</v>
          </cell>
          <cell r="F651">
            <v>85423939</v>
          </cell>
          <cell r="G651">
            <v>85423110</v>
          </cell>
          <cell r="H651" t="str">
            <v>CIRCUITO INTEGRADO ELETRoNICO TIPO REGULADOR DE TENSAO LDO, MONTADO, PRoPRIO PARA MONTAGEM EM SUPERFÍCIE SMD - 2.7~36V 150mA 5V SOT-89 GND SMD (2050902471)</v>
          </cell>
        </row>
        <row r="652">
          <cell r="B652">
            <v>2010107060</v>
          </cell>
          <cell r="D652">
            <v>20624464</v>
          </cell>
          <cell r="E652">
            <v>85332120</v>
          </cell>
          <cell r="F652">
            <v>85332120</v>
          </cell>
          <cell r="G652">
            <v>85332120</v>
          </cell>
          <cell r="H652" t="str">
            <v>RESISTOR (RESISTeNCIA ELeTRICA FIXA) PRoPRIO PARA MONTAGEM EM SUPERFÍCIE SMD  1.5kO 5por cento 100ppm POTeNCIA DE 1/16W 0402 SMD (2010107060)</v>
          </cell>
        </row>
        <row r="653">
          <cell r="B653">
            <v>2010104730</v>
          </cell>
          <cell r="D653">
            <v>20624467</v>
          </cell>
          <cell r="E653">
            <v>85332120</v>
          </cell>
          <cell r="F653">
            <v>85332120</v>
          </cell>
          <cell r="G653">
            <v>85332120</v>
          </cell>
          <cell r="H653" t="str">
            <v>RESISTOR (RESISTeNCIA ELeTRICA FIXA) PRoPRIO PARA MONTAGEM EM SUPERFÍCIE SMD  2kO 5por cento 100ppm POTeNCIA DE 1/4W 1206 SMD (2010104730)</v>
          </cell>
        </row>
        <row r="654">
          <cell r="B654">
            <v>2010105830</v>
          </cell>
          <cell r="D654">
            <v>20633667</v>
          </cell>
          <cell r="E654">
            <v>85332120</v>
          </cell>
          <cell r="F654">
            <v>85332120</v>
          </cell>
          <cell r="G654">
            <v>85332120</v>
          </cell>
          <cell r="H654" t="str">
            <v>RESISTOR (RESISTeNCIA ELeTRICA FIXA) PRoPRIO PARA MONTAGEM EM SUPERFÍCIE SMD  5.1R 1por cento 200ppm POTeNCIA DE 1/4W 1206 SMD (2010105830)</v>
          </cell>
        </row>
        <row r="655">
          <cell r="B655">
            <v>2010107000</v>
          </cell>
          <cell r="D655">
            <v>20624465</v>
          </cell>
          <cell r="E655">
            <v>85332120</v>
          </cell>
          <cell r="F655">
            <v>85332120</v>
          </cell>
          <cell r="G655">
            <v>85332120</v>
          </cell>
          <cell r="H655" t="str">
            <v>RESISTOR (RESISTeNCIA ELeTRICA FIXA) PRoPRIO PARA MONTAGEM EM SUPERFÍCIE SMD  7.5kO 1por cento 100ppm POTeNCIA DE 1/10W 0603 SMD (2010107000)</v>
          </cell>
        </row>
        <row r="656">
          <cell r="B656">
            <v>3020308370</v>
          </cell>
          <cell r="D656">
            <v>20445904</v>
          </cell>
          <cell r="E656">
            <v>90289010</v>
          </cell>
          <cell r="F656">
            <v>90289010</v>
          </cell>
          <cell r="G656">
            <v>90289010</v>
          </cell>
          <cell r="H656" t="str">
            <v>Tampa do Radio Coletor Wi-SUN - Pantheon, parte para montagem de contadores de eletricidade</v>
          </cell>
        </row>
        <row r="657">
          <cell r="B657">
            <v>2100301161</v>
          </cell>
          <cell r="D657">
            <v>20691566</v>
          </cell>
          <cell r="E657">
            <v>85043199</v>
          </cell>
          <cell r="F657">
            <v>85043199</v>
          </cell>
          <cell r="G657">
            <v>85043199</v>
          </cell>
          <cell r="H657" t="str">
            <v>Transformador de potencia 0,2VA, frequencia de 10000Hz a 50000Hz, proprio para montagem de insercAo (PTH), 2.2mH de indutAncia, 10por cento de tolerAncia, 4200Vac/1500Vac , dimensoes 19.0*17.0*18.0mm (2100301161)</v>
          </cell>
        </row>
        <row r="658">
          <cell r="B658">
            <v>2140102780</v>
          </cell>
          <cell r="D658">
            <v>20292300</v>
          </cell>
          <cell r="E658">
            <v>74153300</v>
          </cell>
          <cell r="F658">
            <v>74153300</v>
          </cell>
          <cell r="G658">
            <v>74153300</v>
          </cell>
          <cell r="H658" t="str">
            <v>PORCA EM LATAO (LIGA DE COBREZINCO) USINADA COM TRATAMENTO BANHADO A OURO, ROSCA 1/4", DIMENSoES 8x2mm (2140102780)</v>
          </cell>
        </row>
        <row r="659">
          <cell r="B659">
            <v>2140102800</v>
          </cell>
          <cell r="D659">
            <v>20292400</v>
          </cell>
          <cell r="E659">
            <v>73182100</v>
          </cell>
          <cell r="F659">
            <v>73182100</v>
          </cell>
          <cell r="G659">
            <v>73182100</v>
          </cell>
          <cell r="H659" t="str">
            <v>ARRUELA DE PRESSAO EM MATeRIA-PRIMA BASE DE AcO BAIXO CARBONO, DE PROCESSO DE FABRICAcAO POR ESTAMPAGEM, COM ACABAMENTO SUPERFICIAL DE BANHO A OURO, DIMENSoES 8,5x6,5x1,2mm (2140102800)</v>
          </cell>
        </row>
        <row r="660">
          <cell r="B660">
            <v>3051506010</v>
          </cell>
          <cell r="D660">
            <v>20292101</v>
          </cell>
          <cell r="E660">
            <v>73269090</v>
          </cell>
          <cell r="F660">
            <v>73269090</v>
          </cell>
          <cell r="G660">
            <v>73269090</v>
          </cell>
          <cell r="H660" t="str">
            <v>Suporte de montagem (longo) SUS304 de aco inoxidavel, obtido por dobragem, 1,2 mm 224×60×102mm 30515-EA7 (3051506010)</v>
          </cell>
        </row>
        <row r="661">
          <cell r="B661">
            <v>3051701630</v>
          </cell>
          <cell r="D661">
            <v>20292200</v>
          </cell>
          <cell r="E661">
            <v>73261900</v>
          </cell>
          <cell r="F661">
            <v>73261900</v>
          </cell>
          <cell r="G661">
            <v>73261900</v>
          </cell>
          <cell r="H661" t="str">
            <v xml:space="preserve">Abracadeira em aco inoxidavel SUS304, obtida por estampagem, para AP. Dimensoes: 1100*10mm, espessura: 0,3mm </v>
          </cell>
        </row>
        <row r="662">
          <cell r="B662">
            <v>3030702210</v>
          </cell>
          <cell r="D662">
            <v>21184000</v>
          </cell>
          <cell r="E662">
            <v>73181500</v>
          </cell>
          <cell r="F662">
            <v>73181500</v>
          </cell>
          <cell r="G662">
            <v>73181500</v>
          </cell>
          <cell r="H662" t="str">
            <v xml:space="preserve">PARAFUSO DE TIPO EXPANSAO COM PORCA E ARRUELA, DIMENSAO M6x60mm, EM MATeRIA-PRIMA BASE AcO INOXIDaVEL SUS304, DE PROCESSO DE FABRICAcAO POR USINAGEM COM ACABAMENTO SUPERFICIAL SEM TRATAMENTO (3030702210) </v>
          </cell>
        </row>
        <row r="663">
          <cell r="B663">
            <v>3030100050</v>
          </cell>
          <cell r="D663">
            <v>21161900</v>
          </cell>
          <cell r="E663">
            <v>73181500</v>
          </cell>
          <cell r="F663">
            <v>73181500</v>
          </cell>
          <cell r="G663">
            <v>73181500</v>
          </cell>
          <cell r="H663" t="str">
            <v>Parafuso do terminal de ComunicAo, de materia-prima base de aco baixo carbono, de processo de fabricacAo por usinagem, com acabamento superficial zincado amarelo, M2*5 THC (Ref. 3030100050)</v>
          </cell>
        </row>
        <row r="664">
          <cell r="B664">
            <v>2020700012</v>
          </cell>
          <cell r="D664">
            <v>20672532</v>
          </cell>
          <cell r="E664">
            <v>85322420</v>
          </cell>
          <cell r="F664">
            <v>85322420</v>
          </cell>
          <cell r="G664">
            <v>85322420</v>
          </cell>
          <cell r="H664" t="str">
            <v>CAPACITOR (CONDENSADOR ELeTRICO FIXO) COM DIELeTRICO DE CERAMICA, DE MuLTIPLAS CAMADAS, PRoPRIOS PARA MONTAGEM POR INSERcAO PTH 100pF 10por cento 1000V RAD-5mm (C11029-2) PTH (2020700012)</v>
          </cell>
        </row>
        <row r="665">
          <cell r="B665">
            <v>3030303170</v>
          </cell>
          <cell r="D665">
            <v>21183600</v>
          </cell>
          <cell r="E665">
            <v>73181500</v>
          </cell>
          <cell r="F665">
            <v>73181500</v>
          </cell>
          <cell r="G665">
            <v>73181500</v>
          </cell>
          <cell r="H665" t="str">
            <v>Parafuso Pierce em Aco Autoatarraxante Rosca Parcial - 20mm - Fenda Simples, de materia-prima base aco baixo carbono, processo de fabricacAo por usinagem, acabamento superficial Zincado Amarelo (3030303170)</v>
          </cell>
        </row>
        <row r="666">
          <cell r="B666">
            <v>2010106130</v>
          </cell>
          <cell r="D666">
            <v>20633684</v>
          </cell>
          <cell r="E666">
            <v>85332120</v>
          </cell>
          <cell r="F666">
            <v>85332120</v>
          </cell>
          <cell r="G666">
            <v>85332120</v>
          </cell>
          <cell r="H666" t="str">
            <v>RESISTOR (RESISTeNCIA ELeTRICA FIXA) PRoPRIO PARA MONTAGEM EM SUPERFÍCIE SMD  18kO 1por cento 100.0ppm POTeNCIA DE 1/16W 0402 SMD (2010106130)</v>
          </cell>
        </row>
        <row r="667">
          <cell r="B667">
            <v>2020300175</v>
          </cell>
          <cell r="D667">
            <v>20672647</v>
          </cell>
          <cell r="E667">
            <v>85322200</v>
          </cell>
          <cell r="F667">
            <v>85322200</v>
          </cell>
          <cell r="H667" t="str">
            <v>CAPACITOR (CONDENSADOR ELeTRICO FIXO) ELETROLÍTICO DE ALUMÍNIO 4.7uF 450V RAD-5mm/F10*16mm PTH (2020300175)</v>
          </cell>
        </row>
        <row r="668">
          <cell r="B668">
            <v>2020302791</v>
          </cell>
          <cell r="D668">
            <v>20670020</v>
          </cell>
          <cell r="E668">
            <v>85322200</v>
          </cell>
          <cell r="F668">
            <v>85322200</v>
          </cell>
          <cell r="H668" t="str">
            <v>CAPACITOR (CONDENSADOR ELeTRICO FIXO) ELETROLÍTICO DE ALUMÍNIO 470µF 35V 20por cento YXJ 10000h RAD-5mm/F10*16mm (2020302791) PTH</v>
          </cell>
        </row>
        <row r="669">
          <cell r="B669">
            <v>2030700654</v>
          </cell>
          <cell r="D669">
            <v>20650126</v>
          </cell>
          <cell r="E669">
            <v>85045010</v>
          </cell>
          <cell r="F669" t="str">
            <v>Need to update benefit</v>
          </cell>
          <cell r="H669" t="str">
            <v>Bobina de auto-inducao (indutor) de 2.2mH, para montagem por insercao (PTH), de frequencia de 0.0kHz, tolerancia de 10%, intensidade de corrente de 0.12A, 6Ω de resistencia, RAD-3mm/7.5 mm de comprimento, 11.0 mm de largura e 7.5 mm de altura (2030500392) PTH</v>
          </cell>
        </row>
        <row r="670">
          <cell r="B670">
            <v>2020301132</v>
          </cell>
          <cell r="D670">
            <v>20672650</v>
          </cell>
          <cell r="E670">
            <v>85322200</v>
          </cell>
          <cell r="F670">
            <v>85322200</v>
          </cell>
          <cell r="H670" t="str">
            <v>CAPACITOR (CONDENSADOR ELeTRICO FIXO) ELETROLÍTICO DE ALUMÍNIO 1000uF 20por cento 50V WH 2000h RAD-5mm/F12.5*25mm PTH (2020301132)</v>
          </cell>
        </row>
        <row r="671">
          <cell r="B671">
            <v>2011100061</v>
          </cell>
          <cell r="D671">
            <v>20624801</v>
          </cell>
          <cell r="E671">
            <v>85334012</v>
          </cell>
          <cell r="F671">
            <v>85334012</v>
          </cell>
          <cell r="G671">
            <v>85334012</v>
          </cell>
          <cell r="H671" t="str">
            <v>VARISTOR (RESISTeNCIA ELeTRICA VARIaVEL NAO LINEAR SEMICONDUTORA) DE TENSAO 680V, PTH radial 10por cento, 220 pf (2011100061)</v>
          </cell>
        </row>
        <row r="672">
          <cell r="B672">
            <v>2011100071</v>
          </cell>
          <cell r="D672">
            <v>20624806</v>
          </cell>
          <cell r="E672">
            <v>85334012</v>
          </cell>
          <cell r="F672">
            <v>85334012</v>
          </cell>
          <cell r="H672" t="str">
            <v>VARISTOR (RESISTeNCIA ELeTRICA VARIaVEL NAO LINEAR SEMICONDUTORA) DE TENSAO 680V 10por cento 4500A 220pF F15.5 7.5mm (R09013-W) PTH (2011100071)</v>
          </cell>
        </row>
        <row r="673">
          <cell r="B673">
            <v>2030700653</v>
          </cell>
          <cell r="D673">
            <v>20650127</v>
          </cell>
          <cell r="E673">
            <v>85045010</v>
          </cell>
          <cell r="F673" t="str">
            <v>Need to update benefit</v>
          </cell>
          <cell r="G673">
            <v>85045000</v>
          </cell>
          <cell r="H673" t="str">
            <v>Bobina de auto-inducao (indutor fixo) de 2.2mH, para montagem por insercao PTH, tolerancia de 10%, 6 Ohms de resistencia DC, corrente maxima 146~ 290mA, RAD-3mm/ 7.5mm de comprimento, 7.5mm de largura e 11mm de altura (2030700653) PTH</v>
          </cell>
        </row>
        <row r="674">
          <cell r="B674">
            <v>3030105690</v>
          </cell>
          <cell r="D674">
            <v>21163000</v>
          </cell>
          <cell r="E674">
            <v>73181500</v>
          </cell>
          <cell r="F674">
            <v>73181500</v>
          </cell>
          <cell r="H674" t="str">
            <v>PARAFUSO TIPO FENDA CRUZADA, DIMENSAO M4x9mm, EM MATeRIA-PRIMA BASE AcO INOXIDaVEL SUS304, DE PROCESSO DE FABRICAcAO POR USINAGEM COM ACABAMENTO SUPERFICIAL SEM TRATAMENTO (3030105690)</v>
          </cell>
        </row>
        <row r="675">
          <cell r="B675">
            <v>3030105680</v>
          </cell>
          <cell r="D675">
            <v>21163100</v>
          </cell>
          <cell r="E675">
            <v>73181500</v>
          </cell>
          <cell r="F675">
            <v>73181500</v>
          </cell>
          <cell r="H675" t="str">
            <v>PARAFUSO TIPO FENDA CRUZADA, DIMENSAO M3x7mm, EM MATeRIA-PRIMA BASE AcO INOXIDaVEL SUS304, DE PROCESSO DE FABRICAcAO POR USINAGEM COM ACABAMENTO SUPERFICIAL SEM TRATAMENTO (3030105680)</v>
          </cell>
        </row>
        <row r="676">
          <cell r="B676" t="str">
            <v>MJN53.R311</v>
          </cell>
          <cell r="D676">
            <v>21504040</v>
          </cell>
          <cell r="E676">
            <v>85176277</v>
          </cell>
          <cell r="F676">
            <v>85176277</v>
          </cell>
          <cell r="H676" t="str">
            <v>Modulo de ComunicacAo 8V Wi-Sun 915 MHz (MJN53.R311)</v>
          </cell>
        </row>
        <row r="677">
          <cell r="B677">
            <v>2020300381</v>
          </cell>
          <cell r="D677">
            <v>20670021</v>
          </cell>
          <cell r="E677">
            <v>85322200</v>
          </cell>
          <cell r="F677">
            <v>85322200</v>
          </cell>
          <cell r="H677" t="str">
            <v>CAPACITOR (CONDENSADOR ELeTRICO FIXO) ELETROLÍTICO DE ALUMÍNIO 470µF 35V 20por cento YXA 2000h RAD-5mm/F10*16mm (2020300381) PTH</v>
          </cell>
        </row>
        <row r="678">
          <cell r="B678">
            <v>2110100011</v>
          </cell>
          <cell r="D678">
            <v>20691512</v>
          </cell>
          <cell r="E678">
            <v>85416090</v>
          </cell>
          <cell r="F678">
            <v>85416090</v>
          </cell>
          <cell r="G678">
            <v>85416090</v>
          </cell>
          <cell r="H678" t="str">
            <v>CRISTAL PIEZELeTRICO MONTADO, DE FREQUENCIA 0,032768 MHz (D01053) SMD (3000) (2110100011)</v>
          </cell>
        </row>
        <row r="679">
          <cell r="B679">
            <v>2110100031</v>
          </cell>
          <cell r="D679">
            <v>20691501</v>
          </cell>
          <cell r="E679">
            <v>85416090</v>
          </cell>
          <cell r="F679">
            <v>85416090</v>
          </cell>
          <cell r="H679" t="str">
            <v>CRISTAL PIEZELeTRICO MONTADO, DE FREQUENCIA 0.032768MHz (D01002-3) PTH (2110100031)</v>
          </cell>
        </row>
        <row r="680">
          <cell r="B680">
            <v>2050900141</v>
          </cell>
          <cell r="D680">
            <v>20660309</v>
          </cell>
          <cell r="E680">
            <v>85423939</v>
          </cell>
          <cell r="F680">
            <v>85423939</v>
          </cell>
          <cell r="G680">
            <v>85423939</v>
          </cell>
          <cell r="H680" t="str">
            <v>Circuito integrado eletronico tipo regulador de tensAo, montado, proprio para montagem em superfície SMD - 5 a 30V 100mA 5V SOT - 89 (2050900141)</v>
          </cell>
        </row>
        <row r="681">
          <cell r="B681">
            <v>2140103610</v>
          </cell>
          <cell r="D681">
            <v>20692530</v>
          </cell>
          <cell r="E681">
            <v>85369090</v>
          </cell>
          <cell r="F681">
            <v>85369090</v>
          </cell>
          <cell r="H681" t="str">
            <v>Conector para conexAo de circuito eletrico com tensAo ate 320V - femea N-N (2140103610)</v>
          </cell>
        </row>
        <row r="682">
          <cell r="B682">
            <v>4070403240</v>
          </cell>
          <cell r="D682">
            <v>20692522</v>
          </cell>
          <cell r="E682">
            <v>85176299</v>
          </cell>
          <cell r="F682">
            <v>85176299</v>
          </cell>
          <cell r="H682" t="str">
            <v>Conversor de Midia 10/100Mbps Multimodo ST</v>
          </cell>
        </row>
        <row r="683">
          <cell r="B683">
            <v>4070403250</v>
          </cell>
          <cell r="D683">
            <v>20694602</v>
          </cell>
          <cell r="E683">
            <v>90011019</v>
          </cell>
          <cell r="F683">
            <v>90011019</v>
          </cell>
          <cell r="H683" t="str">
            <v>Conector de fibra ST</v>
          </cell>
        </row>
        <row r="684">
          <cell r="B684">
            <v>3022701639</v>
          </cell>
          <cell r="D684">
            <v>20445800</v>
          </cell>
          <cell r="E684">
            <v>39269090</v>
          </cell>
          <cell r="F684">
            <v>39269090</v>
          </cell>
          <cell r="H684" t="str">
            <v>Guia dos LEDs para Modulo - Pantheon - de plastico (material de policarbonato)</v>
          </cell>
        </row>
        <row r="685">
          <cell r="B685">
            <v>3020127739</v>
          </cell>
          <cell r="D685">
            <v>20446500</v>
          </cell>
          <cell r="E685">
            <v>39269090</v>
          </cell>
          <cell r="F685">
            <v>39269090</v>
          </cell>
          <cell r="H685" t="str">
            <v>Base do DR - Pantheon - de plastico (material de policarbonato)</v>
          </cell>
        </row>
        <row r="686">
          <cell r="B686">
            <v>3020305969</v>
          </cell>
          <cell r="D686">
            <v>20446400</v>
          </cell>
          <cell r="E686">
            <v>39269090</v>
          </cell>
          <cell r="F686">
            <v>39269090</v>
          </cell>
          <cell r="H686" t="str">
            <v>Tampa Display Remoto - Pantheon - de plastico (material de policarbonato)</v>
          </cell>
        </row>
        <row r="687">
          <cell r="B687">
            <v>2091100081</v>
          </cell>
          <cell r="D687">
            <v>20691969</v>
          </cell>
          <cell r="E687">
            <v>39269090</v>
          </cell>
          <cell r="F687">
            <v>39269090</v>
          </cell>
          <cell r="H687" t="str">
            <v>ESPAcADOR DE LED F5*8mm, DE PLaSTICO (MATERIAL DE NYLON PA66) (2091100081) PTH</v>
          </cell>
        </row>
        <row r="688">
          <cell r="B688">
            <v>3011100080</v>
          </cell>
          <cell r="D688">
            <v>20451704</v>
          </cell>
          <cell r="E688">
            <v>39269090</v>
          </cell>
          <cell r="F688">
            <v>39269090</v>
          </cell>
          <cell r="G688">
            <v>39269090</v>
          </cell>
          <cell r="H688" t="str">
            <v>Prensa cabo M63x1.5, de material de plastico, PA66 Nylon Preto com juntas planas de borracha (3011100080)</v>
          </cell>
        </row>
        <row r="689">
          <cell r="B689">
            <v>3100906660</v>
          </cell>
          <cell r="D689">
            <v>21320818</v>
          </cell>
          <cell r="E689">
            <v>39269090</v>
          </cell>
          <cell r="F689">
            <v>39269090</v>
          </cell>
          <cell r="G689">
            <v>39269090</v>
          </cell>
          <cell r="H689" t="str">
            <v>Etiqueta de posicAo dos modulos, de material de plastico, policarbonato, 510*30*0.1mm</v>
          </cell>
        </row>
        <row r="690">
          <cell r="B690">
            <v>3023502730</v>
          </cell>
          <cell r="D690">
            <v>20475200</v>
          </cell>
          <cell r="E690">
            <v>39269090</v>
          </cell>
          <cell r="F690">
            <v>39269090</v>
          </cell>
          <cell r="G690">
            <v>39269090</v>
          </cell>
          <cell r="H690" t="str">
            <v>Folha de Isolamento 89x41x10mm, de material de plastico, policarbonato preto UL94-V0 (3023502730)</v>
          </cell>
        </row>
        <row r="691">
          <cell r="B691">
            <v>3030107690</v>
          </cell>
          <cell r="D691">
            <v>21166000</v>
          </cell>
          <cell r="E691">
            <v>73181500</v>
          </cell>
          <cell r="F691">
            <v>73181500</v>
          </cell>
          <cell r="H691" t="str">
            <v>PARAFUSO TIPO FENDA CRUZADA, DIMENSAO M6x15mm, EM MATeRIA-PRIMA BASE AcO DE BAIXO CARBONO, DE PROCESSO DE FABRICAcAO POR USINAGEM COM ACABAMENTO SUPERFICIAL POR GALVANIZAcAO ZINCADO BRANCO (3030107690)</v>
          </cell>
        </row>
        <row r="692">
          <cell r="B692">
            <v>3032701670</v>
          </cell>
          <cell r="D692">
            <v>21115000</v>
          </cell>
          <cell r="E692">
            <v>73181500</v>
          </cell>
          <cell r="F692">
            <v>73181500</v>
          </cell>
          <cell r="H692" t="str">
            <v xml:space="preserve">PARAFUSO TIPO COMPOSTO FENDA CRUZADA COM ARRUELA DE PRESSAO E LISA, DIMENSAO M5x16mm, EM MATeRIA-PRIMA BASE AcO DE BAIXO CARBONO, DE PROCESSO DE FABRICAcAO POR USINAGEM COM ACABAMENTO SUPERFICIAL POR GALVANIZAcAO ZINCADO BRANCO (3032701670) </v>
          </cell>
        </row>
        <row r="693">
          <cell r="B693">
            <v>3030107760</v>
          </cell>
          <cell r="D693">
            <v>21182016</v>
          </cell>
          <cell r="E693">
            <v>73181500</v>
          </cell>
          <cell r="F693">
            <v>73181500</v>
          </cell>
          <cell r="H693" t="str">
            <v>PARAFUSO TIPO FENDA CRUZADA, DIMENSAO M4x12mm, EM MATeRIA-PRIMA BASE AcO DE BAIXO CARBONO, DE PROCESSO DE FABRICAcAO POR USINAGEM COM ACABAMENTO SUPERFICIAL POR GALVANIZAcAO ZINCADO BRANCO (3030107760)</v>
          </cell>
        </row>
        <row r="694">
          <cell r="B694">
            <v>3030106480</v>
          </cell>
          <cell r="D694">
            <v>21182017</v>
          </cell>
          <cell r="E694">
            <v>73181500</v>
          </cell>
          <cell r="F694">
            <v>73181500</v>
          </cell>
          <cell r="G694">
            <v>73181500</v>
          </cell>
          <cell r="H694" t="str">
            <v>PARAFUSO TIPO FENDA CRUZADA, DIMENSAO M3x5mm, EM MATeRIA-PRIMA BASE AcO DE BAIXO CARBONO, DE PROCESSO DE FABRICAcAO POR USINAGEM COM ACABAMENTO SUPERFICIAL POR GALVANIZAcAO ZINCADO BRANCO (3030106480)</v>
          </cell>
        </row>
        <row r="695">
          <cell r="B695">
            <v>3030109480</v>
          </cell>
          <cell r="D695">
            <v>21166001</v>
          </cell>
          <cell r="E695">
            <v>73181500</v>
          </cell>
          <cell r="F695">
            <v>73181500</v>
          </cell>
          <cell r="G695">
            <v>73181500</v>
          </cell>
          <cell r="H695" t="str">
            <v>Parafuso para Terminais M6x15mm - de materia-prima base aco baixo carbono, processo de fabricacAo por usinagem e acabamento superficial de Zinco Níquel -  Cronos NG (3030109480)</v>
          </cell>
        </row>
        <row r="696">
          <cell r="B696">
            <v>3030303110</v>
          </cell>
          <cell r="D696">
            <v>21130710</v>
          </cell>
          <cell r="E696">
            <v>73181500</v>
          </cell>
          <cell r="F696">
            <v>73181500</v>
          </cell>
          <cell r="G696">
            <v>73181500</v>
          </cell>
          <cell r="H696" t="str">
            <v>Parafuso Auto Atarraxante Ø5.6mm; ST2.9 * 10mm Fenda Cruzada; de materia-prima base de aco baixo carbono, de processo de fabricacAo por usinagem, com acabamento superficial Zincado Branco (3030303110)</v>
          </cell>
        </row>
        <row r="697">
          <cell r="B697">
            <v>3030109540</v>
          </cell>
          <cell r="D697">
            <v>21163301</v>
          </cell>
          <cell r="E697">
            <v>73181500</v>
          </cell>
          <cell r="F697">
            <v>73181500</v>
          </cell>
          <cell r="G697">
            <v>73181500</v>
          </cell>
          <cell r="H697" t="str">
            <v>Parafuso Terminal de Corrente Medidor Indireto M4*9, de materia-prima base aco baixo carbono, processo de fabricacAo por usinagem, acabamento superficial de Zinco Níquel, Fenda Simples  (3030109540)</v>
          </cell>
        </row>
        <row r="698">
          <cell r="B698" t="str">
            <v>EL21161105</v>
          </cell>
          <cell r="D698">
            <v>21161105</v>
          </cell>
          <cell r="E698">
            <v>73181500</v>
          </cell>
          <cell r="F698">
            <v>73181500</v>
          </cell>
          <cell r="H698" t="str">
            <v xml:space="preserve">PARAFUSO TIPO FENDA SIMPLES, DIMENSAO M6x15mm, EM MATeRIA-PRIMA BASE AcO DE BAIXO CARBONO, DE PROCESSO DE FABRICAcAO POR USINAGEM COM ACABAMENTO SUPERFICIAL POR GALVANIZAcAO ZINCO-NÍQUEL </v>
          </cell>
        </row>
        <row r="699">
          <cell r="B699">
            <v>3030502890</v>
          </cell>
          <cell r="D699">
            <v>21165001</v>
          </cell>
          <cell r="E699">
            <v>73181500</v>
          </cell>
          <cell r="F699">
            <v>73181500</v>
          </cell>
          <cell r="H699" t="str">
            <v xml:space="preserve">PARAFUSO TIPO FENDA CRUZADA COM FURO PARA PASSAGEM DE LACRE, DIMENSAO M4x12mm, EM MATeRIA-PRIMA BASE AcO DE BAIXO CARBONO, DE PROCESSO DE FABRICAcAO POR USINAGEM COM ACABAMENTO SUPERFICIAL POR GALVANIZAcAO ZINCO-NÍQUEL (3030502890) </v>
          </cell>
        </row>
        <row r="700">
          <cell r="B700">
            <v>3030109550</v>
          </cell>
          <cell r="D700">
            <v>21182018</v>
          </cell>
          <cell r="E700">
            <v>73181500</v>
          </cell>
          <cell r="F700">
            <v>73181500</v>
          </cell>
          <cell r="G700">
            <v>73181500</v>
          </cell>
          <cell r="H700" t="str">
            <v xml:space="preserve">PARAFUSO TIPO CABEcA ALLEN, DIMENSAO M10x25mm, EM MATeRIA-PRIMA BASE AcO DE BAIXO CARBONO, DE PROCESSO DE FABRICAcAO POR USINAGEM COM ACABAMENTO SUPERFICIAL POR GALVANIZAcAO ZINCO-NÍQUEL (3030109550) </v>
          </cell>
        </row>
        <row r="701">
          <cell r="B701">
            <v>3030502900</v>
          </cell>
          <cell r="D701">
            <v>21161405</v>
          </cell>
          <cell r="E701">
            <v>73181500</v>
          </cell>
          <cell r="F701">
            <v>73181500</v>
          </cell>
          <cell r="H701" t="str">
            <v xml:space="preserve">PARAFUSO TIPO FENDA CRUZADA COM FURO PARA PASSAGEM DE LACRE, DIMENSAO M4x22mm, EM MATeRIA-PRIMA BASE AcO DE BAIXO CARBONO, DE PROCESSO DE FABRICAcAO POR USINAGEM COM ACABAMENTO SUPERFICIAL POR GALVANIZAcAO ZINCO-NÍQUEL (3030502900) </v>
          </cell>
        </row>
        <row r="702">
          <cell r="B702">
            <v>3030109570</v>
          </cell>
          <cell r="D702">
            <v>21182019</v>
          </cell>
          <cell r="E702">
            <v>73181500</v>
          </cell>
          <cell r="F702">
            <v>73181500</v>
          </cell>
          <cell r="H702" t="str">
            <v>PARAFUSO TIPO FENDA CRUZADA, DIMENSAO M3x5mm, EM MATeRIA-PRIMA BASE AcO DE BAIXO CARBONO, DE PROCESSO DE FABRICAcAO POR USINAGEM COM ACABAMENTO SUPERFICIAL POR GALVANIZAcAO ZINCO-NÍQUEL (3030109570)</v>
          </cell>
        </row>
        <row r="703">
          <cell r="B703">
            <v>3030107700</v>
          </cell>
          <cell r="D703">
            <v>21163300</v>
          </cell>
          <cell r="E703">
            <v>73181500</v>
          </cell>
          <cell r="F703">
            <v>73181500</v>
          </cell>
          <cell r="H703" t="str">
            <v>PARAFUSO TIPO FENDA SIMPLES, DIMENSAO M4x9mm, EM MATeRIA-PRIMA BASE AcO DE BAIXO CARBONO, DE PROCESSO DE FABRICAcAO POR USINAGEM COM ACABAMENTO SUPERFICIAL POR GALVANIZAcAO ZINCADO BRANCO (3030107700)</v>
          </cell>
        </row>
        <row r="704">
          <cell r="B704">
            <v>3032701650</v>
          </cell>
          <cell r="D704">
            <v>21140401</v>
          </cell>
          <cell r="E704">
            <v>73181500</v>
          </cell>
          <cell r="F704">
            <v>73181500</v>
          </cell>
          <cell r="G704">
            <v>73181500</v>
          </cell>
          <cell r="H704" t="str">
            <v xml:space="preserve">PARAFUSO TIPO COMPOSTO CABEcA TIPO PANELA DIAM. 8mm FENDA CRUZADA COM ARRUELA DE PRESSAO E LISA, DIMENSAO M5x15,5mm, EM MATeRIA-PRIMA BASE AcO DE BAIXO CARBONO, DE PROCESSO DE FABRICAcAO POR USINAGEM COM ACABAMENTO SUPERFICIAL POR GALVANIZAcAO ZINCADO AMARELO (3032701650) </v>
          </cell>
        </row>
        <row r="705">
          <cell r="B705">
            <v>3032700030</v>
          </cell>
          <cell r="D705">
            <v>21140404</v>
          </cell>
          <cell r="E705">
            <v>73181500</v>
          </cell>
          <cell r="F705">
            <v>73181500</v>
          </cell>
          <cell r="G705">
            <v>73181500</v>
          </cell>
          <cell r="H705" t="str">
            <v>Parafuso M3x8mm - de materia-prima base de aco baixo carbono, de processo de fabricacAo por usinagem, com acabamento superficial Zincado Amarelo (3032700030)</v>
          </cell>
        </row>
        <row r="706">
          <cell r="B706">
            <v>3030300280</v>
          </cell>
          <cell r="D706">
            <v>21182020</v>
          </cell>
          <cell r="E706">
            <v>73181500</v>
          </cell>
          <cell r="F706">
            <v>73181500</v>
          </cell>
          <cell r="G706">
            <v>73181500</v>
          </cell>
          <cell r="H706" t="str">
            <v>Parafuso Autoatarraxante ST3.9*8mm, de materia-prima base de aco baixo carbono, de processo de fabricacAo por usinagem, com acabamento superficial zincado amarelo, para Fixador das Pontes Medidor Ares 30/200 (3030300280)</v>
          </cell>
        </row>
        <row r="707">
          <cell r="B707">
            <v>3030109640</v>
          </cell>
          <cell r="D707">
            <v>21166101</v>
          </cell>
          <cell r="E707">
            <v>73181500</v>
          </cell>
          <cell r="F707">
            <v>73181500</v>
          </cell>
          <cell r="H707" t="str">
            <v>PARAFUSO TIPO FENDA SIMPLES, DIMENSAO M6x15mm, EM MATeRIA-PRIMA BASE AcO DE BAIXO CARBONO, DE PROCESSO DE FABRICAcAO POR USINAGEM COM ACABAMENTO SUPERFICIAL POR GALVANIZAcAO ZINCO-NÍQUEL (3030109640)</v>
          </cell>
        </row>
        <row r="708">
          <cell r="B708">
            <v>3030109620</v>
          </cell>
          <cell r="D708">
            <v>21166102</v>
          </cell>
          <cell r="E708">
            <v>73181500</v>
          </cell>
          <cell r="F708">
            <v>73181500</v>
          </cell>
          <cell r="H708" t="str">
            <v>PARAFUSO TIPO FENDA SIMPLES, DIMENSAO M6x15mm, EM MATeRIA-PRIMA BASE AcO INOXIDaVEL SUS304, DE PROCESSO DE FABRICAcAO POR USINAGEM COM ACABAMENTO SUPERFICIAL SEM TRATAMENTO (3030109620)</v>
          </cell>
        </row>
        <row r="709">
          <cell r="B709">
            <v>3030109470</v>
          </cell>
          <cell r="D709">
            <v>21161104</v>
          </cell>
          <cell r="E709">
            <v>73181500</v>
          </cell>
          <cell r="F709">
            <v>73181500</v>
          </cell>
          <cell r="G709">
            <v>73181500</v>
          </cell>
          <cell r="H709" t="str">
            <v>Parafuso Terminal de Corrente Fenda Cruzada - de materia-prima base aco baixo carbono, processo de fabricacAo por usinagem, acabamento superficial de Zinco Níquel (3030109470)</v>
          </cell>
        </row>
        <row r="710">
          <cell r="B710">
            <v>3030109560</v>
          </cell>
          <cell r="D710">
            <v>21162302</v>
          </cell>
          <cell r="E710">
            <v>73181500</v>
          </cell>
          <cell r="F710">
            <v>73181500</v>
          </cell>
          <cell r="G710">
            <v>73181500</v>
          </cell>
          <cell r="H710" t="str">
            <v>Parafuso do Terminal de Corrente - Fenda Simples - de materia-prima base de aco baixo carbono, de processo de fabricacAo por usinagem, com acabamento superficial de Zinco Níquel (3030109560)</v>
          </cell>
        </row>
        <row r="711">
          <cell r="B711">
            <v>3030900330</v>
          </cell>
          <cell r="D711">
            <v>20265105</v>
          </cell>
          <cell r="E711">
            <v>73181600</v>
          </cell>
          <cell r="F711">
            <v>73181600</v>
          </cell>
          <cell r="G711">
            <v>73181600</v>
          </cell>
          <cell r="H711" t="str">
            <v>Porca sextavada M4 7mm de materia-prima base aco baixo carbono, processo de fabricacAo por usinagem, acabamento superficial Zincado Amarelo (3030900330)</v>
          </cell>
        </row>
        <row r="712">
          <cell r="B712">
            <v>3030900440</v>
          </cell>
          <cell r="D712">
            <v>20265106</v>
          </cell>
          <cell r="E712">
            <v>73181600</v>
          </cell>
          <cell r="F712">
            <v>73181600</v>
          </cell>
          <cell r="G712">
            <v>73181600</v>
          </cell>
          <cell r="H712" t="str">
            <v>Porca Sextavada M5 - de materia-prima base em aco baixo carbono, de processo de fabricacAo por usinagem e acabamento superficial Zincado Amarelo (3030900440)</v>
          </cell>
        </row>
        <row r="713">
          <cell r="B713">
            <v>3031300120</v>
          </cell>
          <cell r="D713">
            <v>20269400</v>
          </cell>
          <cell r="E713">
            <v>73182100</v>
          </cell>
          <cell r="F713">
            <v>73182100</v>
          </cell>
          <cell r="G713">
            <v>73182100</v>
          </cell>
          <cell r="H713" t="str">
            <v>Arruela de PressAo em materia-prima base de aco baixo carbono, de processo de fabricacAo por usinagem, com acabamento superficial zincado amarelo - Ø4.1mm</v>
          </cell>
        </row>
        <row r="714">
          <cell r="B714">
            <v>3031100150</v>
          </cell>
          <cell r="D714">
            <v>20269200</v>
          </cell>
          <cell r="E714">
            <v>73182200</v>
          </cell>
          <cell r="F714">
            <v>73182200</v>
          </cell>
          <cell r="G714">
            <v>73182200</v>
          </cell>
          <cell r="H714" t="str">
            <v>Arruela Lisa em materia-prima base de aco baixo carbono, de processo de fabricacAo por usinagem, acabamento superficial zincado amarelo A4 Ø4.3 x 8mm x 0.5mm</v>
          </cell>
        </row>
        <row r="715">
          <cell r="B715">
            <v>3032902450</v>
          </cell>
          <cell r="D715">
            <v>20691536</v>
          </cell>
          <cell r="E715">
            <v>73202010</v>
          </cell>
          <cell r="F715">
            <v>73202010</v>
          </cell>
          <cell r="G715">
            <v>73202010</v>
          </cell>
          <cell r="H715" t="str">
            <v>Mola de CompressAo helicoidal do tipo Cilíndrica em aco carbono 72A com diAmetro de 5,4mm; comprimento 7,0mm; espessura 0,4mm.</v>
          </cell>
        </row>
        <row r="716">
          <cell r="B716">
            <v>3032902440</v>
          </cell>
          <cell r="D716">
            <v>20691535</v>
          </cell>
          <cell r="E716">
            <v>73202010</v>
          </cell>
          <cell r="F716">
            <v>73202010</v>
          </cell>
          <cell r="G716">
            <v>73202010</v>
          </cell>
          <cell r="H716" t="str">
            <v>Mola de CompressAo helicoidal do tipo Cilíndrica em Aco inoxidavel SUS304 com diAmetro de 6mm; comprimento 10,0mm; espessura 0,5mm.</v>
          </cell>
        </row>
        <row r="717">
          <cell r="B717">
            <v>3051701510</v>
          </cell>
          <cell r="D717">
            <v>20122000</v>
          </cell>
          <cell r="E717">
            <v>73261900</v>
          </cell>
          <cell r="F717">
            <v>73261900</v>
          </cell>
          <cell r="H717" t="str">
            <v>Suporte Metalico, em aco, estampada, para Medidor de Balanco (3051701510)</v>
          </cell>
        </row>
        <row r="718">
          <cell r="B718">
            <v>3051301340</v>
          </cell>
          <cell r="D718">
            <v>20276000</v>
          </cell>
          <cell r="E718">
            <v>73269090</v>
          </cell>
          <cell r="F718">
            <v>73269090</v>
          </cell>
          <cell r="G718">
            <v>73269090</v>
          </cell>
          <cell r="H718" t="str">
            <v>Trilho Metalico 1mm - 100x35x7.5mm - obra de aco, obtido por dobragem, acabamento superficial Zincado Amarelo</v>
          </cell>
        </row>
        <row r="719">
          <cell r="B719">
            <v>3031900070</v>
          </cell>
          <cell r="D719">
            <v>20269300</v>
          </cell>
          <cell r="E719">
            <v>76161000</v>
          </cell>
          <cell r="F719">
            <v>76161000</v>
          </cell>
          <cell r="G719">
            <v>76161000</v>
          </cell>
          <cell r="H719" t="str">
            <v>Rebite de alumínio, para placa de identificacAo, F3.2*11mm</v>
          </cell>
        </row>
        <row r="720">
          <cell r="B720">
            <v>2100300471</v>
          </cell>
          <cell r="D720">
            <v>20691547</v>
          </cell>
          <cell r="E720">
            <v>85043199</v>
          </cell>
          <cell r="F720">
            <v>85043199</v>
          </cell>
          <cell r="G720">
            <v>85043199</v>
          </cell>
          <cell r="H720" t="str">
            <v>TRANSFORMADOR ELeTRICO DE ALTA FREQUeNCIA, DE POTeNCIA 0,42KVA, DE FREQUENCIA 200 KHZ, 144±25por centoµH;1.5µH 1 4200/1500V EE13;15*15*14mm (2100300471) PTH</v>
          </cell>
        </row>
        <row r="721">
          <cell r="B721">
            <v>2100500034</v>
          </cell>
          <cell r="D721">
            <v>20691554</v>
          </cell>
          <cell r="E721">
            <v>85043199</v>
          </cell>
          <cell r="F721">
            <v>85043199</v>
          </cell>
          <cell r="G721">
            <v>85043199</v>
          </cell>
          <cell r="H721" t="str">
            <v>Transformador de pulso, de potencia 0,005kVA, frequencia 100000 Hz, proprio para montagem de insercAo (PTH), 80uH de indutAncia, 3pF de capacitAncia, tensAo de ate 4000V , RT 1:1.1(2100500034)</v>
          </cell>
        </row>
        <row r="722">
          <cell r="B722">
            <v>2100300492</v>
          </cell>
          <cell r="D722">
            <v>20691561</v>
          </cell>
          <cell r="E722">
            <v>85043199</v>
          </cell>
          <cell r="F722">
            <v>85043199</v>
          </cell>
          <cell r="G722">
            <v>85043199</v>
          </cell>
          <cell r="H722" t="str">
            <v>TRANSFORMADOR ELeTRICO DE ALTA FREQUeNCIA DE POTeNCIA INFERIOR A 0,1 KVA E FREQUeNCIA DE OPERAcAO DE 25HZ A 60HZ 1200±10por cento 80.0µH 2 4200/2500/1500V EE16 18*17*18mm PTH (2100300492)</v>
          </cell>
        </row>
        <row r="723">
          <cell r="B723">
            <v>2030900081</v>
          </cell>
          <cell r="C723">
            <v>2030900081</v>
          </cell>
          <cell r="D723">
            <v>20691959</v>
          </cell>
          <cell r="E723">
            <v>85045010</v>
          </cell>
          <cell r="F723" t="str">
            <v>Need to update benefit</v>
          </cell>
          <cell r="G723">
            <v>85045000</v>
          </cell>
          <cell r="H723" t="str">
            <v>Bobina de autoinducao (indutor) 1.10mH, de largura 0,50mm e comprimento 1,00mm, e altura 0,65mm,  para montagem em superfície (SMD), de frequencia de 100MHz,  tolerancia de 0%, intensidade de corrente de 0.25A, 1.1Ω de encapsulamento 0402.</v>
          </cell>
        </row>
        <row r="724">
          <cell r="B724">
            <v>2030301013</v>
          </cell>
          <cell r="D724">
            <v>20691960</v>
          </cell>
          <cell r="E724">
            <v>85045010</v>
          </cell>
          <cell r="F724" t="str">
            <v>Need to update benefit</v>
          </cell>
          <cell r="H724" t="str">
            <v>Bobina de auto-inducao (Indutor) de 60µH, para montagem por insercao (PTH), de frequencia de 1kHZ, 50mΩ de resistencia, com dimensoes de 12mm de comprimento, 15mm de largura e 17mm de altura.</v>
          </cell>
        </row>
        <row r="725">
          <cell r="B725">
            <v>2030700130</v>
          </cell>
          <cell r="D725">
            <v>20691946</v>
          </cell>
          <cell r="E725">
            <v>85045010</v>
          </cell>
          <cell r="F725" t="str">
            <v>Need to update benefit</v>
          </cell>
          <cell r="H725" t="str">
            <v>Bobina de auto-inducao (indutor) de 3.9mH, para montagem por insercao (PTH), de frequencia de 1kHz, tolerancia de 10%, intensidade de corrente de 0.3A, 3.5Ω de resistencia, RAD-6mm/12 mm de comprimento, 12 mm de largura e 17mm de altura (2030700130) PTH</v>
          </cell>
        </row>
        <row r="726">
          <cell r="B726">
            <v>2030301591</v>
          </cell>
          <cell r="D726">
            <v>20691974</v>
          </cell>
          <cell r="E726">
            <v>85045010</v>
          </cell>
          <cell r="F726" t="str">
            <v>Need to update benefit</v>
          </cell>
          <cell r="H726" t="str">
            <v>Bobina de auto-inducao (indutor) de 400uH, para montagem por insercao (PTH), 0.13Ohms de resistencia, de dimensoes 15.5 de comprimento, 15.5mm de largura e 12.0mm de altura.</v>
          </cell>
        </row>
        <row r="727">
          <cell r="B727">
            <v>2030500511</v>
          </cell>
          <cell r="D727">
            <v>20650122</v>
          </cell>
          <cell r="E727">
            <v>85045010</v>
          </cell>
          <cell r="F727" t="str">
            <v>Need to update benefit</v>
          </cell>
          <cell r="G727">
            <v>85045000</v>
          </cell>
          <cell r="H727" t="str">
            <v>Bobina de auto-inducao (indutor) de 470µH , para montagem por insercao (PTH), de frequencia de 100kHz, tolerancia de 10%, intensidade de corrente de 0.126A, 7.7Ω de resistencia, dimensoes de 4 mm de comprimento, 4 mm de largura e 10.5 mm de altura (2030500511) PTH</v>
          </cell>
        </row>
        <row r="728">
          <cell r="B728" t="str">
            <v>MPG33.R110</v>
          </cell>
          <cell r="D728">
            <v>20500450</v>
          </cell>
          <cell r="E728">
            <v>85176241</v>
          </cell>
          <cell r="F728" t="str">
            <v>Not applicable</v>
          </cell>
          <cell r="H728" t="str">
            <v>Repetidor G3-PLC com Cabo (MPG33.R110)</v>
          </cell>
        </row>
        <row r="729">
          <cell r="B729" t="str">
            <v>HXPXD1.R120</v>
          </cell>
          <cell r="D729">
            <v>20500451</v>
          </cell>
          <cell r="E729">
            <v>85176241</v>
          </cell>
          <cell r="F729">
            <v>85176241</v>
          </cell>
          <cell r="H729" t="str">
            <v>Caixa e Acessorios para Repetidor G3-PLC (HXPXD1.R120)</v>
          </cell>
        </row>
        <row r="730">
          <cell r="B730" t="str">
            <v>MJN53.R110</v>
          </cell>
          <cell r="D730">
            <v>20691338</v>
          </cell>
          <cell r="E730">
            <v>85176277</v>
          </cell>
          <cell r="F730">
            <v>85176277</v>
          </cell>
          <cell r="H730" t="str">
            <v>Modulo de comunicacAo HEXNET 8V</v>
          </cell>
        </row>
        <row r="731">
          <cell r="B731" t="str">
            <v>MEI53.R110</v>
          </cell>
          <cell r="D731">
            <v>20691339</v>
          </cell>
          <cell r="E731">
            <v>85176277</v>
          </cell>
          <cell r="F731">
            <v>85176277</v>
          </cell>
          <cell r="H731" t="str">
            <v>Modulo de comunicacAo eLTE 8V</v>
          </cell>
        </row>
        <row r="732">
          <cell r="B732">
            <v>2090701550</v>
          </cell>
          <cell r="D732">
            <v>20691556</v>
          </cell>
          <cell r="E732">
            <v>40169990</v>
          </cell>
          <cell r="F732">
            <v>40169990</v>
          </cell>
          <cell r="G732">
            <v>85311090</v>
          </cell>
          <cell r="H732" t="str">
            <v>BOTAO DE BORRACHA VULCANIZADA NAO ENDURECIDA, PARA ACIONAMENTO DE ALARME DE ABERTURA DA TAMPA PRINCIPAL DE MEDIDORES DE ENERGIA ELeTRICA 2.4mm  7.1*7.1*9.6mm (2090701550) PTH</v>
          </cell>
        </row>
        <row r="733">
          <cell r="B733">
            <v>2020301311</v>
          </cell>
          <cell r="D733">
            <v>20660642</v>
          </cell>
          <cell r="E733">
            <v>85322200</v>
          </cell>
          <cell r="F733">
            <v>85322200</v>
          </cell>
          <cell r="H733" t="str">
            <v>CAPACITOR (CONDENSADOR ELeTRICO FIXO) ELETROLÍTICO DE ALUMÍNIO 1000µF;16V;20por cento;ZLH;8000h;RAD3.5mm (2020301311) PTH</v>
          </cell>
        </row>
        <row r="734">
          <cell r="B734">
            <v>2020301561</v>
          </cell>
          <cell r="D734">
            <v>20660645</v>
          </cell>
          <cell r="E734">
            <v>85322200</v>
          </cell>
          <cell r="F734">
            <v>85322200</v>
          </cell>
          <cell r="H734" t="str">
            <v>CAPACITOR (CONDENSADOR ELeTRICO FIXO) ELETROLÍTICO DE ALUMÍNIO 22µF 450V 20por cento ECST 10000h RAD-5mm/F12.5*20mm (2020301561) PTH</v>
          </cell>
        </row>
        <row r="735">
          <cell r="B735">
            <v>2021100280</v>
          </cell>
          <cell r="D735">
            <v>20672639</v>
          </cell>
          <cell r="E735">
            <v>85322200</v>
          </cell>
          <cell r="F735">
            <v>85322200</v>
          </cell>
          <cell r="H735" t="str">
            <v>CAPACITOR (CONDENSADOR ELeTRICO FIXO) ELETROLÍTICO DE ALUMÍNIO 1.5F 5.5V 0.2 RAD-15mm / 22 * 11.6 * 22mm (2021100280) PTH</v>
          </cell>
        </row>
        <row r="736">
          <cell r="B736">
            <v>2020300401</v>
          </cell>
          <cell r="D736">
            <v>20660649</v>
          </cell>
          <cell r="E736">
            <v>85322200</v>
          </cell>
          <cell r="F736">
            <v>85322200</v>
          </cell>
          <cell r="H736" t="str">
            <v>CAPACITOR (CONDENSADOR ELeTRICO FIXO) ELETROLÍTICO DE ALUMÍNIO 1000µF 16V 20por cento YXF 7000h RAD-5mm/F10*20mm (2020300401) PTH</v>
          </cell>
        </row>
        <row r="737">
          <cell r="B737">
            <v>2020301211</v>
          </cell>
          <cell r="D737">
            <v>20672640</v>
          </cell>
          <cell r="E737">
            <v>85322200</v>
          </cell>
          <cell r="F737">
            <v>85322200</v>
          </cell>
          <cell r="G737">
            <v>85322200</v>
          </cell>
          <cell r="H737" t="str">
            <v>CAPACITOR (CONDENSADOR ELeTRICO FIXO) ELETROLÍTICO DE ALUMÍNIO 4.7µF 400V 20por cento CFX 5000h RAD-5mm 10*16mm PTH (2020301211)</v>
          </cell>
        </row>
        <row r="738">
          <cell r="B738">
            <v>2020302901</v>
          </cell>
          <cell r="D738">
            <v>20672643</v>
          </cell>
          <cell r="E738">
            <v>85322200</v>
          </cell>
          <cell r="F738">
            <v>85322200</v>
          </cell>
          <cell r="H738" t="str">
            <v>CAPACITOR (CONDENSADOR ELeTRICO FIXO) ELETROLÍTICO DE ALUMÍNIO 4.7µF 400V 20por cento KSG 5000h RAD-5mm 10*16mm PTH (2020302901)</v>
          </cell>
        </row>
        <row r="739">
          <cell r="B739">
            <v>2020101330</v>
          </cell>
          <cell r="D739">
            <v>20672549</v>
          </cell>
          <cell r="E739">
            <v>85322310</v>
          </cell>
          <cell r="F739" t="str">
            <v>Not applicable</v>
          </cell>
          <cell r="G739">
            <v>85322310</v>
          </cell>
          <cell r="H739" t="str">
            <v>CAPACITOR (CONDENSDOR ELeTRICO FIXO) COM DIELeTRICO DE CERAMICA DE UMA So CAMADA PRoPRIO PARA MONTAGEM EM SUPERFÍCIE SMD 220pF 5por cento NPO 50V 0402 (2020101330) SMD</v>
          </cell>
        </row>
        <row r="740">
          <cell r="B740">
            <v>2020100370</v>
          </cell>
          <cell r="D740">
            <v>20670018</v>
          </cell>
          <cell r="E740">
            <v>85322310</v>
          </cell>
          <cell r="F740" t="str">
            <v>Not applicable</v>
          </cell>
          <cell r="G740">
            <v>85322310</v>
          </cell>
          <cell r="H740" t="str">
            <v>CAPACITOR (CONDENSDOR ELeTRICO FIXO) COM DIELeTRICO DE CERAMICA DE UMA So CAMADA PRoPRIO PARA MONTAGEM EM SUPERFÍCIE SMD 100nF 10por cento X7R 50V 0603 (2020100370) SMD</v>
          </cell>
        </row>
        <row r="741">
          <cell r="B741">
            <v>2020101990</v>
          </cell>
          <cell r="D741">
            <v>20670017</v>
          </cell>
          <cell r="E741">
            <v>85322310</v>
          </cell>
          <cell r="F741" t="str">
            <v>Not applicable</v>
          </cell>
          <cell r="G741">
            <v>85322310</v>
          </cell>
          <cell r="H741" t="str">
            <v>CAPACITOR (CONDENSDOR ELeTRICO FIXO) COM DIELeTRICO DE CERAMICA DE UMA So CAMADA PRoPRIO PARA MONTAGEM EM SUPERFÍCIE SMD 330pF 10por cento X7R 50V 0402 (2020101990) SMD</v>
          </cell>
        </row>
        <row r="742">
          <cell r="B742">
            <v>2020101240</v>
          </cell>
          <cell r="D742">
            <v>20672547</v>
          </cell>
          <cell r="E742">
            <v>85322310</v>
          </cell>
          <cell r="F742" t="str">
            <v>Not applicable</v>
          </cell>
          <cell r="G742">
            <v>85322310</v>
          </cell>
          <cell r="H742" t="str">
            <v>CAPACITOR (CONDENSDOR ELeTRICO FIXO) COM DIELeTRICO DE CERAMICA DE UMA So CAMADA PRoPRIO PARA MONTAGEM EM SUPERFÍCIE SMD 10µF 10por cento X5R 25V 1206 (2020101240) SMD</v>
          </cell>
        </row>
        <row r="743">
          <cell r="B743">
            <v>2020102170</v>
          </cell>
          <cell r="D743">
            <v>20672636</v>
          </cell>
          <cell r="E743">
            <v>85322410</v>
          </cell>
          <cell r="F743" t="str">
            <v>Not applicable</v>
          </cell>
          <cell r="G743">
            <v>85322410</v>
          </cell>
          <cell r="H743" t="str">
            <v>CAPACITOR (CONDENSADOR ELeTRICO FIXO) COM DIELeTRICO DE CERAMICA, DE CAMADAS MuLTIPLAS, PRoPRIO PARA MONTAGEM EM SUPERFÍCIE SMD  1µF;10por cento;X5R;50V;0603 (2020102170) SMD</v>
          </cell>
        </row>
        <row r="744">
          <cell r="B744">
            <v>2020102200</v>
          </cell>
          <cell r="D744">
            <v>20672637</v>
          </cell>
          <cell r="E744">
            <v>85322410</v>
          </cell>
          <cell r="F744" t="str">
            <v>Not applicable</v>
          </cell>
          <cell r="G744">
            <v>85322410</v>
          </cell>
          <cell r="H744" t="str">
            <v>CAPACITOR (CONDENSADOR ELeTRICO FIXO) COM DIELeTRICO DE CERAMICA, DE CAMADAS MuLTIPLAS, PRoPRIO PARA MONTAGEM EM SUPERFÍCIE SMD - 10uF 10por cento X5R 25V 0805  (2020102200)</v>
          </cell>
        </row>
        <row r="745">
          <cell r="B745">
            <v>2020100400</v>
          </cell>
          <cell r="D745">
            <v>20672555</v>
          </cell>
          <cell r="E745">
            <v>85322410</v>
          </cell>
          <cell r="F745" t="str">
            <v>Not applicable</v>
          </cell>
          <cell r="G745">
            <v>85322410</v>
          </cell>
          <cell r="H745" t="str">
            <v>CAPACITOR (CONDENSADOR ELeTRICO FIXO) COM DIELeTRICO DE CERAMICA, DE CAMADAS MuLTIPLAS, PRoPRIO PARA MONTAGEM EM SUPERFÍCIE SMD CERAMICO 68nF 10por cento X7R 50V 0603 (2020100400) SMD</v>
          </cell>
        </row>
        <row r="746">
          <cell r="B746">
            <v>2020101640</v>
          </cell>
          <cell r="D746">
            <v>20672558</v>
          </cell>
          <cell r="E746">
            <v>85322410</v>
          </cell>
          <cell r="F746" t="str">
            <v>Not applicable</v>
          </cell>
          <cell r="G746">
            <v>85322410</v>
          </cell>
          <cell r="H746" t="str">
            <v>CAPACITOR (CONDENSADOR ELeTRICO FIXO) COM DIELeTRICO DE CERAMICA, DE CAMADAS MuLTIPLAS, PRoPRIO PARA MONTAGEM EM SUPERFÍCIE SMD CERAMICO 470.0pF 10por cento X7R 50.0V 0402 SMD (2020101640)</v>
          </cell>
        </row>
        <row r="747">
          <cell r="B747">
            <v>2020101850</v>
          </cell>
          <cell r="D747">
            <v>20672556</v>
          </cell>
          <cell r="E747">
            <v>85322410</v>
          </cell>
          <cell r="F747" t="str">
            <v>Not applicable</v>
          </cell>
          <cell r="G747">
            <v>85322410</v>
          </cell>
          <cell r="H747" t="str">
            <v>CAPACITOR (CONDENSADOR ELeTRICO FIXO) COM DIELeTRICO DE CERAMICA, DE CAMADAS MuLTIPLAS, PRoPRIO PARA MONTAGEM EM SUPERFÍCIE SMD - 75.0pF 5por cento NPO 50.0V 0402 (2020101850)</v>
          </cell>
        </row>
        <row r="748">
          <cell r="B748">
            <v>2020103440</v>
          </cell>
          <cell r="D748">
            <v>20672557</v>
          </cell>
          <cell r="E748">
            <v>85322410</v>
          </cell>
          <cell r="F748" t="str">
            <v>Not applicable</v>
          </cell>
          <cell r="G748">
            <v>85322410</v>
          </cell>
          <cell r="H748" t="str">
            <v>CAPACITOR (CONDENSADOR ELeTRICO FIXO) COM DIELeTRICO DE CERAMICA, DE CAMADAS MuLTIPLAS, PRoPRIO PARA MONTAGEM EM SUPERFÍCIE SMD CERAMICO 10.0µF 10por cento X5R 50.0V 1206 (2020103440) SMD</v>
          </cell>
        </row>
        <row r="749">
          <cell r="B749">
            <v>2020700961</v>
          </cell>
          <cell r="D749">
            <v>20672641</v>
          </cell>
          <cell r="E749">
            <v>85322420</v>
          </cell>
          <cell r="F749">
            <v>85322420</v>
          </cell>
          <cell r="G749">
            <v>85322420</v>
          </cell>
          <cell r="H749" t="str">
            <v>CAPACITOR (CONDENSADOR ELeTRICO FIXO) COM DIELeTRICO DE CERAMICA, DE MuLTIPLAS CAMADAS, PRoPRIOS PARA MONTAGEM POR INSERcAO PTH 2.2nF ±20por cento X1Y1400V F(Y5V) +30por cento~-82por cento RAD-10mm 9.5mm*6mm PTH (2020700961)</v>
          </cell>
        </row>
        <row r="750">
          <cell r="B750">
            <v>2020500671</v>
          </cell>
          <cell r="D750">
            <v>20660648</v>
          </cell>
          <cell r="E750">
            <v>85322590</v>
          </cell>
          <cell r="F750">
            <v>85322590</v>
          </cell>
          <cell r="G750">
            <v>85322590</v>
          </cell>
          <cell r="H750" t="str">
            <v>CAPACITOR (CONDENSADOR ELeTRICO FIXO), COM DIELeTRICO DE PLaSTICO (FILME), METALIZADO, PRoPRIO PARA MONTAGEM EM SUPERFÍCIE PTH 100nF 10por cento 330V RAD-15mm  18x5x12mm (2020500671)</v>
          </cell>
        </row>
        <row r="751">
          <cell r="B751">
            <v>2020500152</v>
          </cell>
          <cell r="D751">
            <v>20660646</v>
          </cell>
          <cell r="E751">
            <v>85322420</v>
          </cell>
          <cell r="F751">
            <v>85322420</v>
          </cell>
          <cell r="G751">
            <v>85322420</v>
          </cell>
          <cell r="H751" t="str">
            <v>CAPACITOR (CONDENSADOR ELeTRICO FIXO) COM DIELeTRICO DE CERAMICA, DE MuLTIPLAS CAMADAS, PRoPRIOS PARA MONTAGEM POR INSERcAO PTH 10nF 10por cento 330V RAD-10mm com dimensoes de 12*11*5mm (2020500152)</v>
          </cell>
        </row>
        <row r="752">
          <cell r="B752">
            <v>2020500801</v>
          </cell>
          <cell r="D752">
            <v>20672548</v>
          </cell>
          <cell r="E752">
            <v>85322590</v>
          </cell>
          <cell r="F752">
            <v>85322590</v>
          </cell>
          <cell r="G752">
            <v>85322590</v>
          </cell>
          <cell r="H752" t="str">
            <v>CAPACITOR (CONDENSADOR ELeTRICO FIXO), COM DIELeTRICO DE PLaSTICO (FILME), METALIZADO, PRoPRIO PARA MONTAGEM EM SUPERFÍCIE PTH 220nF 10por cento 330V RAD-15mm/18*13.5*7.5mm (2020500801) PTH</v>
          </cell>
        </row>
        <row r="753">
          <cell r="B753">
            <v>2010101550</v>
          </cell>
          <cell r="D753">
            <v>20633672</v>
          </cell>
          <cell r="E753">
            <v>85332120</v>
          </cell>
          <cell r="F753">
            <v>85332120</v>
          </cell>
          <cell r="H753" t="str">
            <v>RESISTOR (RESISTeNCIA ELeTRICA FIXA) PRoPRIO PARA MONTAGEM EM SUPERFÍCIE SMD  4.7kO 5por cento 100ppm POTeNCIA DE 1/16W 0402 (2010101550) (SMD)</v>
          </cell>
        </row>
        <row r="754">
          <cell r="B754">
            <v>2010101610</v>
          </cell>
          <cell r="D754">
            <v>20660930</v>
          </cell>
          <cell r="E754">
            <v>85332120</v>
          </cell>
          <cell r="F754">
            <v>85332120</v>
          </cell>
          <cell r="H754" t="str">
            <v>RESISTOR (RESISTeNCIA ELeTRICA FIXA) PRoPRIO PARA MONTAGEM EM SUPERFÍCIE SMD  330O 5por cento 100ppm POTeNCIA DE 1/16W 0402 (2010101610) SMD</v>
          </cell>
        </row>
        <row r="755">
          <cell r="B755">
            <v>2010105600</v>
          </cell>
          <cell r="D755">
            <v>20660939</v>
          </cell>
          <cell r="E755">
            <v>85332120</v>
          </cell>
          <cell r="F755">
            <v>85332120</v>
          </cell>
          <cell r="G755">
            <v>85332120</v>
          </cell>
          <cell r="H755" t="str">
            <v>RESISTOR (RESISTeNCIA ELeTRICA FIXA) PRoPRIO PARA MONTAGEM EM SUPERFÍCIE SMD  510O 5por cento 100ppm POTeNCIA DE 1/16W 0402 (2010105600 ) SMD</v>
          </cell>
        </row>
        <row r="756">
          <cell r="B756">
            <v>2010105640</v>
          </cell>
          <cell r="D756">
            <v>20660940</v>
          </cell>
          <cell r="E756">
            <v>85332120</v>
          </cell>
          <cell r="F756">
            <v>85332120</v>
          </cell>
          <cell r="H756" t="str">
            <v>RESISTOR (RESISTeNCIA ELeTRICA FIXA) PRoPRIO PARA MONTAGEM EM SUPERFÍCIE SMD  240kO 5por cento 100ppm POTeNCIA DE1/16W 0402 (2010105640 ) SMD</v>
          </cell>
        </row>
        <row r="757">
          <cell r="B757">
            <v>2010105710</v>
          </cell>
          <cell r="D757">
            <v>20660947</v>
          </cell>
          <cell r="E757">
            <v>85332120</v>
          </cell>
          <cell r="F757">
            <v>85332120</v>
          </cell>
          <cell r="G757">
            <v>85332120</v>
          </cell>
          <cell r="H757" t="str">
            <v>RESISTOR (RESISTeNCIA ELeTRICA FIXA) PRoPRIO PARA MONTAGEM EM SUPERFÍCIE SMD  1MO 5por cento 100ppm POTeNCIA DE 1/16W 0402 (2010105710) SMD</v>
          </cell>
        </row>
        <row r="758">
          <cell r="B758">
            <v>2010101660</v>
          </cell>
          <cell r="D758">
            <v>20633675</v>
          </cell>
          <cell r="E758">
            <v>85332120</v>
          </cell>
          <cell r="F758">
            <v>85332120</v>
          </cell>
          <cell r="H758" t="str">
            <v>RESISTOR (RESISTeNCIA ELeTRICA FIXA) PRoPRIO PARA MONTAGEM EM SUPERFÍCIE SMD   47kO 5por cento 100ppm POTeNCIA DE 1/16W 0402 (2010101660) SMD</v>
          </cell>
        </row>
        <row r="759">
          <cell r="B759">
            <v>2010106110</v>
          </cell>
          <cell r="D759">
            <v>20660942</v>
          </cell>
          <cell r="E759">
            <v>85332120</v>
          </cell>
          <cell r="F759">
            <v>85332120</v>
          </cell>
          <cell r="G759">
            <v>85332120</v>
          </cell>
          <cell r="H759" t="str">
            <v>RESISTOR (RESISTeNCIA ELeTRICA FIXA) PRoPRIO PARA MONTAGEM EM SUPERFÍCIE SMD  20kO 1por cento 100ppm POTeNCIA DE 1/16W 0402 (2010106110) SMD</v>
          </cell>
        </row>
        <row r="760">
          <cell r="B760">
            <v>2010104930</v>
          </cell>
          <cell r="D760">
            <v>20660938</v>
          </cell>
          <cell r="E760">
            <v>85332120</v>
          </cell>
          <cell r="F760">
            <v>85332120</v>
          </cell>
          <cell r="G760">
            <v>85332120</v>
          </cell>
          <cell r="H760" t="str">
            <v>RESISTOR (RESISTeNCIA ELeTRICA FIXA) PRoPRIO PARA MONTAGEM EM SUPERFÍCIE SMD  15kO 1por cento 100ppm POTeNCIA DE 1/4W 1206 (2010104930) SMD</v>
          </cell>
        </row>
        <row r="761">
          <cell r="B761">
            <v>2010107010</v>
          </cell>
          <cell r="D761">
            <v>20660943</v>
          </cell>
          <cell r="E761">
            <v>85332120</v>
          </cell>
          <cell r="F761">
            <v>85332120</v>
          </cell>
          <cell r="G761">
            <v>85332120</v>
          </cell>
          <cell r="H761" t="str">
            <v>RESISTOR (RESISTeNCIA ELeTRICA FIXA) PRoPRIO PARA MONTAGEM EM SUPERFÍCIE SMD  27kO 1por cento 100ppm POTeNCIA DE 1/16W 0402 (2010107010 ) SMD</v>
          </cell>
        </row>
        <row r="762">
          <cell r="B762">
            <v>2010103390</v>
          </cell>
          <cell r="D762">
            <v>20633679</v>
          </cell>
          <cell r="E762">
            <v>85332120</v>
          </cell>
          <cell r="F762">
            <v>85332120</v>
          </cell>
          <cell r="H762" t="str">
            <v>RESISTOR (RESISTeNCIA ELeTRICA FIXA) PRoPRIO PARA MONTAGEM EM SUPERFÍCIE SMD  2.2O 5por cento 200ppm POTeNCIA DE 1/8W 0805 (2010103390) SMD</v>
          </cell>
        </row>
        <row r="763">
          <cell r="B763">
            <v>2010105930</v>
          </cell>
          <cell r="D763">
            <v>20660941</v>
          </cell>
          <cell r="E763">
            <v>85332120</v>
          </cell>
          <cell r="F763">
            <v>85332120</v>
          </cell>
          <cell r="H763" t="str">
            <v>RESISTOR (RESISTeNCIA ELeTRICA FIXA) PRoPRIO PARA MONTAGEM EM SUPERFÍCIE SMD   12.7kO 1por cento 100ppm POTeNCIA DE 1/8W 0805 (2010105930) SMD</v>
          </cell>
        </row>
        <row r="764">
          <cell r="B764">
            <v>2010101670</v>
          </cell>
          <cell r="D764">
            <v>20633676</v>
          </cell>
          <cell r="E764">
            <v>85332120</v>
          </cell>
          <cell r="F764">
            <v>85332120</v>
          </cell>
          <cell r="G764">
            <v>85332120</v>
          </cell>
          <cell r="H764" t="str">
            <v>RESISTOR (RESISTeNCIA ELeTRICA FIXA) PRoPRIO PARA MONTAGEM EM SUPERFÍCIE SMD  39k 1por cento 50ppm POTeNCIA DE 1/16W 0402 (2010101670 ) SMD</v>
          </cell>
        </row>
        <row r="765">
          <cell r="B765">
            <v>2010102520</v>
          </cell>
          <cell r="D765">
            <v>20660946</v>
          </cell>
          <cell r="E765">
            <v>85332120</v>
          </cell>
          <cell r="F765">
            <v>85332120</v>
          </cell>
          <cell r="G765">
            <v>85332120</v>
          </cell>
          <cell r="H765" t="str">
            <v>Resistor  proprio para montagem em superfície (SMD),encapsulamento 0603, resistencia de 200 ohms, tolerAncia 1por cento,  potencia 0,1(1/10)W (2010102520)</v>
          </cell>
        </row>
        <row r="766">
          <cell r="B766">
            <v>2010104060</v>
          </cell>
          <cell r="D766">
            <v>20660936</v>
          </cell>
          <cell r="E766">
            <v>85332120</v>
          </cell>
          <cell r="F766">
            <v>85332120</v>
          </cell>
          <cell r="H766" t="str">
            <v>RESISTOR (RESISTeNCIA ELeTRICA FIXA) PRoPRIO PARA MONTAGEM EM SUPERFÍCIE SMD  2.4kO 1por cento 100ppm POTeNCIA DE 1/8W 0805 (2010104060) SMD</v>
          </cell>
        </row>
        <row r="767">
          <cell r="B767">
            <v>2010103160</v>
          </cell>
          <cell r="D767">
            <v>20633678</v>
          </cell>
          <cell r="E767">
            <v>85332120</v>
          </cell>
          <cell r="F767">
            <v>85332120</v>
          </cell>
          <cell r="H767" t="str">
            <v>RESISTOR (RESISTeNCIA ELeTRICA FIXA) PRoPRIO PARA MONTAGEM EM SUPERFÍCIE SMD  51O 5por cento 100ppm POTeNCIA DE 1/8W 0805 (2010103160) SMD</v>
          </cell>
        </row>
        <row r="768">
          <cell r="B768">
            <v>2010101770</v>
          </cell>
          <cell r="D768">
            <v>20633673</v>
          </cell>
          <cell r="E768">
            <v>85332120</v>
          </cell>
          <cell r="F768">
            <v>85332120</v>
          </cell>
          <cell r="G768">
            <v>85332120</v>
          </cell>
          <cell r="H768" t="str">
            <v>RESISTOR (RESISTeNCIA ELeTRICA FIXA) PRoPRIO PARA MONTAGEM EM SUPERFÍCIE SMD  2M 1por cento 100ppm POTeNCIA DE 1/16W 0402 (2010101770) (SMD)</v>
          </cell>
        </row>
        <row r="769">
          <cell r="B769">
            <v>2010103720</v>
          </cell>
          <cell r="D769">
            <v>20660953</v>
          </cell>
          <cell r="E769">
            <v>85332120</v>
          </cell>
          <cell r="F769">
            <v>85332120</v>
          </cell>
          <cell r="H769" t="str">
            <v>RESISTOR (RESISTeNCIA ELeTRICA FIXA) PRoPRIO PARA MONTAGEM EM SUPERFÍCIE SMD  330k 1por cento 100ppm POTeNCIA DE 1/8W 0805 (2010103720) SMD</v>
          </cell>
        </row>
        <row r="770">
          <cell r="B770">
            <v>2010101850</v>
          </cell>
          <cell r="D770">
            <v>20660919</v>
          </cell>
          <cell r="E770">
            <v>85332120</v>
          </cell>
          <cell r="F770">
            <v>85332120</v>
          </cell>
          <cell r="G770">
            <v>85332120</v>
          </cell>
          <cell r="H770" t="str">
            <v>RESISTOR (RESISTeNCIA ELeTRICA FIXA) PRoPRIO PARA MONTAGEM EM SUPERFÍCIE SMD  120kO1por cento 100ppm POTeNCIA DE 1/16W 0402  (2010101850) SMD</v>
          </cell>
        </row>
        <row r="771">
          <cell r="B771">
            <v>2010102370</v>
          </cell>
          <cell r="D771">
            <v>20660952</v>
          </cell>
          <cell r="E771">
            <v>85332120</v>
          </cell>
          <cell r="F771">
            <v>85332120</v>
          </cell>
          <cell r="G771">
            <v>85332120</v>
          </cell>
          <cell r="H771" t="str">
            <v>RESISTOR (RESISTeNCIA ELeTRICA FIXA) PRoPRIO PARA MONTAGEM EM SUPERFÍCIE SMD  30kO 1por cento 100ppm POTeNCIA DE 1/10W 0603 (2010102370) SMD</v>
          </cell>
        </row>
        <row r="772">
          <cell r="B772">
            <v>2010102260</v>
          </cell>
          <cell r="D772">
            <v>20660951</v>
          </cell>
          <cell r="E772">
            <v>85332120</v>
          </cell>
          <cell r="F772">
            <v>85332120</v>
          </cell>
          <cell r="G772">
            <v>85332120</v>
          </cell>
          <cell r="H772" t="str">
            <v>RESISTOR (RESISTeNCIA ELeTRICA FIXA) PRoPRIO PARA MONTAGEM EM SUPERFÍCIE SMD  120kO 1por cento 100ppm POTeNCIA DE 1/10W 0603 (2010102260) SMD</v>
          </cell>
        </row>
        <row r="773">
          <cell r="B773">
            <v>2010101400</v>
          </cell>
          <cell r="D773">
            <v>20660949</v>
          </cell>
          <cell r="E773">
            <v>85332120</v>
          </cell>
          <cell r="F773">
            <v>85332120</v>
          </cell>
          <cell r="G773">
            <v>85332120</v>
          </cell>
          <cell r="H773" t="str">
            <v>RESISTOR (RESISTeNCIA ELeTRICA FIXA) PRoPRIO PARA MONTAGEM EM SUPERFÍCIE SMD  2.2kO 5por cento 100ppm POTeNCIA DE 1/10W 0603 (2010101400) SMD</v>
          </cell>
        </row>
        <row r="774">
          <cell r="B774">
            <v>2010102170</v>
          </cell>
          <cell r="D774">
            <v>20660950</v>
          </cell>
          <cell r="E774">
            <v>85332120</v>
          </cell>
          <cell r="F774">
            <v>85332120</v>
          </cell>
          <cell r="G774">
            <v>85332120</v>
          </cell>
          <cell r="H774" t="str">
            <v>RESISTOR (RESISTeNCIA ELeTRICA FIXA) PRoPRIO PARA MONTAGEM EM SUPERFÍCIE SMD  24kR 1por cento 100ppm POTeNCIA DE 1/10W 0603 (2010102170) SMD</v>
          </cell>
        </row>
        <row r="775">
          <cell r="B775">
            <v>2010102200</v>
          </cell>
          <cell r="D775">
            <v>20624457</v>
          </cell>
          <cell r="E775">
            <v>85332120</v>
          </cell>
          <cell r="F775">
            <v>85332120</v>
          </cell>
          <cell r="H775" t="str">
            <v>RESISTOR (RESISTeNCIA ELeTRICA FIXA) PRoPRIO PARA MONTAGEM EM SUPERFÍCIE SMD  110kO 1por cento 100ppm POTeNCIA DE 1/10W 0603 (2010102200) SMD</v>
          </cell>
        </row>
        <row r="776">
          <cell r="B776">
            <v>2010102500</v>
          </cell>
          <cell r="D776">
            <v>20624458</v>
          </cell>
          <cell r="E776">
            <v>85332120</v>
          </cell>
          <cell r="F776">
            <v>85332120</v>
          </cell>
          <cell r="H776" t="str">
            <v>RESISTOR (RESISTeNCIA ELeTRICA FIXA) PRoPRIO PARA MONTAGEM EM SUPERFÍCIE SMD  1.2kO 1por cento 100ppm POTeNCIA DE 1/10W 0603 (2010102500) SMD</v>
          </cell>
        </row>
        <row r="777">
          <cell r="B777">
            <v>2010100070</v>
          </cell>
          <cell r="D777">
            <v>20660959</v>
          </cell>
          <cell r="E777">
            <v>85332120</v>
          </cell>
          <cell r="F777">
            <v>85332120</v>
          </cell>
          <cell r="G777">
            <v>85332120</v>
          </cell>
          <cell r="H777" t="str">
            <v>RESISTOR (RESISTeNCIA ELeTRICA FIXA) PRoPRIO PARA MONTAGEM EM SUPERFÍCIE SMD  3R 1por cento 200.0ppm POTeNCIA DE 1/4W 1206 (2010100070) SMD</v>
          </cell>
        </row>
        <row r="778">
          <cell r="B778">
            <v>2010104200</v>
          </cell>
          <cell r="D778">
            <v>20633680</v>
          </cell>
          <cell r="E778">
            <v>85332120</v>
          </cell>
          <cell r="F778">
            <v>85332120</v>
          </cell>
          <cell r="G778">
            <v>85332120</v>
          </cell>
          <cell r="H778" t="str">
            <v>RESISTOR (RESISTeNCIA ELeTRICA FIXA) PRoPRIO PARA MONTAGEM EM SUPERFÍCIE SMD  3k 1por cento 100.0ppm POTeNCIA DE 1/8W 0805 SMD (2010104200)</v>
          </cell>
        </row>
        <row r="779">
          <cell r="B779">
            <v>2010104940</v>
          </cell>
          <cell r="D779">
            <v>20660935</v>
          </cell>
          <cell r="E779">
            <v>85332120</v>
          </cell>
          <cell r="F779">
            <v>85332120</v>
          </cell>
          <cell r="H779" t="str">
            <v>RESISTOR (RESISTeNCIA ELeTRICA FIXA) PRoPRIO PARA MONTAGEM EM SUPERFÍCIE SMD  20kO1por cento 100ppm POTeNCIA DE 1/4W 1206 (2010104940) SMD</v>
          </cell>
        </row>
        <row r="780">
          <cell r="B780">
            <v>2010500202</v>
          </cell>
          <cell r="D780">
            <v>20660958</v>
          </cell>
          <cell r="E780">
            <v>85332190</v>
          </cell>
          <cell r="F780">
            <v>85332190</v>
          </cell>
          <cell r="G780">
            <v>85332190</v>
          </cell>
          <cell r="H780" t="str">
            <v>RESISTOR (RESISTeNCIA ELeTRICA FIXA) PRoPRIO PARA MONTAGEM EM SUPERFÍCIE PTH, DE POTeNCIA 3W 51R 5por cento 5.5*15mm Anti-Surto (2010500202)</v>
          </cell>
        </row>
        <row r="781">
          <cell r="B781">
            <v>2150129310</v>
          </cell>
          <cell r="D781">
            <v>20610142</v>
          </cell>
          <cell r="E781">
            <v>85340033</v>
          </cell>
          <cell r="F781" t="str">
            <v>Not applicable</v>
          </cell>
          <cell r="G781">
            <v>85340033</v>
          </cell>
          <cell r="H781" t="str">
            <v>PLACA DE CIRCUITO IMPRESSO DE NATUREZA DO MATERIAL BASE RÍGIDO, COMPOSIcAO DA PLACA COM ISOLANTE DE RESINA EPoXIDA E TECIDO DE FIBRA DE VIDRO, ESTRUTURA DE DUPLA FACE, E INTERLIGAcAO ENTRE FACES COM FUROS METALIZADOS, 2 280mm 73.5mm1.6mm 6 RoHS (2150129310)</v>
          </cell>
        </row>
        <row r="782">
          <cell r="B782">
            <v>2150127650</v>
          </cell>
          <cell r="D782">
            <v>20610144</v>
          </cell>
          <cell r="E782">
            <v>85340033</v>
          </cell>
          <cell r="F782" t="str">
            <v>Not applicable</v>
          </cell>
          <cell r="G782">
            <v>85340033</v>
          </cell>
          <cell r="H782" t="str">
            <v>PLACA DE CIRCUITO IMPRESSO DE NATUREZA DO MATERIAL BASE RÍGIDO, COMPOSIcAO DA PLACA COM ISOLANTE DE RESINA EPoXIDA E TECIDO DE FIBRA DE VIDRO, ESTRUTURA DE DUPLA FACE, E INTERLIGAcAO ENTRE FACES COM FUROS METALIZADOS, 2 273mm 156mm 1.6mm 6 RoHS (2150127650 ) SMD</v>
          </cell>
        </row>
        <row r="783">
          <cell r="B783">
            <v>2150127460</v>
          </cell>
          <cell r="D783">
            <v>20610143</v>
          </cell>
          <cell r="E783">
            <v>85340033</v>
          </cell>
          <cell r="F783" t="str">
            <v>Not applicable</v>
          </cell>
          <cell r="G783">
            <v>85340033</v>
          </cell>
          <cell r="H783" t="str">
            <v>PLACA DE CIRCUITO IMPRESSO DE NATUREZA DO MATERIAL BASE RÍGIDO, COMPOSIcAO DA PLACA COM ISOLANTE DE RESINA EPoXIDA E TECIDO DE FIBRA DE VIDRO, ESTRUTURA DE DUPLA FACE, E INTERLIGAcAO ENTRE FACES COM FUROS METALIZADOS, LOOP 2 266.2mm 213.4mm 1.6mm 384 ROHS (2150127460) PTH</v>
          </cell>
        </row>
        <row r="784">
          <cell r="B784">
            <v>2150130180</v>
          </cell>
          <cell r="D784">
            <v>20680215</v>
          </cell>
          <cell r="E784">
            <v>85340033</v>
          </cell>
          <cell r="F784" t="str">
            <v>Not applicable</v>
          </cell>
          <cell r="G784">
            <v>85340033</v>
          </cell>
          <cell r="H784" t="str">
            <v>PLACA DE CIRCUITO IMPRESSO DE NATUREZA DO MATERIAL BASE RÍGIDO, COMPOSIcAO DA PLACA COM ISOLANTE DE RESINA EPoXIDA E TECIDO DE FIBRA DE VIDRO, ESTRUTURA DE DUPLA FACE, E INTERLIGAcAO ENTRE FACES COM FUROS METALIZADOS, 2 206mm 117mm 1.6mm 1 RoHS SMD (2150130180)</v>
          </cell>
        </row>
        <row r="785">
          <cell r="B785">
            <v>2150129750</v>
          </cell>
          <cell r="D785">
            <v>20661716</v>
          </cell>
          <cell r="E785">
            <v>85340033</v>
          </cell>
          <cell r="F785" t="str">
            <v>Not applicable</v>
          </cell>
          <cell r="G785">
            <v>85340033</v>
          </cell>
          <cell r="H785" t="str">
            <v>PLACA DE CIRCUITO IMPRESSO DE NATUREZA DO MATERIAL BASE RÍGIDO, COMPOSIcAO DA PLACA COM ISOLANTE DE RESINA EPoXIDA E TECIDO DE FIBRA DE VIDRO, ESTRUTURA DE DUPLA FACE, E INTERLIGAcAO ENTRE FACES COM FUROS METALIZADOS, 2 164mm 222.05mm 1.6mm 1 RoHS (2150129750) SMD</v>
          </cell>
        </row>
        <row r="786">
          <cell r="B786">
            <v>2150131520</v>
          </cell>
          <cell r="D786">
            <v>20610146</v>
          </cell>
          <cell r="E786">
            <v>85340033</v>
          </cell>
          <cell r="F786" t="str">
            <v>Not applicable</v>
          </cell>
          <cell r="G786">
            <v>85340033</v>
          </cell>
          <cell r="H786" t="str">
            <v>PLACA DE CIRCUITO IMPRESSO DE NATUREZA DO MATERIAL BASE RÍGIDO, COMPOSIcAO DA PLACA COM ISOLANTE DE RESINA EPoXIDA E TECIDO DE FIBRA DE VIDRO, ESTRUTURA DE DUPLA FACE, E INTERLIGAcAO ENTRE FACES COM FUROS METALIZADOS, 2 280 mm; 73,5 mm; 1,6 mm RoHS (2150131520) SMD</v>
          </cell>
        </row>
        <row r="787">
          <cell r="B787">
            <v>2150131760</v>
          </cell>
          <cell r="D787">
            <v>20680222</v>
          </cell>
          <cell r="E787">
            <v>85340033</v>
          </cell>
          <cell r="F787" t="str">
            <v>Not applicable</v>
          </cell>
          <cell r="G787">
            <v>85340033</v>
          </cell>
          <cell r="H787" t="str">
            <v>PLACA DE CIRCUITO IMPRESSO DE NATUREZA DO MATERIAL BASE RÍGIDO, COMPOSIcAO DA PLACA COM ISOLANTE DE RESINA EPoXIDA E TECIDO DE FIBRA DE VIDRO, ESTRUTURA DE DUPLA FACE, E INTERLIGAcAO ENTRE FACES COM FUROS METALIZADOS, 2 144*173.68*1.6mm/1 (2150131760) SMD</v>
          </cell>
        </row>
        <row r="788">
          <cell r="B788">
            <v>2150131020</v>
          </cell>
          <cell r="D788">
            <v>20661719</v>
          </cell>
          <cell r="E788">
            <v>85340033</v>
          </cell>
          <cell r="F788" t="str">
            <v>Not applicable</v>
          </cell>
          <cell r="G788">
            <v>85340033</v>
          </cell>
          <cell r="H788" t="str">
            <v>PLACA DE CIRCUITO IMPRESSO DE NATUREZA DO MATERIAL BASE RÍGIDO, COMPOSIcAO DA PLACA COM ISOLANTE DE RESINA EPoXIDA E TECIDO DE FIBRA DE VIDRO, ESTRUTURA DE DUPLA FACE, E INTERLIGAcAO ENTRE FACES COM FUROS METALIZADOS, 2 101.81 mm 322.0 mm 1.6 mm nAo-RoHS (2150131020) SMD</v>
          </cell>
        </row>
        <row r="789">
          <cell r="B789">
            <v>2150129710</v>
          </cell>
          <cell r="D789">
            <v>20661720</v>
          </cell>
          <cell r="E789">
            <v>85340033</v>
          </cell>
          <cell r="F789" t="str">
            <v>Not applicable</v>
          </cell>
          <cell r="G789">
            <v>85340033</v>
          </cell>
          <cell r="H789" t="str">
            <v>PLACA DE CIRCUITO IMPRESSO DE NATUREZA DO MATERIAL BASE RÍGIDO, COMPOSIcAO DA PLACA COM ISOLANTE DE RESINA EPoXIDA E TECIDO DE FIBRA DE VIDRO, ESTRUTURA DE DUPLA FACE, E INTERLIGAcAO ENTRE FACES COM FUROS METALIZADOS, 2 189.99 mm 150.0 mm 1.6 mm nAo-RoHS (2150129710) SMD</v>
          </cell>
        </row>
        <row r="790">
          <cell r="B790">
            <v>2150133200</v>
          </cell>
          <cell r="D790">
            <v>20680225</v>
          </cell>
          <cell r="E790">
            <v>85340033</v>
          </cell>
          <cell r="F790" t="str">
            <v>Not applicable</v>
          </cell>
          <cell r="G790">
            <v>85340033</v>
          </cell>
          <cell r="H790" t="str">
            <v>PLACA DE CIRCUITO IMPRESSO DE NATUREZA DO MATERIAL BASE RÍGIDO, COMPOSIcAO DA PLACA COM ISOLANTE DE RESINA EPoXIDA E TECIDO DE FIBRA DE VIDRO, ESTRUTURA DE DUPLA FACE, E INTERLIGAcAO ENTRE FACES COM FUROS METALIZADOS, 2.0 206.0mm 117.0mm 1.6mm 1.0 RoHS (2150133200) SMD</v>
          </cell>
        </row>
        <row r="791">
          <cell r="B791">
            <v>2150131950</v>
          </cell>
          <cell r="D791">
            <v>20680223</v>
          </cell>
          <cell r="E791">
            <v>85340033</v>
          </cell>
          <cell r="F791" t="str">
            <v>Not applicable</v>
          </cell>
          <cell r="G791">
            <v>85340033</v>
          </cell>
          <cell r="H791" t="str">
            <v>PLACA DE CIRCUITO IMPRESSO DE NATUREZA DO MATERIAL BASE RÍGIDO, COMPOSIcAO DA PLACA COM ISOLANTE DE RESINA EPoXIDA E TECIDO DE FIBRA DE VIDRO, ESTRUTURA DE DUPLA FACE, E INTERLIGAcAO ENTRE FACES COM FUROS METALIZADOS, 2 144*249*1.6mm/3 (2150131950) SMD</v>
          </cell>
        </row>
        <row r="792">
          <cell r="B792">
            <v>2150132250</v>
          </cell>
          <cell r="D792">
            <v>20661718</v>
          </cell>
          <cell r="E792">
            <v>85340033</v>
          </cell>
          <cell r="F792" t="str">
            <v>Not applicable</v>
          </cell>
          <cell r="G792">
            <v>85340033</v>
          </cell>
          <cell r="H792" t="str">
            <v>PLACA DE CIRCUITO IMPRESSO DE NATUREZA DO MATERIAL BASE RÍGIDO, COMPOSIcAO DA PLACA COM ISOLANTE DE RESINA EPoXIDA E TECIDO DE FIBRA DE VIDRO, ESTRUTURA DE DUPLA FACE, E INTERLIGAcAO ENTRE FACES COM FUROS METALIZADOS, 2 273mm 156mm 1.6mm 6 RoHS (2150132250) SMD</v>
          </cell>
        </row>
        <row r="793">
          <cell r="B793">
            <v>2150132240</v>
          </cell>
          <cell r="D793">
            <v>20661717</v>
          </cell>
          <cell r="E793">
            <v>85340033</v>
          </cell>
          <cell r="F793" t="str">
            <v>Not applicable</v>
          </cell>
          <cell r="G793">
            <v>85340033</v>
          </cell>
          <cell r="H793" t="str">
            <v>PLACA DE CIRCUITO IMPRESSO DE NATUREZA DO MATERIAL BASE RÍGIDO, COMPOSIcAO DA PLACA COM ISOLANTE DE RESINA EPoXIDA E TECIDO DE FIBRA DE VIDRO, ESTRUTURA DE DUPLA FACE, E INTERLIGAcAO ENTRE FACES COM FUROS METALIZADOS, 2 266.2mm 213.4mm;1.6mm 384 ROHS (2150132240) PTH</v>
          </cell>
        </row>
        <row r="794">
          <cell r="B794">
            <v>2150135300</v>
          </cell>
          <cell r="D794">
            <v>20610150</v>
          </cell>
          <cell r="E794">
            <v>85340033</v>
          </cell>
          <cell r="F794" t="str">
            <v>Not applicable</v>
          </cell>
          <cell r="G794">
            <v>85340033</v>
          </cell>
          <cell r="H794" t="str">
            <v>PLACA DE CIRCUITO IMPRESSO DE NATUREZA DO MATERIAL BASE RÍGIDO, COMPOSIcAO DA PLACA COM ISOLANTE DE RESINA EPoXIDA E TECIDO DE FIBRA DE VIDRO, ESTRUTURA DE DUPLA FACE, E INTERLIGAcAO ENTRE FACES COM FUROS METALIZADOS, 2 146*306.92*1.6mm/2 SMD (2150135300)</v>
          </cell>
        </row>
        <row r="795">
          <cell r="B795">
            <v>2150133560</v>
          </cell>
          <cell r="D795">
            <v>20661721</v>
          </cell>
          <cell r="E795">
            <v>85340033</v>
          </cell>
          <cell r="F795" t="str">
            <v>Not applicable</v>
          </cell>
          <cell r="G795">
            <v>85340033</v>
          </cell>
          <cell r="H795" t="str">
            <v>PLACA DE CIRCUITO IMPRESSO DE NATUREZA DO MATERIAL BASE RÍGIDO, COMPOSIcAO DA PLACA COM ISOLANTE DE RESINA EPoXIDA E TECIDO DE FIBRA DE VIDRO, ESTRUTURA DE DUPLA FACE, E INTERLIGAcAO ENTRE FACES COM FUROS METALIZADOS, 2 189.99 mm 150.0 mm 1.6 mm nAo-RoHS (2150133560) SMD</v>
          </cell>
        </row>
        <row r="796">
          <cell r="B796">
            <v>2150134280</v>
          </cell>
          <cell r="D796">
            <v>20680232</v>
          </cell>
          <cell r="E796">
            <v>85340033</v>
          </cell>
          <cell r="F796" t="str">
            <v>Not applicable</v>
          </cell>
          <cell r="G796">
            <v>85340033</v>
          </cell>
          <cell r="H796" t="str">
            <v>PLACA DE CIRCUITO IMPRESSO DE NATUREZA DO MATERIAL BASE RÍGIDO, COMPOSIcAO DA PLACA COM ISOLANTE DE RESINA EPoXIDA E TECIDO DE FIBRA DE VIDRO, ESTRUTURA DE DUPLA FACE, E INTERLIGAcAO ENTRE FACES COM FUROS METALIZADOS, 2 101.79mm*322.0mm*1.6mm/2 nAo-RoHS (2150134280) SMD</v>
          </cell>
        </row>
        <row r="797">
          <cell r="B797">
            <v>2150136420</v>
          </cell>
          <cell r="D797">
            <v>20680230</v>
          </cell>
          <cell r="E797">
            <v>85340033</v>
          </cell>
          <cell r="F797" t="str">
            <v>Not applicable</v>
          </cell>
          <cell r="G797">
            <v>85340033</v>
          </cell>
          <cell r="H797" t="str">
            <v>PLACA DE CIRCUITO IMPRESSO DE NATUREZA DO MATERIAL BASE RÍGIDO, COMPOSIcAO DA PLACA COM ISOLANTE DE RESINA EPoXIDA E TECIDO DE FIBRA DE VIDRO, ESTRUTURA DE DUPLA FACE, E INTERLIGAcAO ENTRE FACES COM FUROS METALIZADOS, 2 206.0*117.0*1.6mm/1 nAo-RoHS (2150136420) SMD</v>
          </cell>
        </row>
        <row r="798">
          <cell r="B798">
            <v>2150136740</v>
          </cell>
          <cell r="D798">
            <v>20610152</v>
          </cell>
          <cell r="E798">
            <v>85340033</v>
          </cell>
          <cell r="F798" t="str">
            <v>Not applicable</v>
          </cell>
          <cell r="G798">
            <v>85340033</v>
          </cell>
          <cell r="H798" t="str">
            <v>PLACA DE CIRCUITO IMPRESSO DE NATUREZA DO MATERIAL BASE RÍGIDO, COMPOSIcAO DA PLACA COM ISOLANTE DE RESINA EPoXIDA E TECIDO DE FIBRA DE VIDRO, ESTRUTURA DE DUPLA FACE, E INTERLIGAcAO ENTRE FACES COM FUROS METALIZADOS, 2 104.99mm*322.0mm*1.6mm/2 nAo-RoHS SMD (2150136740)</v>
          </cell>
        </row>
        <row r="799">
          <cell r="B799">
            <v>3010907830</v>
          </cell>
          <cell r="D799">
            <v>21500017</v>
          </cell>
          <cell r="E799">
            <v>85352100</v>
          </cell>
          <cell r="F799">
            <v>85352100</v>
          </cell>
          <cell r="H799" t="str">
            <v>DPS - Dispositivo de ProtecAo contra Surtos</v>
          </cell>
        </row>
        <row r="800">
          <cell r="B800">
            <v>6001005320</v>
          </cell>
          <cell r="D800">
            <v>40700104</v>
          </cell>
          <cell r="E800">
            <v>85352100</v>
          </cell>
          <cell r="F800">
            <v>85352100</v>
          </cell>
          <cell r="H800" t="str">
            <v>Chave disjuntora de tensAo 27kV 630A 16kA - para protecAo de circuito eletrico de religador (6001005320)</v>
          </cell>
        </row>
        <row r="801">
          <cell r="B801">
            <v>6001005340</v>
          </cell>
          <cell r="D801">
            <v>40700103</v>
          </cell>
          <cell r="E801">
            <v>85352100</v>
          </cell>
          <cell r="F801">
            <v>85352100</v>
          </cell>
          <cell r="H801" t="str">
            <v>Chave disjuntora de tensAo 15.5kV 630A 16kA - para protecAo de circuito eletrico de religador (6001005340)</v>
          </cell>
        </row>
        <row r="802">
          <cell r="B802">
            <v>2140101990</v>
          </cell>
          <cell r="D802">
            <v>21590000</v>
          </cell>
          <cell r="E802">
            <v>85354010</v>
          </cell>
          <cell r="F802">
            <v>85354010</v>
          </cell>
          <cell r="H802" t="str">
            <v>Para-raio para ProtecAo de Linhas de TransmissAo de Eletricidade (2140101990)</v>
          </cell>
        </row>
        <row r="803">
          <cell r="B803" t="str">
            <v>201-000100</v>
          </cell>
          <cell r="D803">
            <v>21500032</v>
          </cell>
          <cell r="E803">
            <v>85363090</v>
          </cell>
          <cell r="F803">
            <v>85363090</v>
          </cell>
          <cell r="H803" t="str">
            <v>lightning arrestor (201-000100)</v>
          </cell>
        </row>
        <row r="804">
          <cell r="B804">
            <v>3010312910</v>
          </cell>
          <cell r="D804">
            <v>20691958</v>
          </cell>
          <cell r="E804">
            <v>85364100</v>
          </cell>
          <cell r="F804">
            <v>85364100</v>
          </cell>
          <cell r="G804">
            <v>85364100</v>
          </cell>
          <cell r="H804" t="str">
            <v>RELe DE TENSAO 12V, FORMA CONSTRUTIVA ELETROMECANICO, DE PESO LÍQUIDO APROXIMADO DE 60g a 75g, 100A (120µO) 30103-EN70-01 (3010312910) PTH</v>
          </cell>
        </row>
        <row r="805">
          <cell r="B805">
            <v>2090502610</v>
          </cell>
          <cell r="D805">
            <v>20661959</v>
          </cell>
          <cell r="E805">
            <v>85369040</v>
          </cell>
          <cell r="F805">
            <v>85369040</v>
          </cell>
          <cell r="G805">
            <v>85369040</v>
          </cell>
          <cell r="H805" t="str">
            <v>Conector para circuito impresso, de tensAo ate 320V - bloco de terminais plugaveis, macho, tipo Header horizontal, proprio para montagem por insercAo(PTH),  1*4 com 5.08mm de espacamento entre pinos. (2090502610)</v>
          </cell>
        </row>
        <row r="806">
          <cell r="B806">
            <v>2090103120</v>
          </cell>
          <cell r="D806">
            <v>20661927</v>
          </cell>
          <cell r="E806">
            <v>85369040</v>
          </cell>
          <cell r="F806">
            <v>85369040</v>
          </cell>
          <cell r="G806">
            <v>85369040</v>
          </cell>
          <cell r="H806" t="str">
            <v xml:space="preserve">Conector para circuito impresso, de tensAo ate 320V, de 12 vias femea para montagem por insercAo (PTH), 2/6*12P com espacamento de  2.54mm entre os terminais (2090103120)
</v>
          </cell>
        </row>
        <row r="807">
          <cell r="B807">
            <v>2090501690</v>
          </cell>
          <cell r="D807">
            <v>20661928</v>
          </cell>
          <cell r="E807">
            <v>85369040</v>
          </cell>
          <cell r="F807">
            <v>85369040</v>
          </cell>
          <cell r="G807">
            <v>85369040</v>
          </cell>
          <cell r="H807" t="str">
            <v xml:space="preserve">Conector para circuito impresso, de tensAo ate 320V, de tres vias macho para montagem por insercAo (PTH), 1*3Pin com espacamento de  2.54mm entre os terminais (2090501690)
</v>
          </cell>
        </row>
        <row r="808">
          <cell r="B808">
            <v>2090100411</v>
          </cell>
          <cell r="D808">
            <v>20661929</v>
          </cell>
          <cell r="E808">
            <v>85369040</v>
          </cell>
          <cell r="F808">
            <v>85369040</v>
          </cell>
          <cell r="G808">
            <v>85369040</v>
          </cell>
          <cell r="H808" t="str">
            <v xml:space="preserve">Conector para circuito impresso, de tensAo ate 320V, de 12 vias femea para montagem por insercAo (PTH), 2/6*12P com espacamento de  2.54mm entre os terminais (2090100411)
</v>
          </cell>
        </row>
        <row r="809">
          <cell r="B809">
            <v>3011300030</v>
          </cell>
          <cell r="D809">
            <v>21500018</v>
          </cell>
          <cell r="E809">
            <v>85369090</v>
          </cell>
          <cell r="F809">
            <v>85369090</v>
          </cell>
          <cell r="H809" t="str">
            <v>Conector para conexAo de circuito eletrico com tensAo ate 320V (3011300030)</v>
          </cell>
        </row>
        <row r="810">
          <cell r="B810">
            <v>2090305050</v>
          </cell>
          <cell r="D810">
            <v>20691560</v>
          </cell>
          <cell r="E810">
            <v>85369090</v>
          </cell>
          <cell r="F810">
            <v>85369090</v>
          </cell>
          <cell r="H810" t="str">
            <v>PINO DUPLO MACHO PARA CONEXAO DE CIRCUITO ELeTRICO COM TENSAO ATe 320 V - 2x6 2.54mm 9 and 10 pin space length 16.0mm (2090305050) PTH</v>
          </cell>
        </row>
        <row r="811">
          <cell r="B811">
            <v>2090502040</v>
          </cell>
          <cell r="D811">
            <v>20691549</v>
          </cell>
          <cell r="E811">
            <v>85369040</v>
          </cell>
          <cell r="F811">
            <v>85369040</v>
          </cell>
          <cell r="G811">
            <v>85369040</v>
          </cell>
          <cell r="H811" t="str">
            <v>Conector para circuito impresso, de tensAo ate 320V, bloco de terminais plugaveis, femea, tipo Header vertical, proprio para montagem por insercAo(PTH), 1*4 com 5.08mm de espacamento entre pinos. (2090502040)</v>
          </cell>
        </row>
        <row r="812">
          <cell r="B812">
            <v>5130000120</v>
          </cell>
          <cell r="D812">
            <v>64100001</v>
          </cell>
          <cell r="E812">
            <v>85371090</v>
          </cell>
          <cell r="F812">
            <v>85371090</v>
          </cell>
          <cell r="H812" t="str">
            <v>Controlador para religador de energia eletrica, para tensAo nAo superior a 1.000 V(5130000120)</v>
          </cell>
        </row>
        <row r="813">
          <cell r="B813">
            <v>6001005330</v>
          </cell>
          <cell r="D813">
            <v>40700007</v>
          </cell>
          <cell r="E813">
            <v>85371090</v>
          </cell>
          <cell r="F813">
            <v>85371090</v>
          </cell>
          <cell r="G813">
            <v>85371090</v>
          </cell>
          <cell r="H813" t="str">
            <v>Controlador para religador de energia eletrica, para tensAo nAo superior a 1.000 V - Control Box Aco Inox - Parede Simples - s/Porta Interna (6001005330)</v>
          </cell>
        </row>
        <row r="814">
          <cell r="B814">
            <v>2060300170</v>
          </cell>
          <cell r="D814">
            <v>20690618</v>
          </cell>
          <cell r="E814">
            <v>85411019</v>
          </cell>
          <cell r="F814">
            <v>85411019</v>
          </cell>
          <cell r="H814" t="str">
            <v>DISPOSITIVO SEMICONDUTOR DO TIPO DIODO TVS NAO MONTADO, DE INTENSIDADE DE CORRENTE 0,005A - 600W 22,5V 5W DO-15 (2060300170) PTH</v>
          </cell>
        </row>
        <row r="815">
          <cell r="B815">
            <v>2060300230</v>
          </cell>
          <cell r="D815">
            <v>20690616</v>
          </cell>
          <cell r="E815">
            <v>85411019</v>
          </cell>
          <cell r="F815">
            <v>85411019</v>
          </cell>
          <cell r="G815">
            <v>85411019</v>
          </cell>
          <cell r="H815" t="str">
            <v>DISPOSITIVO SEMICONDUTOR TIPO DIODO TVS, NAO MONTADO, DE INTENSIDADE DE CORRENTE 20,6A - 600W 29.2V 5W SMB (2060300230) SMD</v>
          </cell>
        </row>
        <row r="816">
          <cell r="B816">
            <v>2060100701</v>
          </cell>
          <cell r="D816">
            <v>20690612</v>
          </cell>
          <cell r="E816">
            <v>85411021</v>
          </cell>
          <cell r="F816">
            <v>85411021</v>
          </cell>
          <cell r="G816">
            <v>85411021</v>
          </cell>
          <cell r="H816" t="str">
            <v>DISPOSITIVO SEMICONDUTOR TIPO DIODO ZENER, MONTADO, PRoPRIO PARA MONTAGEM EM SUPERFÍCIE SMD DE INTENSIDADE DE CORRENTE 1A (2060100701) SMD</v>
          </cell>
        </row>
        <row r="817">
          <cell r="B817">
            <v>2060100331</v>
          </cell>
          <cell r="D817">
            <v>20690613</v>
          </cell>
          <cell r="E817">
            <v>85411021</v>
          </cell>
          <cell r="F817">
            <v>85411021</v>
          </cell>
          <cell r="H817" t="str">
            <v>DISPOSITIVO SEMICONDUTOR TIPO DIODO ZENER, MONTADO, PRoPRIO PARA MONTAGEM EM SUPERFÍCIE SMD DE INTENSIDADE DE CORRENTE 0,2A (2060100331) SMD</v>
          </cell>
        </row>
        <row r="818">
          <cell r="B818">
            <v>2060300020</v>
          </cell>
          <cell r="D818">
            <v>20680304</v>
          </cell>
          <cell r="E818">
            <v>85411039</v>
          </cell>
          <cell r="F818">
            <v>85411039</v>
          </cell>
          <cell r="G818">
            <v>85411039</v>
          </cell>
          <cell r="H818" t="str">
            <v>Dispositivo semicondutor tipo Diodo TVS, montado, proprio para montagem por insercAo PTH de intensidade de corrente 67,6A (2060300020)</v>
          </cell>
        </row>
        <row r="819">
          <cell r="B819">
            <v>2060500241</v>
          </cell>
          <cell r="D819">
            <v>20630808</v>
          </cell>
          <cell r="E819">
            <v>85411021</v>
          </cell>
          <cell r="F819">
            <v>85411021</v>
          </cell>
          <cell r="G819">
            <v>85411021</v>
          </cell>
          <cell r="H819" t="str">
            <v>DISPOSITIVO SEMICONDUTOR TIPO DIODO ZENER, MONTADO, PRoPRIO PARA MONTAGEM EM SUPERFÍCIE SMD DE INTENSIDADE DE CORRENTE 0,005A (2060500241)</v>
          </cell>
        </row>
        <row r="820">
          <cell r="B820">
            <v>2061100101</v>
          </cell>
          <cell r="D820">
            <v>20690614</v>
          </cell>
          <cell r="E820">
            <v>85411022</v>
          </cell>
          <cell r="F820">
            <v>85411022</v>
          </cell>
          <cell r="H820" t="str">
            <v>DISPOSITIVO SEMICONDUTOR TIPO DIODO RETIFICADOR, MONTADO, PRoPRIO PARA MONTAGEM EM SUPERFÍCIE SMD, DE INTENSIDADE DE CORRENTE 0,8A (2061100101) SMD</v>
          </cell>
        </row>
        <row r="821">
          <cell r="B821">
            <v>2069900051</v>
          </cell>
          <cell r="D821">
            <v>20690615</v>
          </cell>
          <cell r="E821">
            <v>85411022</v>
          </cell>
          <cell r="F821">
            <v>85411022</v>
          </cell>
          <cell r="G821">
            <v>85411022</v>
          </cell>
          <cell r="H821" t="str">
            <v>DISPOSITIVO SEMICONDUTOR TIPO DIODO PESD, MONTADO, PRoPRIO PARA MONTAGEM EM SUPERFÍCIE SMD, DE INTENSIDADE DE CORRENTE 0,0001A (2069900051) SMD</v>
          </cell>
        </row>
        <row r="822">
          <cell r="B822">
            <v>2060500381</v>
          </cell>
          <cell r="D822">
            <v>20690611</v>
          </cell>
          <cell r="E822">
            <v>85411021</v>
          </cell>
          <cell r="F822">
            <v>85411021</v>
          </cell>
          <cell r="G822">
            <v>85411021</v>
          </cell>
          <cell r="H822" t="str">
            <v>DISPOSITIVO SEMICONDUTOR TIPO DIODO ZENER, MONTADO, PRoPRIO PARA MONTAGEM EM SUPERFÍCIE SMD DE INTENSIDADE DE CORRENTE 0,005A (2060500381)</v>
          </cell>
        </row>
        <row r="823">
          <cell r="B823">
            <v>2060302087</v>
          </cell>
          <cell r="D823">
            <v>20690620</v>
          </cell>
          <cell r="E823">
            <v>85411022</v>
          </cell>
          <cell r="F823">
            <v>85411022</v>
          </cell>
          <cell r="G823">
            <v>85411022</v>
          </cell>
          <cell r="H823" t="str">
            <v>DISPOSITIVO SEMICONDUTOR TIPO DIODO TVS, MONTADO, PRoPRIO PARA MONTAGEM EM SUPERFÍCIE SMD, DE INTENSIDADE DE CORRENTE 1,7A (2060302087)</v>
          </cell>
        </row>
        <row r="824">
          <cell r="B824">
            <v>2060900071</v>
          </cell>
          <cell r="D824">
            <v>20680224</v>
          </cell>
          <cell r="E824">
            <v>85412120</v>
          </cell>
          <cell r="F824">
            <v>85412120</v>
          </cell>
          <cell r="G824">
            <v>85412120</v>
          </cell>
          <cell r="H824" t="str">
            <v>DISPOSITIVO SEMICONDUTOR TIPO TRANSISTOR, MONTADO, PRoPRIO PARA MONTAGEM EM SUPERFÍCIE SMD, DE CAPACIDADE DE DISSIPAcAO 0,225W (2060900071) SMD</v>
          </cell>
        </row>
        <row r="825">
          <cell r="B825">
            <v>2060900052</v>
          </cell>
          <cell r="D825">
            <v>20680228</v>
          </cell>
          <cell r="E825">
            <v>85412120</v>
          </cell>
          <cell r="F825">
            <v>85412120</v>
          </cell>
          <cell r="G825">
            <v>85412120</v>
          </cell>
          <cell r="H825" t="str">
            <v>DISPOSITIVO SEMICONDUTOR TIPO TRANSISTOR, MONTADO, PRoPRIO PARA MONTAGEM EM SUPERFÍCIE SMD, DE CAPACIDADE DE DISSIPAcAO 0,225W (2060900052) SMD</v>
          </cell>
        </row>
        <row r="826">
          <cell r="B826">
            <v>2060900513</v>
          </cell>
          <cell r="D826">
            <v>20680229</v>
          </cell>
          <cell r="E826">
            <v>85412120</v>
          </cell>
          <cell r="F826">
            <v>85412120</v>
          </cell>
          <cell r="G826">
            <v>85412120</v>
          </cell>
          <cell r="H826" t="str">
            <v>Dispositivo semicondutor tipo transistor, montado, proprio para montagem em superfície SMD, de capacidade de dissipacAo de 0,35W (2060900513)</v>
          </cell>
        </row>
        <row r="827">
          <cell r="B827">
            <v>2060900032</v>
          </cell>
          <cell r="D827">
            <v>20680227</v>
          </cell>
          <cell r="E827">
            <v>85412120</v>
          </cell>
          <cell r="F827">
            <v>85412120</v>
          </cell>
          <cell r="G827">
            <v>85412120</v>
          </cell>
          <cell r="H827" t="str">
            <v>DISPOSITIVO SEMICONDUTOR TIPO TRANSISTOR, MONTADO, PRoPRIO PARA MONTAGEM EM SUPERFÍCIE SMD, DE CAPACIDADE DE DISSIPAcAO 0,25W (2060900032) SMD</v>
          </cell>
        </row>
        <row r="828">
          <cell r="B828">
            <v>2060700197</v>
          </cell>
          <cell r="D828">
            <v>20680218</v>
          </cell>
          <cell r="E828">
            <v>85413019</v>
          </cell>
          <cell r="F828">
            <v>85413019</v>
          </cell>
          <cell r="H828" t="str">
            <v>DISPOSITIVO SEMICONDUTOR TIPO TIRISTOR, NAO MONTADO, DE INTENSIDADE DE CORRENTE 4A (2060700197) PTH</v>
          </cell>
        </row>
        <row r="829">
          <cell r="B829">
            <v>2050901371</v>
          </cell>
          <cell r="D829">
            <v>20660350</v>
          </cell>
          <cell r="E829">
            <v>85423120</v>
          </cell>
          <cell r="F829">
            <v>85423120</v>
          </cell>
          <cell r="H829" t="str">
            <v>CIRCUITO INTEGRADO ELETRoNICO CONTROLADOR, MONTADO, PRoPRIO PARA MONTAGEM EM SUPERFÍCIE SMD, MODELO DE PROCESSADOR DE 8 BITS, FREQUeNCIA DE CLOCK 1,4MHZ - FONTE CHAVEADA DCDC 4.5~24V 1200mA V SOT23-6 (2050901371) SMD</v>
          </cell>
        </row>
        <row r="830">
          <cell r="B830">
            <v>2050901331</v>
          </cell>
          <cell r="D830">
            <v>20660351</v>
          </cell>
          <cell r="E830">
            <v>85423120</v>
          </cell>
          <cell r="F830">
            <v>85423120</v>
          </cell>
          <cell r="H830" t="str">
            <v>CIRCUITO INTEGRADO ELETRoNICO CONTROLADOR, MONTADO PRoPRIO PARA MONTAGEM EM SUPERFÍCIE SMD, MODELO DE PROCESSADOR DE 8 BITS, FREQUeNCIA DE CLOCK 8 MHZ - FONTE CHAVEADA ACDC 8.5~15.4V 500mA V SO8 (2050901331) SMD</v>
          </cell>
        </row>
        <row r="831">
          <cell r="B831">
            <v>2050900401</v>
          </cell>
          <cell r="D831">
            <v>20691616</v>
          </cell>
          <cell r="E831">
            <v>85423939</v>
          </cell>
          <cell r="F831">
            <v>85423939</v>
          </cell>
          <cell r="G831">
            <v>85423120</v>
          </cell>
          <cell r="H831" t="str">
            <v>CIRCUITO INTEGRADO ELETRoNICO TIPO REGULADOR DE TENSAO LOW DROP-OUT, MONTADO, PRoPRIO PARA MONTAGEM EM SUPERFÍCIE SMD -  0.7~10V mA 3V SOT-23-3 (2050900401) SMD</v>
          </cell>
        </row>
        <row r="832">
          <cell r="B832">
            <v>2051700111</v>
          </cell>
          <cell r="D832">
            <v>20691808</v>
          </cell>
          <cell r="E832">
            <v>85423120</v>
          </cell>
          <cell r="F832">
            <v>85423120</v>
          </cell>
          <cell r="H832" t="str">
            <v>CIRCUITO INTEGRADO ELETRoNICO CONTROLADOR, MONTADO, PRoPRIO PARA MONTAGEM EM SUPERFÍCIE SMD, MODELO DE PROCESSADOR DE 11 BITS, FREQUeNCIA DE CLOCK 0,4 MHZ - SENSOR DE TEMPERATURA 2.8~5.5V SO8 (SMD) (2051700111)</v>
          </cell>
        </row>
        <row r="833">
          <cell r="B833">
            <v>2051700021</v>
          </cell>
          <cell r="D833">
            <v>20691809</v>
          </cell>
          <cell r="E833">
            <v>85423939</v>
          </cell>
          <cell r="F833">
            <v>85423939</v>
          </cell>
          <cell r="G833">
            <v>85423939</v>
          </cell>
          <cell r="H833" t="str">
            <v>Circuito integrado eletronico tipo conversor analogico/digital de um canal isolado, montado, proprio para montagem em superfície SMD - SOIC-8 (2051700021)</v>
          </cell>
        </row>
        <row r="834">
          <cell r="B834">
            <v>3090307910</v>
          </cell>
          <cell r="D834">
            <v>10410803</v>
          </cell>
          <cell r="E834">
            <v>85444900</v>
          </cell>
          <cell r="F834">
            <v>85444900</v>
          </cell>
          <cell r="G834">
            <v>85444900</v>
          </cell>
          <cell r="H834" t="str">
            <v>Cabo condutor eletrico, de tensAo ate 300V, isolado para uso eletrico, duplo, de cobre revestido com isolamento externo de PVC - 2x0,5mm² 500mm (3090307910)</v>
          </cell>
        </row>
        <row r="835">
          <cell r="B835">
            <v>3090308570</v>
          </cell>
          <cell r="D835">
            <v>20661930</v>
          </cell>
          <cell r="E835">
            <v>85444200</v>
          </cell>
          <cell r="F835">
            <v>85444200</v>
          </cell>
          <cell r="G835">
            <v>85444200</v>
          </cell>
          <cell r="H835" t="str">
            <v>Cabo de extensAo condutor eletrico  UL1007 24AWG 130mm para tensAo nAo superior a 1000 V, munido de pecas de conexAo SCN-3P PH: 2.5mm (3090308570)</v>
          </cell>
        </row>
        <row r="836">
          <cell r="B836">
            <v>2090901681</v>
          </cell>
          <cell r="D836">
            <v>20691550</v>
          </cell>
          <cell r="E836">
            <v>85369040</v>
          </cell>
          <cell r="F836">
            <v>85369040</v>
          </cell>
          <cell r="G836">
            <v>85369040</v>
          </cell>
          <cell r="H836" t="str">
            <v>Conector para circuito impresso, de tensAo 250V, para montagem por insercAo (PTH) de 4 pinos, com distAncia de 2.54mm entre pinos (2090901681)</v>
          </cell>
        </row>
        <row r="837">
          <cell r="B837">
            <v>2090901691</v>
          </cell>
          <cell r="D837">
            <v>20691551</v>
          </cell>
          <cell r="E837">
            <v>85444200</v>
          </cell>
          <cell r="F837">
            <v>85444200</v>
          </cell>
          <cell r="G837">
            <v>85444200</v>
          </cell>
          <cell r="H837" t="str">
            <v>Cabo condutor eletrico com 10 vias revestidas com isolamento, munido de terminais de conexAo para montagem por insercAo (PTH) de 10 pinos cada lado, com distAncia de 2mm entre pinos, tensAo de trabalho ate 250V e corrente maxima de 1A. (2090901691)</v>
          </cell>
        </row>
        <row r="838">
          <cell r="B838">
            <v>3090308160</v>
          </cell>
          <cell r="D838">
            <v>10731400</v>
          </cell>
          <cell r="E838">
            <v>85444200</v>
          </cell>
          <cell r="F838">
            <v>85444200</v>
          </cell>
          <cell r="G838">
            <v>85444200</v>
          </cell>
          <cell r="H838" t="str">
            <v>Cabo condutor eletrico de cobre de 1.5mm² com revestimento externo de PVC preto, comprimento de 125mm, munido de peca de conexAo (conector tipo olhal com diAmetro interno de 3.2mm e externo 5.2mm), de tensAo 240V, isolado para uso eletrico (3090308160)</v>
          </cell>
        </row>
        <row r="839">
          <cell r="B839">
            <v>3090500850</v>
          </cell>
          <cell r="D839">
            <v>20693341</v>
          </cell>
          <cell r="E839">
            <v>85444200</v>
          </cell>
          <cell r="F839">
            <v>85444200</v>
          </cell>
          <cell r="H839" t="str">
            <v>Cabo munido de terminal para conexAo RS232 DB9&lt;&gt;PS2, condutor eletrico para tensAo de ate 320V, isolado para uso eletrico ( 3090500850)</v>
          </cell>
        </row>
        <row r="840">
          <cell r="B840">
            <v>3090308150</v>
          </cell>
          <cell r="D840">
            <v>10731300</v>
          </cell>
          <cell r="E840">
            <v>85444900</v>
          </cell>
          <cell r="F840">
            <v>85444900</v>
          </cell>
          <cell r="G840">
            <v>85444900</v>
          </cell>
          <cell r="H840" t="str">
            <v>Cabo condutor eletrico, de tensAo ate 300V, isolado para uso eletrico, de cobre de 1.5mm² com revestimento externo de PVC preto - 68mm (3090308150)</v>
          </cell>
        </row>
        <row r="841">
          <cell r="B841">
            <v>3090308170</v>
          </cell>
          <cell r="D841">
            <v>10410801</v>
          </cell>
          <cell r="E841">
            <v>85444900</v>
          </cell>
          <cell r="F841">
            <v>85444900</v>
          </cell>
          <cell r="G841">
            <v>85444900</v>
          </cell>
          <cell r="H841" t="str">
            <v>Cabo condutor eletrico, de 2 vias, de tensAo ate 300V, isolado para uso eletrico, trancado  revestido com isolamento externo nas cores vermelho e preto - 2x0,3mm²  1150mm (3090308170)</v>
          </cell>
        </row>
        <row r="842">
          <cell r="B842">
            <v>3090308140</v>
          </cell>
          <cell r="D842">
            <v>10410802</v>
          </cell>
          <cell r="E842">
            <v>85444900</v>
          </cell>
          <cell r="F842">
            <v>85444900</v>
          </cell>
          <cell r="G842">
            <v>85444900</v>
          </cell>
          <cell r="H842" t="str">
            <v>Cabo condutor eletrico de 4 vias, de tensAo ate 300V, isolado para uso eletrico, trancado  revestido com isolamento externo nas cores amarelo, vermelho, verde e preto - 4x0,5mm² 350mm (3090308140)</v>
          </cell>
        </row>
        <row r="843">
          <cell r="B843">
            <v>2140101820</v>
          </cell>
          <cell r="D843">
            <v>20691982</v>
          </cell>
          <cell r="E843">
            <v>85444900</v>
          </cell>
          <cell r="F843">
            <v>85444900</v>
          </cell>
          <cell r="H843" t="str">
            <v>Cabo condutor eletrico, de tensAo ate 300V, isolado para uso eletrico - Flash para Antena (2140101820)</v>
          </cell>
        </row>
        <row r="844">
          <cell r="B844">
            <v>2140101810</v>
          </cell>
          <cell r="D844">
            <v>20691981</v>
          </cell>
          <cell r="E844">
            <v>85444900</v>
          </cell>
          <cell r="F844">
            <v>85444900</v>
          </cell>
          <cell r="H844" t="str">
            <v>Cabo condutor eletrico, de tensAo ate 300V, isolado para uso eletrico - Flash para Antena (2140101810)</v>
          </cell>
        </row>
        <row r="845">
          <cell r="B845">
            <v>3020127939</v>
          </cell>
          <cell r="D845">
            <v>20459000</v>
          </cell>
          <cell r="E845">
            <v>90289010</v>
          </cell>
          <cell r="F845">
            <v>90289010</v>
          </cell>
          <cell r="H845" t="str">
            <v>Base Monofasica SP - Cronos NG, parte para montagem de contadores de eletricidade (3020127939)</v>
          </cell>
        </row>
        <row r="846">
          <cell r="B846">
            <v>3020910049</v>
          </cell>
          <cell r="D846">
            <v>20459100</v>
          </cell>
          <cell r="E846">
            <v>90289010</v>
          </cell>
          <cell r="F846">
            <v>90289010</v>
          </cell>
          <cell r="H846" t="str">
            <v xml:space="preserve">Tampa do Bloco Monofasico - Cronos NG, parte para montagem de contadores de eletricidade (3020910049) </v>
          </cell>
        </row>
        <row r="847">
          <cell r="B847">
            <v>3020306259</v>
          </cell>
          <cell r="D847">
            <v>20453000</v>
          </cell>
          <cell r="E847">
            <v>90289010</v>
          </cell>
          <cell r="F847">
            <v>90289010</v>
          </cell>
          <cell r="H847" t="str">
            <v xml:space="preserve">Tampa Principal Mono RG Sem ImpressAo SP/SU - Cronos NG, parte para montagem de contadores de eletricidade (3020306259) </v>
          </cell>
        </row>
        <row r="848">
          <cell r="B848">
            <v>3022101929</v>
          </cell>
          <cell r="D848">
            <v>20455000</v>
          </cell>
          <cell r="E848">
            <v>90289010</v>
          </cell>
          <cell r="F848">
            <v>90289010</v>
          </cell>
          <cell r="H848" t="str">
            <v>Visor Transparente - Cronos 6001 - Cronos NG, parte para montagem de contadores de eletricidade (3022101929)</v>
          </cell>
        </row>
        <row r="849">
          <cell r="B849">
            <v>3020306009</v>
          </cell>
          <cell r="D849">
            <v>20445600</v>
          </cell>
          <cell r="E849">
            <v>90289010</v>
          </cell>
          <cell r="F849">
            <v>90289010</v>
          </cell>
          <cell r="H849" t="str">
            <v>Tampa do Modulo - Pantheon, parte para montagem de contadores de eletricidade</v>
          </cell>
        </row>
        <row r="850">
          <cell r="B850">
            <v>3020127799</v>
          </cell>
          <cell r="D850">
            <v>20445700</v>
          </cell>
          <cell r="E850">
            <v>90289010</v>
          </cell>
          <cell r="F850">
            <v>90289010</v>
          </cell>
          <cell r="H850" t="str">
            <v>Base do Modulo - Pantheon, parte para montagem de contadores de eletricidade</v>
          </cell>
        </row>
        <row r="851">
          <cell r="B851">
            <v>3020306469</v>
          </cell>
          <cell r="D851">
            <v>20453001</v>
          </cell>
          <cell r="E851">
            <v>90289010</v>
          </cell>
          <cell r="F851">
            <v>90289010</v>
          </cell>
          <cell r="H851" t="str">
            <v>Tampa Principal Mono RG Sem ImpressAo S/ComunicacAo - Cronos NG, parte para montagem de contadores de eletricidade (3020306469)</v>
          </cell>
        </row>
        <row r="852">
          <cell r="B852">
            <v>3010701130</v>
          </cell>
          <cell r="D852">
            <v>40119816</v>
          </cell>
          <cell r="E852">
            <v>90289010</v>
          </cell>
          <cell r="F852">
            <v>90289010</v>
          </cell>
          <cell r="H852" t="str">
            <v>Conjunto registrador ciclometrico, parte para montagem de contadores de eletricidade Monofasicos - 6+1 100:1 50mm 30107-ED73-01 (3010701130)</v>
          </cell>
        </row>
        <row r="853">
          <cell r="B853">
            <v>3020128049</v>
          </cell>
          <cell r="D853">
            <v>20459001</v>
          </cell>
          <cell r="E853">
            <v>90289010</v>
          </cell>
          <cell r="F853">
            <v>90289010</v>
          </cell>
          <cell r="H853" t="str">
            <v>Base Monofasica S/Terminais - Cronos NG (3020128049), parte para montagem de contadores de eletricidade</v>
          </cell>
        </row>
        <row r="854">
          <cell r="B854">
            <v>3021302969</v>
          </cell>
          <cell r="D854">
            <v>20464702</v>
          </cell>
          <cell r="E854">
            <v>90289010</v>
          </cell>
          <cell r="F854">
            <v>90289010</v>
          </cell>
          <cell r="H854" t="str">
            <v>Tampa do bloco polifasico Zeus 8023 2,5, parte para montagem de contadores de eletricidade</v>
          </cell>
        </row>
        <row r="855">
          <cell r="B855">
            <v>3020307659</v>
          </cell>
          <cell r="D855">
            <v>40256015</v>
          </cell>
          <cell r="E855">
            <v>90289010</v>
          </cell>
          <cell r="F855">
            <v>90289010</v>
          </cell>
          <cell r="H855" t="str">
            <v>Subconjunto Placa de identificacAo - C/Modulo + C/Antena - C/SolidarizacAo - Zeus 8023-2,5 TRI, parte para montagem de contadores de eletricidade</v>
          </cell>
        </row>
        <row r="856">
          <cell r="B856">
            <v>3020128449</v>
          </cell>
          <cell r="D856">
            <v>20464206</v>
          </cell>
          <cell r="E856">
            <v>90289010</v>
          </cell>
          <cell r="F856">
            <v>90289010</v>
          </cell>
          <cell r="H856" t="str">
            <v>Base Trifasica Zeus 8023 2,5, parte para montagem de contadores de eletricidade</v>
          </cell>
        </row>
        <row r="857">
          <cell r="B857">
            <v>3020307669</v>
          </cell>
          <cell r="D857">
            <v>40256013</v>
          </cell>
          <cell r="E857">
            <v>90289010</v>
          </cell>
          <cell r="F857">
            <v>90289010</v>
          </cell>
          <cell r="H857" t="str">
            <v>Subconjunto Placa de identificacAo - C/Modulo + S/Antena - C/SolidarizacAo - Zeus 8023-2,5 TRI, parte para montagem de contadores de eletricidade</v>
          </cell>
        </row>
        <row r="858">
          <cell r="B858">
            <v>3021502199</v>
          </cell>
          <cell r="D858">
            <v>20464006</v>
          </cell>
          <cell r="E858">
            <v>90289010</v>
          </cell>
          <cell r="F858">
            <v>90289010</v>
          </cell>
          <cell r="H858" t="str">
            <v>Bloco de Terminais Zeus 8023 2,5 - RS232, parte para montagem de contadores de eletricidade</v>
          </cell>
        </row>
        <row r="859">
          <cell r="B859" t="str">
            <v>Z-RF-TS-HT6019.A3</v>
          </cell>
          <cell r="D859">
            <v>20691941</v>
          </cell>
          <cell r="E859">
            <v>90289010</v>
          </cell>
          <cell r="F859">
            <v>90289010</v>
          </cell>
          <cell r="H859" t="str">
            <v>Terminal de teste de campo com software para otimizacAo de rede, parte para montagem de contadores de eletricidade (Z-RF-TS-HT6019A3)</v>
          </cell>
        </row>
        <row r="860">
          <cell r="B860" t="str">
            <v>HXPXD1R120</v>
          </cell>
          <cell r="D860">
            <v>40211104</v>
          </cell>
          <cell r="E860">
            <v>90289010</v>
          </cell>
          <cell r="F860">
            <v>90289010</v>
          </cell>
          <cell r="H860" t="str">
            <v>Subconjunto Caixa do repetidor Hexnet + Acessorios, parte para montagem de contadores de eletricidade (HXPXD1R120)</v>
          </cell>
        </row>
        <row r="861">
          <cell r="B861">
            <v>4990101420</v>
          </cell>
          <cell r="D861">
            <v>20691939</v>
          </cell>
          <cell r="E861">
            <v>90289010</v>
          </cell>
          <cell r="F861">
            <v>90289010</v>
          </cell>
          <cell r="H861" t="str">
            <v>Instrumento de varredura de freqüencia, parte para montagem de contadores de eletricidade (4990101420)</v>
          </cell>
        </row>
        <row r="862">
          <cell r="B862" t="str">
            <v>HXPXT1R110</v>
          </cell>
          <cell r="D862">
            <v>40211105</v>
          </cell>
          <cell r="E862">
            <v>90289010</v>
          </cell>
          <cell r="F862">
            <v>90289010</v>
          </cell>
          <cell r="H862" t="str">
            <v>Subconjunto Caixa plastica + Kit montagem p/ Concentrador, parte para montagem de contadores de eletricidade (HXPXT1R110)</v>
          </cell>
        </row>
        <row r="863">
          <cell r="B863" t="str">
            <v>HXEJ200R110</v>
          </cell>
          <cell r="D863">
            <v>40211106</v>
          </cell>
          <cell r="E863">
            <v>90289010</v>
          </cell>
          <cell r="F863">
            <v>90289010</v>
          </cell>
          <cell r="H863" t="str">
            <v>Subconjunto Concentrador + modulos + antenas, parte para montagem de contadores de eletricidade (HXEJ200R110)</v>
          </cell>
        </row>
        <row r="864">
          <cell r="B864">
            <v>40800015</v>
          </cell>
          <cell r="D864">
            <v>40800015</v>
          </cell>
          <cell r="E864">
            <v>90289010</v>
          </cell>
          <cell r="F864">
            <v>90289010</v>
          </cell>
          <cell r="H864" t="str">
            <v>Modulo de ComunicacAo Huawei - eLTE + 8V, parte para montagem de contadores de eletricidade</v>
          </cell>
        </row>
        <row r="865">
          <cell r="B865">
            <v>40800012</v>
          </cell>
          <cell r="D865">
            <v>40800012</v>
          </cell>
          <cell r="E865">
            <v>90289010</v>
          </cell>
          <cell r="F865">
            <v>90289010</v>
          </cell>
          <cell r="H865" t="str">
            <v>Modulo de ComunicacAo Huawei - eLTE + 8V + OMNI (2M), parte para montagem de contadores de eletricidade</v>
          </cell>
        </row>
        <row r="866">
          <cell r="B866">
            <v>5070100130</v>
          </cell>
          <cell r="D866">
            <v>20446600</v>
          </cell>
          <cell r="E866">
            <v>90289010</v>
          </cell>
          <cell r="F866">
            <v>90289010</v>
          </cell>
          <cell r="H866" t="str">
            <v>Tampa Principal do Concentrador Primario - Pantheon, parte para montagem de contadores de eletricidade</v>
          </cell>
        </row>
        <row r="867">
          <cell r="B867">
            <v>3020127779</v>
          </cell>
          <cell r="D867">
            <v>20446300</v>
          </cell>
          <cell r="E867">
            <v>90289010</v>
          </cell>
          <cell r="F867">
            <v>90289010</v>
          </cell>
          <cell r="G867">
            <v>90289010</v>
          </cell>
          <cell r="H867" t="str">
            <v>Base da CPU - Pantheon, parte para montagem de contadores de eletricidade</v>
          </cell>
        </row>
        <row r="868">
          <cell r="B868">
            <v>5090502750</v>
          </cell>
          <cell r="D868">
            <v>20446700</v>
          </cell>
          <cell r="E868">
            <v>90289010</v>
          </cell>
          <cell r="F868">
            <v>90289010</v>
          </cell>
          <cell r="H868" t="str">
            <v>Tampa do Modulo de ComunicacAo MJN16 do Concentrador Primario - Pantheon, parte para montagem de contadores de eletricidade</v>
          </cell>
        </row>
        <row r="869">
          <cell r="B869">
            <v>3020305989</v>
          </cell>
          <cell r="D869">
            <v>20446200</v>
          </cell>
          <cell r="E869">
            <v>90289010</v>
          </cell>
          <cell r="F869">
            <v>90289010</v>
          </cell>
          <cell r="G869">
            <v>90289010</v>
          </cell>
          <cell r="H869" t="str">
            <v>Tampa da CPU - Pantheon, parte para montagem de contadores de eletricidade</v>
          </cell>
        </row>
        <row r="870">
          <cell r="B870">
            <v>3022700479</v>
          </cell>
          <cell r="D870">
            <v>20446100</v>
          </cell>
          <cell r="E870">
            <v>90289010</v>
          </cell>
          <cell r="F870">
            <v>90289010</v>
          </cell>
          <cell r="H870" t="str">
            <v>Guia dos LEDs para CPU e Coletor - Pantheon, parte para montagem de contadores de eletricidade</v>
          </cell>
        </row>
        <row r="871">
          <cell r="B871">
            <v>2070100101</v>
          </cell>
          <cell r="D871">
            <v>20692014</v>
          </cell>
          <cell r="E871">
            <v>85065010</v>
          </cell>
          <cell r="F871">
            <v>85065010</v>
          </cell>
          <cell r="H871" t="str">
            <v>BATERIA ELeTRICA DE LÍTIO (REVESTIDA), DE VOLUME EXTERIOR APROXIMADO DE 25,5CM³ - 3.6V 20mA 1.2Ah 55mm Ø16.8mm*28.6mm (2070100101)</v>
          </cell>
        </row>
        <row r="872">
          <cell r="B872">
            <v>3090504230</v>
          </cell>
          <cell r="D872">
            <v>20690032</v>
          </cell>
          <cell r="E872">
            <v>85444200</v>
          </cell>
          <cell r="F872">
            <v>85444200</v>
          </cell>
          <cell r="G872">
            <v>85444200</v>
          </cell>
          <cell r="H872" t="str">
            <v>Cabo de forca, condutor eletrico, munido de peca de conexAo para tensAo de ate 320V, isolado para uso eletrico - MW UPS para  MCR / ECR / cabos vermelhos e preto 20AWG L500mm  (3090504230)</v>
          </cell>
        </row>
        <row r="873">
          <cell r="B873">
            <v>2060100674</v>
          </cell>
          <cell r="D873">
            <v>20633736</v>
          </cell>
          <cell r="E873">
            <v>85411022</v>
          </cell>
          <cell r="F873">
            <v>85411022</v>
          </cell>
          <cell r="G873">
            <v>85411022</v>
          </cell>
          <cell r="H873" t="str">
            <v>DISPOSITIVO SEMICONDUTOR TIPO DIODO retificador, montado, proprio para montagem em superfície SMD, de intensidade de corrente 1A (2060100674)</v>
          </cell>
        </row>
        <row r="874">
          <cell r="B874">
            <v>2020302691</v>
          </cell>
          <cell r="D874">
            <v>20660411</v>
          </cell>
          <cell r="E874">
            <v>85322200</v>
          </cell>
          <cell r="F874">
            <v>85322200</v>
          </cell>
          <cell r="G874">
            <v>85322200</v>
          </cell>
          <cell r="H874" t="str">
            <v>CAPACITOR (CONDENSADOR ELeTRICO FIXO) ELETROLÍTICO DE ALUMÍNIO 1000uF 20por cento 10V YXJ 8000h RAD-5mm/10*12.5mm PTH (2020302691)</v>
          </cell>
        </row>
        <row r="875">
          <cell r="B875" t="str">
            <v>MJN16R31201</v>
          </cell>
          <cell r="D875" t="str">
            <v xml:space="preserve">206913A5 </v>
          </cell>
          <cell r="E875">
            <v>85176272</v>
          </cell>
          <cell r="F875">
            <v>85176272</v>
          </cell>
          <cell r="H875" t="str">
            <v xml:space="preserve">Modulos de roteadores de borda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AP3.1, operando em topologia "Mesh" ou "Estrela" com espalhamento espectral por salto em frequencia (FHSS), enderecamento IPv6 e potencia de transmissAo de ate +30dBm, com PSRAM de 8MB. </v>
          </cell>
        </row>
        <row r="876">
          <cell r="B876">
            <v>2030100244</v>
          </cell>
          <cell r="D876">
            <v>20650125</v>
          </cell>
          <cell r="E876">
            <v>85045010</v>
          </cell>
          <cell r="F876" t="str">
            <v>Need to update benefit</v>
          </cell>
          <cell r="H876" t="str">
            <v>Bobina de auto-inducao (indutor) 10uH para montagem em superfície (SMD), de resistencia de 0,061Ω, dimensoes 6mm de comprimento, 6mm de largura e 4,5mm de altura.</v>
          </cell>
        </row>
        <row r="877">
          <cell r="B877">
            <v>4070402970</v>
          </cell>
          <cell r="D877">
            <v>10930100</v>
          </cell>
          <cell r="E877">
            <v>39269090</v>
          </cell>
          <cell r="F877">
            <v>39269090</v>
          </cell>
          <cell r="H877" t="str">
            <v>Conector plastico (material de polietileno) para porta Ethernet RJ-45 (4070402970)</v>
          </cell>
        </row>
        <row r="878">
          <cell r="B878">
            <v>6001007020</v>
          </cell>
          <cell r="D878">
            <v>20692021</v>
          </cell>
          <cell r="E878">
            <v>85044090</v>
          </cell>
          <cell r="F878">
            <v>85044090</v>
          </cell>
          <cell r="G878">
            <v>85044090</v>
          </cell>
          <cell r="H878" t="str">
            <v>Conversor estatico, produto inversor retificador AC-DC, tecnologia de controle analogico, de tensAo de alimentacAo 15Vca, monofasico, de corrente nominal de saída 3,4A</v>
          </cell>
        </row>
        <row r="879">
          <cell r="B879">
            <v>2079901031</v>
          </cell>
          <cell r="D879">
            <v>20692030</v>
          </cell>
          <cell r="E879">
            <v>85068090</v>
          </cell>
          <cell r="F879">
            <v>85068090</v>
          </cell>
          <cell r="H879" t="str">
            <v>BATERIA DE CHUMBO aCIDO, DE VOLUME APROXIMADO DE 1405,81 CM³, 12V 12A/h - GE  (2079901031)</v>
          </cell>
        </row>
        <row r="880">
          <cell r="B880">
            <v>2079901041</v>
          </cell>
          <cell r="D880">
            <v>20692031</v>
          </cell>
          <cell r="E880">
            <v>85068090</v>
          </cell>
          <cell r="F880">
            <v>85068090</v>
          </cell>
          <cell r="H880" t="str">
            <v>BATERIA DE CHUMBO aCIDO, DE VOLUME APROXIMADO DE 636,30 CM³, 12V 5A/h - GE (2079901041)</v>
          </cell>
        </row>
        <row r="881">
          <cell r="B881">
            <v>3010911790</v>
          </cell>
          <cell r="D881">
            <v>20691978</v>
          </cell>
          <cell r="E881">
            <v>85363090</v>
          </cell>
          <cell r="F881">
            <v>85363090</v>
          </cell>
          <cell r="H881" t="str">
            <v>Protetor de sobretensAo para circuito eletrico Ethernet (3010911790)</v>
          </cell>
        </row>
        <row r="882">
          <cell r="B882">
            <v>5110017940</v>
          </cell>
          <cell r="D882">
            <v>40290970</v>
          </cell>
          <cell r="E882">
            <v>73259910</v>
          </cell>
          <cell r="F882">
            <v>73259910</v>
          </cell>
          <cell r="G882">
            <v>73259910</v>
          </cell>
          <cell r="H882" t="str">
            <v>Gabinete metalico (P70), de aco inox(SUS201), moldado, dimensoes 400 * 500 * 250 mm (5110017940)</v>
          </cell>
        </row>
        <row r="883">
          <cell r="B883">
            <v>5110017930</v>
          </cell>
          <cell r="D883">
            <v>40290960</v>
          </cell>
          <cell r="E883">
            <v>73259910</v>
          </cell>
          <cell r="F883">
            <v>73259910</v>
          </cell>
          <cell r="H883" t="str">
            <v xml:space="preserve">Gabinete metalico (P60), de aco inox SUS201, moldado, dimensoes 300 * 300 * 250 mm </v>
          </cell>
        </row>
        <row r="884">
          <cell r="B884">
            <v>3042100540</v>
          </cell>
          <cell r="D884">
            <v>20265201</v>
          </cell>
          <cell r="E884">
            <v>76169900</v>
          </cell>
          <cell r="F884">
            <v>76169900</v>
          </cell>
          <cell r="G884">
            <v>76169900</v>
          </cell>
          <cell r="H884" t="str">
            <v>Lacre de aluminio para fita de arquear, dimensoes 4 x 10mm</v>
          </cell>
        </row>
        <row r="885">
          <cell r="B885">
            <v>3090501050</v>
          </cell>
          <cell r="D885">
            <v>10410701</v>
          </cell>
          <cell r="E885">
            <v>73262000</v>
          </cell>
          <cell r="F885">
            <v>73262000</v>
          </cell>
          <cell r="G885">
            <v>73262000</v>
          </cell>
          <cell r="H885" t="str">
            <v>Arame cortado em fio de aco inoxidavel para selo - L=100mm 3*0.3mm (3090501050)</v>
          </cell>
        </row>
        <row r="886">
          <cell r="B886">
            <v>3052303130</v>
          </cell>
          <cell r="D886">
            <v>20694301</v>
          </cell>
          <cell r="E886">
            <v>73261900</v>
          </cell>
          <cell r="F886">
            <v>73261900</v>
          </cell>
          <cell r="G886">
            <v>73261900</v>
          </cell>
          <cell r="H886" t="str">
            <v>Chapa estampada em aco inoxidavel SUS304 - 2,0mm, referencia 30523-AP-01/30523-AP-02, para protecAo anti-roubo para AP(3052303130)</v>
          </cell>
        </row>
        <row r="887">
          <cell r="B887">
            <v>3011501610</v>
          </cell>
          <cell r="D887">
            <v>20694302</v>
          </cell>
          <cell r="E887">
            <v>83015000</v>
          </cell>
          <cell r="F887">
            <v>83015000</v>
          </cell>
          <cell r="G887">
            <v>83015000</v>
          </cell>
          <cell r="H887" t="str">
            <v>Dispositivo anti-roubo eletrico (fecho) c/fechadura 30x20mm em Cobre/Aco Inox - Nucleo ABS Chave Universal(3011501610)</v>
          </cell>
        </row>
        <row r="888">
          <cell r="B888">
            <v>3052303190</v>
          </cell>
          <cell r="D888">
            <v>20258604</v>
          </cell>
          <cell r="E888">
            <v>73269090</v>
          </cell>
          <cell r="F888">
            <v>73269090</v>
          </cell>
          <cell r="G888">
            <v>73269090</v>
          </cell>
          <cell r="H888" t="str">
            <v>Chapa de Aco inoxidavel, obtida por dobragem, para AP (3052303190)</v>
          </cell>
        </row>
        <row r="889">
          <cell r="B889">
            <v>3030106390</v>
          </cell>
          <cell r="D889">
            <v>21199002</v>
          </cell>
          <cell r="E889">
            <v>73181500</v>
          </cell>
          <cell r="F889">
            <v>73181500</v>
          </cell>
          <cell r="G889">
            <v>73181500</v>
          </cell>
          <cell r="H889" t="str">
            <v>PARAFUSO TIPO FENDA CRUZADA, DIMENSAO M6x6,5mm, EM MATeRIA-PRIMA BASE AcO INOXIDaVEL SUS304, DE PROCESSO DE FABRICAcAO POR USINAGEM COM ACABAMENTO SUPERFICIAL SEM TRATAMENTO (3030106390)</v>
          </cell>
        </row>
        <row r="890">
          <cell r="B890">
            <v>3031300280</v>
          </cell>
          <cell r="D890">
            <v>20292404</v>
          </cell>
          <cell r="E890">
            <v>73182100</v>
          </cell>
          <cell r="F890">
            <v>73182100</v>
          </cell>
          <cell r="G890">
            <v>73182100</v>
          </cell>
          <cell r="H890" t="str">
            <v>Arruela de PressAo Ø6.1mm, de materia-prima base em Aco Inox, processo de fabricacAo por usinagem e acabamento superficial sem tratamento (3031300280)</v>
          </cell>
        </row>
        <row r="891">
          <cell r="B891">
            <v>3031101930</v>
          </cell>
          <cell r="D891">
            <v>20290811</v>
          </cell>
          <cell r="E891">
            <v>73182200</v>
          </cell>
          <cell r="F891">
            <v>73182200</v>
          </cell>
          <cell r="G891">
            <v>73182200</v>
          </cell>
          <cell r="H891" t="str">
            <v>Arruela Lisa em materia-prima base de Aco Inox, de processo de fabricacAo por usinagem, acabamento superficial sem tratamento Ø6.4mm*12mm*1.6mm (3031101930)</v>
          </cell>
        </row>
        <row r="892">
          <cell r="B892">
            <v>3052303120</v>
          </cell>
          <cell r="D892">
            <v>20694303</v>
          </cell>
          <cell r="E892">
            <v>73261900</v>
          </cell>
          <cell r="F892">
            <v>73261900</v>
          </cell>
          <cell r="G892">
            <v>73261900</v>
          </cell>
          <cell r="H892" t="str">
            <v>Chapa estampada em aco inoxidavel em aco inoxidavel SUS304 - 2,0mm, referencia: 30523-WSG-01/30523-WSG-02, para protecAo anti-roubo para WSG (3052303120)</v>
          </cell>
        </row>
        <row r="893">
          <cell r="B893">
            <v>2090903191</v>
          </cell>
          <cell r="D893">
            <v>20465552</v>
          </cell>
          <cell r="E893">
            <v>85389090</v>
          </cell>
          <cell r="F893">
            <v>85389090</v>
          </cell>
          <cell r="G893">
            <v>85389090</v>
          </cell>
          <cell r="H893" t="str">
            <v>Conector de Passagem, parte para montagem de quadros de distribuicAo de energia eletrica (2090903191)</v>
          </cell>
        </row>
        <row r="894">
          <cell r="B894">
            <v>2090903201</v>
          </cell>
          <cell r="D894">
            <v>20465551</v>
          </cell>
          <cell r="E894">
            <v>85389090</v>
          </cell>
          <cell r="F894">
            <v>85389090</v>
          </cell>
          <cell r="G894">
            <v>85389090</v>
          </cell>
          <cell r="H894" t="str">
            <v>Tampa do Conector de Passagem, parte para montagem de quadros de distribuicAo de energia eletrica (2090903201)</v>
          </cell>
        </row>
        <row r="895">
          <cell r="B895">
            <v>3090504250</v>
          </cell>
          <cell r="D895">
            <v>20690033</v>
          </cell>
          <cell r="E895">
            <v>85044029</v>
          </cell>
          <cell r="F895">
            <v>85044029</v>
          </cell>
          <cell r="G895">
            <v>85044029</v>
          </cell>
          <cell r="H895" t="str">
            <v>Conversor estatico retificador para linha de energia MW UPS, 400 mm, preto, par trancado de 8 nucleos e 4 pares (3090504250)</v>
          </cell>
        </row>
        <row r="896">
          <cell r="B896">
            <v>3090504280</v>
          </cell>
          <cell r="D896">
            <v>20690031</v>
          </cell>
          <cell r="E896">
            <v>85444200</v>
          </cell>
          <cell r="F896">
            <v>85444200</v>
          </cell>
          <cell r="G896">
            <v>85444200</v>
          </cell>
          <cell r="H896" t="str">
            <v>Cabo de forca, condutor eletrico, munido de peca de conexAo para tensAo de ate 320V, isolado para uso eletrico - MW UPS para bateria, cabos vermelhos e preto 20AWG L400mm (3090504280)</v>
          </cell>
        </row>
        <row r="897">
          <cell r="B897">
            <v>3090504190</v>
          </cell>
          <cell r="D897">
            <v>20690029</v>
          </cell>
          <cell r="E897">
            <v>85044029</v>
          </cell>
          <cell r="F897">
            <v>85044029</v>
          </cell>
          <cell r="G897">
            <v>85044029</v>
          </cell>
          <cell r="H897" t="str">
            <v>Conversor estatico retificador para linha de energia GE UPS(3090504190)</v>
          </cell>
        </row>
        <row r="898">
          <cell r="B898">
            <v>3090504210</v>
          </cell>
          <cell r="D898">
            <v>20690028</v>
          </cell>
          <cell r="E898">
            <v>85444200</v>
          </cell>
          <cell r="F898">
            <v>85444200</v>
          </cell>
          <cell r="G898">
            <v>85444200</v>
          </cell>
          <cell r="H898" t="str">
            <v>Cabo de forca, condutor eletrico, munido de peca de conexAo para tensAo de ate 320V, isolado para uso eletrico - GE UPS para placa de comutacAo (3090504210)</v>
          </cell>
        </row>
        <row r="899">
          <cell r="B899">
            <v>3090504260</v>
          </cell>
          <cell r="D899">
            <v>20690027</v>
          </cell>
          <cell r="E899">
            <v>85444200</v>
          </cell>
          <cell r="F899">
            <v>85444200</v>
          </cell>
          <cell r="H899" t="str">
            <v>Cabo de forca, condutor eletrico, munido de peca de conexAo para tensAo de ate 320V, isolado para uso eletrico, para placa de comutacAo para MCR (3090504260)</v>
          </cell>
        </row>
        <row r="900">
          <cell r="B900">
            <v>2140103390</v>
          </cell>
          <cell r="D900">
            <v>20690035</v>
          </cell>
          <cell r="E900">
            <v>85442000</v>
          </cell>
          <cell r="F900">
            <v>85442000</v>
          </cell>
          <cell r="G900">
            <v>85442000</v>
          </cell>
          <cell r="H900" t="str">
            <v>Cabo coaxial RF, condutor eletrico para tensAo de ate 320V, isolado para uso eletrico - (TNC - N)  550 mm Φ5 mm 3000 MHz (2140103390)</v>
          </cell>
        </row>
        <row r="901">
          <cell r="B901">
            <v>2140103380</v>
          </cell>
          <cell r="D901">
            <v>20690034</v>
          </cell>
          <cell r="E901">
            <v>85442000</v>
          </cell>
          <cell r="F901">
            <v>85442000</v>
          </cell>
          <cell r="G901">
            <v>85442000</v>
          </cell>
          <cell r="H901" t="str">
            <v>Cabo coaxial RF (TNC - MCX), condutor eletrico, isolado para uso eletrico, para tensAo maxima de 1.000V, comprimento 400 mm,  diAmetro 2,8 mm, para frequencia de 3000 MHz</v>
          </cell>
        </row>
        <row r="902">
          <cell r="B902">
            <v>2140103400</v>
          </cell>
          <cell r="D902">
            <v>20690036</v>
          </cell>
          <cell r="E902">
            <v>85442000</v>
          </cell>
          <cell r="F902">
            <v>85442000</v>
          </cell>
          <cell r="G902">
            <v>85442000</v>
          </cell>
          <cell r="H902" t="str">
            <v>Cabo coaxial RF (MCX - N), condutor eletrico, isolado para uso eletrico, para tensAo maxima de 1.000V, comprimento 400 mm,  diAmetro 2,8 mm, para frequencia de 3000 MHz</v>
          </cell>
        </row>
        <row r="903">
          <cell r="B903">
            <v>2140103370</v>
          </cell>
          <cell r="D903">
            <v>20692521</v>
          </cell>
          <cell r="E903">
            <v>85444200</v>
          </cell>
          <cell r="F903">
            <v>85444200</v>
          </cell>
          <cell r="G903">
            <v>85444200</v>
          </cell>
          <cell r="H903" t="str">
            <v>Cabo Adaptador, condutor eletrico munido de peca de conexAo, isolado para uso eletrico em tensAo de ate 320V - N-N 6m (2140103370)</v>
          </cell>
        </row>
        <row r="904">
          <cell r="B904">
            <v>3100116450</v>
          </cell>
          <cell r="D904">
            <v>20465550</v>
          </cell>
          <cell r="E904">
            <v>39199090</v>
          </cell>
          <cell r="F904">
            <v>39199090</v>
          </cell>
          <cell r="H904" t="str">
            <v>Chapa plastica (material de policarbonato), em pecas, para identificacAo de produto (3100116450)</v>
          </cell>
        </row>
        <row r="905">
          <cell r="B905">
            <v>2020301341</v>
          </cell>
          <cell r="D905">
            <v>20660657</v>
          </cell>
          <cell r="E905">
            <v>85322200</v>
          </cell>
          <cell r="F905">
            <v>85322200</v>
          </cell>
          <cell r="G905">
            <v>85322200</v>
          </cell>
          <cell r="H905" t="str">
            <v>Capacitor (condensador eletrico fixo) 220uF 20por cento 25V KYA RAD-2.5mm com dimensoes de 6.3*11mm, para montagem por insercAo (PTH),  eletrolítico de alumínio (2020301341)</v>
          </cell>
        </row>
        <row r="906">
          <cell r="B906">
            <v>2060900063</v>
          </cell>
          <cell r="D906">
            <v>20680237</v>
          </cell>
          <cell r="E906">
            <v>85412120</v>
          </cell>
          <cell r="F906">
            <v>85412120</v>
          </cell>
          <cell r="G906">
            <v>85412120</v>
          </cell>
          <cell r="H906" t="str">
            <v>DISPOSITIVO SEMICONDUTOR TIPO TRANSISTOR, MONTADO, PRoPRIO PARA MONTAGEM EM SUPERFÍCIE SMD, DE CAPACIDADE DE DISSIPAcAO 0,225W (2060900063) SMD</v>
          </cell>
        </row>
        <row r="907">
          <cell r="B907">
            <v>2060900073</v>
          </cell>
          <cell r="D907">
            <v>20680238</v>
          </cell>
          <cell r="E907">
            <v>85412120</v>
          </cell>
          <cell r="F907">
            <v>85412120</v>
          </cell>
          <cell r="G907">
            <v>85412120</v>
          </cell>
          <cell r="H907" t="str">
            <v>DISPOSITIVO SEMICONDUTOR TIPO TRANSISTOR, MONTADO, PRoPRIO PARA MONTAGEM EM SUPERFÍCIE SMD, DE CAPACIDADE DE DISSIPAcAO 0,225W (2060900073)</v>
          </cell>
        </row>
        <row r="908">
          <cell r="B908">
            <v>2060100284</v>
          </cell>
          <cell r="D908">
            <v>20630708</v>
          </cell>
          <cell r="E908">
            <v>85411022</v>
          </cell>
          <cell r="F908">
            <v>85411022</v>
          </cell>
          <cell r="G908">
            <v>85411022</v>
          </cell>
          <cell r="H908" t="str">
            <v>DISPOSITIVO SEMICONDUTOR TIPO DIODO retificador, montado, proprio para montagem em superfície SMD, DE INTENSIDADE DE CORRENTE 1A (2060100284)</v>
          </cell>
        </row>
        <row r="909">
          <cell r="B909">
            <v>3030900580</v>
          </cell>
          <cell r="D909">
            <v>20264104</v>
          </cell>
          <cell r="E909">
            <v>73181600</v>
          </cell>
          <cell r="F909">
            <v>73181600</v>
          </cell>
          <cell r="G909">
            <v>73181600</v>
          </cell>
          <cell r="H909" t="str">
            <v>Porca Quadrada M4 - 7x7mm 2mm - de materia-prima base aco baixo carbono, processo de fabricacAo por usinagem, acabamento superficial Zincado Amarelo (3030900580)</v>
          </cell>
        </row>
        <row r="910">
          <cell r="B910">
            <v>2020300663</v>
          </cell>
          <cell r="D910">
            <v>20660412</v>
          </cell>
          <cell r="E910">
            <v>85322200</v>
          </cell>
          <cell r="F910">
            <v>85322200</v>
          </cell>
          <cell r="H910" t="str">
            <v>CAPACITOR (CONDENSADOR ELeTRICO FIXO) ELETROLÍTICO DE ALUMÍNIO 1000uF 20por cento 10V 10*12.5mm 6000h PTH (2020300663)</v>
          </cell>
        </row>
        <row r="911">
          <cell r="B911">
            <v>2150142850</v>
          </cell>
          <cell r="D911">
            <v>20661726</v>
          </cell>
          <cell r="E911">
            <v>85340033</v>
          </cell>
          <cell r="F911" t="str">
            <v>Not applicable</v>
          </cell>
          <cell r="G911">
            <v>85340033</v>
          </cell>
          <cell r="H911" t="str">
            <v>PLACA DE CIRCUITO IMPRESSO, DE NATUREZA DO MATERIAL BASE RÍGIDO, COMPOSIcAO DA PLACA DE ISOLANTE DE RESINA EPoXIDA E TECIDO DE FIBRA DE VIDRO, ESTRUTURA DE DUPLA-FACE E INTERLIGAcAO ENTRE FACES POR FUROS METALIZADOS, 273mm x 156mm x 1.6mm. (2150142850)</v>
          </cell>
        </row>
        <row r="912">
          <cell r="B912" t="str">
            <v>347-100403</v>
          </cell>
          <cell r="D912">
            <v>20691913</v>
          </cell>
          <cell r="E912">
            <v>85176277</v>
          </cell>
          <cell r="F912">
            <v>85176277</v>
          </cell>
          <cell r="H912" t="str">
            <v>Modulos de radio frequencia para comunicacAo de dados, capazes de operar na faixa ISM no intervalo de 902 a 928 MHz com espalhamento espectral por salto em frequencia, modulacAo GFSK, criptografia AES-256, autenticacAo por assinaturas ECDSA &amp; RSA e potencia de transmissAo igual ou inferior a 1W, numero de serie XXXX a XXXX, modelo YYYY, marca ZZZZ, ano de fabricacAo 202X.</v>
          </cell>
        </row>
        <row r="913">
          <cell r="B913" t="str">
            <v>347-100404</v>
          </cell>
          <cell r="D913">
            <v>20691914</v>
          </cell>
          <cell r="E913">
            <v>85176277</v>
          </cell>
          <cell r="F913">
            <v>85176277</v>
          </cell>
          <cell r="H913" t="str">
            <v>Modulos de radio frequencia para comunicacAo de dados, capazes de operar na faixa ISM no intervalo de 902 a 928 MHz com espalhamento espectral por salto em frequencia, modulacAo GFSK, criptografia AES-256, autenticacAo por assinaturas ECDSA &amp; RSA e potencia de transmissAo igual ou inferior a 1W, numero de serie XXXX a XXXX, modelo YYYY, marca ZZZZ, ano de fabricacAo 202X.</v>
          </cell>
        </row>
        <row r="914">
          <cell r="B914">
            <v>2020301005</v>
          </cell>
          <cell r="D914">
            <v>20660659</v>
          </cell>
          <cell r="E914">
            <v>85322200</v>
          </cell>
          <cell r="F914">
            <v>85322200</v>
          </cell>
          <cell r="H914" t="str">
            <v>CAPACITOR (CONDENSADOR ELeTRICO FIXO) ELETROLÍTICO DE ALUMÍNIO 1000uF 20por cento 25V GH 7000h RAD-5mm/p10*20mm PTH (2020301005)</v>
          </cell>
        </row>
        <row r="915">
          <cell r="B915">
            <v>2060500112</v>
          </cell>
          <cell r="D915">
            <v>20630809</v>
          </cell>
          <cell r="E915">
            <v>85411021</v>
          </cell>
          <cell r="F915">
            <v>85411021</v>
          </cell>
          <cell r="G915">
            <v>85411021</v>
          </cell>
          <cell r="H915" t="str">
            <v xml:space="preserve">DISPOSITIVO SEMICONDUTOR TIPO DIODO ZENER, MONTADO, PRoPRIO PARA MONTAGEM EM SUPERFÍCIE SMD DE INTENSIDADE DE CORRENTE 0,017A (2060500112)
</v>
          </cell>
        </row>
        <row r="916">
          <cell r="B916">
            <v>2060900064</v>
          </cell>
          <cell r="D916">
            <v>20680239</v>
          </cell>
          <cell r="E916">
            <v>85412120</v>
          </cell>
          <cell r="F916">
            <v>85412120</v>
          </cell>
          <cell r="G916">
            <v>85412120</v>
          </cell>
          <cell r="H916" t="str">
            <v>DISPOSITIVO SEMICONDUTOR TIPO TRANSISTOR, MONTADO, PRoPRIO PARA MONTAGEM EM SUPERFÍCIE SMD, DE CAPACIDADE DE DISSIPAcAO 0,2W (2060900064) SMD</v>
          </cell>
        </row>
        <row r="917">
          <cell r="B917">
            <v>2060900075</v>
          </cell>
          <cell r="D917">
            <v>20680240</v>
          </cell>
          <cell r="E917">
            <v>85412120</v>
          </cell>
          <cell r="F917">
            <v>85412120</v>
          </cell>
          <cell r="H917" t="str">
            <v>DISPOSITIVO SEMICONDUTOR TIPO TRANSISTOR, MONTADO, PRoPRIO PARA MONTAGEM EM SUPERFÍCIE SMD, DE CAPACIDADE DE DISSIPAcAO 0,35W (2060900075)</v>
          </cell>
        </row>
        <row r="918">
          <cell r="B918">
            <v>3041501660</v>
          </cell>
          <cell r="D918">
            <v>20258605</v>
          </cell>
          <cell r="E918">
            <v>73145000</v>
          </cell>
          <cell r="F918">
            <v>73145000</v>
          </cell>
          <cell r="G918">
            <v>73145000</v>
          </cell>
          <cell r="H918" t="str">
            <v>Chapa distendida, de ferro, Protetora Contra Campo Magnetico - 74,4x60x3mm (3041501660)</v>
          </cell>
        </row>
        <row r="919">
          <cell r="B919">
            <v>3012102500</v>
          </cell>
          <cell r="D919">
            <v>20694800</v>
          </cell>
          <cell r="E919">
            <v>39269090</v>
          </cell>
          <cell r="F919">
            <v>39269090</v>
          </cell>
          <cell r="G919">
            <v>39269090</v>
          </cell>
          <cell r="H919" t="str">
            <v>Conector para Cabo de Rede, de plastico (material de polietileno) (3012102500)</v>
          </cell>
        </row>
        <row r="920">
          <cell r="B920">
            <v>3030109900</v>
          </cell>
          <cell r="D920">
            <v>21166500</v>
          </cell>
          <cell r="E920">
            <v>73181500</v>
          </cell>
          <cell r="F920">
            <v>73181500</v>
          </cell>
          <cell r="G920">
            <v>73181500</v>
          </cell>
          <cell r="H920" t="str">
            <v>PARAFUSO TIPO FENDA CRUZADA, DIMENSAO M6x16mm, EM MATeRIA-PRIMA BASE AcO INOXIDaVEL SUS304, DE PROCESSO DE FABRICAcAO POR USINAGEM COM ACABAMENTO SUPERFICIAL SEM TRATAMENTO (3030109900)</v>
          </cell>
        </row>
        <row r="921">
          <cell r="B921">
            <v>3031100260</v>
          </cell>
          <cell r="D921">
            <v>20290807</v>
          </cell>
          <cell r="E921">
            <v>73182100</v>
          </cell>
          <cell r="F921">
            <v>73182100</v>
          </cell>
          <cell r="G921">
            <v>73182100</v>
          </cell>
          <cell r="H921" t="str">
            <v xml:space="preserve"> Arruela de pressAo, em materia-prima base de Aco baixo Carbono, processo de fabricacAo por usinagem e acabamento superficial sem tratamento Q235 Ø5.2mm*15mm*1mm (3031100260)</v>
          </cell>
        </row>
        <row r="922">
          <cell r="B922">
            <v>3051502640</v>
          </cell>
          <cell r="D922">
            <v>20221400</v>
          </cell>
          <cell r="E922">
            <v>73269090</v>
          </cell>
          <cell r="F922">
            <v>73269090</v>
          </cell>
          <cell r="G922">
            <v>73269090</v>
          </cell>
          <cell r="H922" t="str">
            <v>Suporte em aco inoxidavel SUS304, obtido por dobragem. Dimensoes: 300mmx50mmx20mm</v>
          </cell>
        </row>
        <row r="923">
          <cell r="B923">
            <v>3052303220</v>
          </cell>
          <cell r="D923">
            <v>20221300</v>
          </cell>
          <cell r="E923">
            <v>73261900</v>
          </cell>
          <cell r="F923">
            <v>73261900</v>
          </cell>
          <cell r="G923">
            <v>73261900</v>
          </cell>
          <cell r="H923" t="str">
            <v>Fecho estampado em aco inoxidavel SUS304 - Dimensoes: 2,0mm; 345mm; 40x40mm para AP1000</v>
          </cell>
        </row>
        <row r="924">
          <cell r="B924">
            <v>3090111330</v>
          </cell>
          <cell r="D924">
            <v>20694700</v>
          </cell>
          <cell r="E924">
            <v>85444200</v>
          </cell>
          <cell r="F924">
            <v>85444200</v>
          </cell>
          <cell r="G924">
            <v>85444200</v>
          </cell>
          <cell r="H924" t="str">
            <v>Cabo de AlimentacAo, condutor eletrico munido de peca de conexAo, para uso eletrico, em tensAo de ate 320V (3090111330)</v>
          </cell>
        </row>
        <row r="925">
          <cell r="B925">
            <v>4070403150</v>
          </cell>
          <cell r="D925">
            <v>20692099</v>
          </cell>
          <cell r="E925">
            <v>85444200</v>
          </cell>
          <cell r="F925">
            <v>85444200</v>
          </cell>
          <cell r="H925" t="str">
            <v>Cabo de Rede, condutor eletrico, munido de pecas de conexAo para tensAo de ate 320V, isolado para uso eletrico - Blindado (CAT5E) 24 AWG x DimensAo L - 304.8 m x D- 6.096 mm  (4070403150)</v>
          </cell>
        </row>
        <row r="926">
          <cell r="B926" t="str">
            <v>HXEC600R11002</v>
          </cell>
          <cell r="D926">
            <v>20693702</v>
          </cell>
          <cell r="E926">
            <v>85389010</v>
          </cell>
          <cell r="F926" t="str">
            <v>Not applicable</v>
          </cell>
          <cell r="G926">
            <v>85389010</v>
          </cell>
          <cell r="H926" t="str">
            <v>Placa de circuito impresso com componentes eletronicos, montados, para CPU de cabine controladora de medidores de energia eletrica - Pantheon 120V,240V 3 Fases 4 Fios + RS485 (HXEC600R11002)</v>
          </cell>
        </row>
        <row r="927">
          <cell r="B927">
            <v>2010109520</v>
          </cell>
          <cell r="D927">
            <v>20633681</v>
          </cell>
          <cell r="E927">
            <v>85332120</v>
          </cell>
          <cell r="F927">
            <v>85332120</v>
          </cell>
          <cell r="G927">
            <v>85332120</v>
          </cell>
          <cell r="H927" t="str">
            <v>RESISTOR (RESISTeNCIA ELeTRICA FIXA) PRoPRIO PARA MONTAGEM EM SUPERFÍCIE SMD  1.8k 1por cento 100.0ppm POTeNCIA DE 1/16W 0402 SMD (2010109520)</v>
          </cell>
        </row>
        <row r="928">
          <cell r="B928">
            <v>2060900034</v>
          </cell>
          <cell r="D928">
            <v>20680241</v>
          </cell>
          <cell r="E928">
            <v>85412120</v>
          </cell>
          <cell r="F928">
            <v>85412120</v>
          </cell>
          <cell r="G928">
            <v>85412120</v>
          </cell>
          <cell r="H928" t="str">
            <v>Dispositivo semi condutor do tipo transistor com capacidade de dissipacAo de potencia de 0,25W a 0,60W, montado, proprio para montagem em superfície SMD, encapsulamento SOT-23.</v>
          </cell>
        </row>
        <row r="929">
          <cell r="B929">
            <v>3030104520</v>
          </cell>
          <cell r="D929">
            <v>21121200</v>
          </cell>
          <cell r="E929">
            <v>73181500</v>
          </cell>
          <cell r="F929">
            <v>73181500</v>
          </cell>
          <cell r="G929">
            <v>73181500</v>
          </cell>
          <cell r="H929" t="str">
            <v xml:space="preserve">PARAFUSO CABEcA TIPO PANELA DIAM. 7mm FENDA CRUZADA, DIMENSAO M5x12mm, EM MATeRIA-PRIMA BASE AcO DE BAIXO CARBONO, DE PROCESSO DE FABRICAcAO POR USINAGEM COM ACABAMENTO SUPERFICIAL POR GALVANIZAcAO ZINCADO (3030104520) </v>
          </cell>
        </row>
        <row r="930">
          <cell r="B930">
            <v>3031301750</v>
          </cell>
          <cell r="D930">
            <v>20292405</v>
          </cell>
          <cell r="E930">
            <v>73182100</v>
          </cell>
          <cell r="F930">
            <v>73182100</v>
          </cell>
          <cell r="G930">
            <v>73182100</v>
          </cell>
          <cell r="H930" t="str">
            <v>Arruela de PressAo em materia-prima base de aco inoxidavel, processo de fabricacAo por usinagem e acabamento superficial sem tratamento - Φ5,1 mm SUS 304 Passivado (3031301750)</v>
          </cell>
        </row>
        <row r="931">
          <cell r="B931">
            <v>2060100612</v>
          </cell>
          <cell r="D931">
            <v>20690622</v>
          </cell>
          <cell r="E931">
            <v>85411022</v>
          </cell>
          <cell r="F931">
            <v>85411022</v>
          </cell>
          <cell r="G931">
            <v>85411022</v>
          </cell>
          <cell r="H931" t="str">
            <v>DISPOSITIVO SEMICONDUTOR TIPO DIODO retificador, montado, proprio para montagem em superfície SMD, DE INTENSIDADE DE CORRENTE 1A (2060100612).</v>
          </cell>
        </row>
        <row r="932">
          <cell r="B932">
            <v>2010101650</v>
          </cell>
          <cell r="D932">
            <v>20620204</v>
          </cell>
          <cell r="E932">
            <v>85332120</v>
          </cell>
          <cell r="F932">
            <v>85332120</v>
          </cell>
          <cell r="H932" t="str">
            <v>RESISTOR (RESISTeNCIA ELeTRICA FIXA) PRoPRIO PARA MONTAGEM EM SUPERFÍCIE SMD  20k 1por cento 50ppm POTeNCIA DE 1/16W 0402 (2010101650) SMD</v>
          </cell>
        </row>
        <row r="933">
          <cell r="B933">
            <v>2060900035</v>
          </cell>
          <cell r="D933">
            <v>20680242</v>
          </cell>
          <cell r="E933">
            <v>85412120</v>
          </cell>
          <cell r="F933">
            <v>85412120</v>
          </cell>
          <cell r="G933">
            <v>85412120</v>
          </cell>
          <cell r="H933" t="str">
            <v>Dispositivo semicondutor tipo transistor montado, proprio para montagem em superfície SMD, de capacidade de dissipacAo de 0,3W (2060900035)</v>
          </cell>
        </row>
        <row r="934">
          <cell r="B934">
            <v>2020301151</v>
          </cell>
          <cell r="D934">
            <v>20672649</v>
          </cell>
          <cell r="E934">
            <v>85322200</v>
          </cell>
          <cell r="F934">
            <v>85322200</v>
          </cell>
          <cell r="G934">
            <v>85322200</v>
          </cell>
          <cell r="H934" t="str">
            <v>Capacitor (condensador eletrico fixo) 220uF 20por cento 25V  RAD-3.5mm com dimensoes de 8*11.5mm, para montagem por insercAo (PTH),  eletrolítico de alumínio (2020301151)</v>
          </cell>
        </row>
        <row r="935">
          <cell r="B935">
            <v>2020300192</v>
          </cell>
          <cell r="D935">
            <v>20672648</v>
          </cell>
          <cell r="E935">
            <v>85322200</v>
          </cell>
          <cell r="F935">
            <v>85322200</v>
          </cell>
          <cell r="G935">
            <v>85322200</v>
          </cell>
          <cell r="H935" t="str">
            <v>Capacitor (condensador eletrico fixo) 470uF 20por cento 10V WH RAD-2.5mm com dimensoes de 6.3*12mm, para montagem por insercAo (PTH),  eletrolítico de alumínio (2020300192)</v>
          </cell>
        </row>
        <row r="936">
          <cell r="B936">
            <v>2020300163</v>
          </cell>
          <cell r="D936">
            <v>20672653</v>
          </cell>
          <cell r="E936">
            <v>85322200</v>
          </cell>
          <cell r="F936">
            <v>85322200</v>
          </cell>
          <cell r="G936">
            <v>85322200</v>
          </cell>
          <cell r="H936" t="str">
            <v>Capacitor (condensador eletrico fixo) 47uF 20por cento 450V CY RAD-7.5mm com dimensoes de 16*25mm, para montagem por insercAo (PTH),  eletrolítico de alumínio (2020300163)</v>
          </cell>
        </row>
        <row r="937">
          <cell r="B937">
            <v>3041501550</v>
          </cell>
          <cell r="D937">
            <v>20258600</v>
          </cell>
          <cell r="E937">
            <v>73145000</v>
          </cell>
          <cell r="F937">
            <v>73145000</v>
          </cell>
          <cell r="G937">
            <v>73145000</v>
          </cell>
          <cell r="H937" t="str">
            <v>Chapa distentida, em Aco Carbono - Zincado Branco - de ProtecAo - 30.5mm * 14mm * 1.5mm (3041501550)</v>
          </cell>
        </row>
        <row r="938">
          <cell r="B938">
            <v>2020100310</v>
          </cell>
          <cell r="D938">
            <v>20672644</v>
          </cell>
          <cell r="E938">
            <v>85322410</v>
          </cell>
          <cell r="F938" t="str">
            <v>Not applicable</v>
          </cell>
          <cell r="G938">
            <v>85322410</v>
          </cell>
          <cell r="H938" t="str">
            <v>CAPACITOR (CONDENSADOR ELeTRICO FIXO) COM DIELeTRICO DE CERAMICA, DE CAMADAS MuLTIPLAS, PRoPRIO PARA MONTAGEM EM SUPERFÍCIE SMD - 27.0pF 5por cento NPO 50.0V 0603 (2020100310)</v>
          </cell>
        </row>
        <row r="939">
          <cell r="B939">
            <v>3090308190</v>
          </cell>
          <cell r="D939">
            <v>20661935</v>
          </cell>
          <cell r="E939">
            <v>85444200</v>
          </cell>
          <cell r="F939">
            <v>85444200</v>
          </cell>
          <cell r="G939">
            <v>85444200</v>
          </cell>
          <cell r="H939" t="str">
            <v>CABO CONDUTOR ELeTRICO DE TENSAO 120V A 240V, MUNIDO DE PEcA DE CONEXAO, ISOLADO PARA USO ELeTRICO 4PIN 220mm (3090308190)</v>
          </cell>
        </row>
        <row r="940">
          <cell r="B940">
            <v>3022701649</v>
          </cell>
          <cell r="D940">
            <v>20446101</v>
          </cell>
          <cell r="E940">
            <v>90289010</v>
          </cell>
          <cell r="F940">
            <v>90289010</v>
          </cell>
          <cell r="G940">
            <v>90289010</v>
          </cell>
          <cell r="H940" t="str">
            <v>Guia dos LEDs para CPU e Coletor, parte para montagem de medidor de energia eletrica (contador de eletricidade) - Pantheon (3022701649)</v>
          </cell>
        </row>
        <row r="941">
          <cell r="B941">
            <v>2010104620</v>
          </cell>
          <cell r="D941">
            <v>20633688</v>
          </cell>
          <cell r="E941">
            <v>85332120</v>
          </cell>
          <cell r="F941">
            <v>85332120</v>
          </cell>
          <cell r="G941">
            <v>85332120</v>
          </cell>
          <cell r="H941" t="str">
            <v>RESISTOR (RESISTeNCIA ELeTRICA FIXA) PRoPRIO PARA MONTAGEM EM SUPERFÍCIE SMD  51k 5por cento 100.0ppm POTeNCIA DE 1/4W 1206 SMD (2010104620)</v>
          </cell>
        </row>
        <row r="942">
          <cell r="B942">
            <v>3011101420</v>
          </cell>
          <cell r="D942">
            <v>40257400</v>
          </cell>
          <cell r="E942">
            <v>39269090</v>
          </cell>
          <cell r="F942">
            <v>39269090</v>
          </cell>
          <cell r="G942">
            <v>39269090</v>
          </cell>
          <cell r="H942" t="str">
            <v>Subconjunto Prensa Cabo M24x1.5, de material de plastico, PA66 Nylon Preto (3011101420)</v>
          </cell>
        </row>
        <row r="943">
          <cell r="B943">
            <v>3020308360</v>
          </cell>
          <cell r="D943">
            <v>20446900</v>
          </cell>
          <cell r="E943">
            <v>90289010</v>
          </cell>
          <cell r="F943">
            <v>90289010</v>
          </cell>
          <cell r="H943" t="str">
            <v>Tampa RC com Abertura para SIM Card, parte para montagem de contadores de eletricidade (3020308360)</v>
          </cell>
        </row>
        <row r="944">
          <cell r="B944">
            <v>2020101120</v>
          </cell>
          <cell r="D944">
            <v>20672645</v>
          </cell>
          <cell r="E944">
            <v>85322410</v>
          </cell>
          <cell r="F944" t="str">
            <v>Not applicable</v>
          </cell>
          <cell r="G944">
            <v>85322410</v>
          </cell>
          <cell r="H944" t="str">
            <v>CAPACITOR (CONDENSADOR ELeTRICO FIXO) COM DIELeTRICO DE CERAMICA, DE CAMADAS MuLTIPLAS, PRoPRIO PARA MONTAGEM EM SUPERFÍCIE SMD CERAMICO 22.0µF 20por cento X5R 6.3V 0805 SMD (2020101120)</v>
          </cell>
        </row>
        <row r="945">
          <cell r="B945">
            <v>3090309070</v>
          </cell>
          <cell r="D945">
            <v>20661934</v>
          </cell>
          <cell r="E945">
            <v>85369090</v>
          </cell>
          <cell r="F945">
            <v>85369090</v>
          </cell>
          <cell r="G945">
            <v>85369090</v>
          </cell>
          <cell r="H945" t="str">
            <v>CONECTOR FLAT PARA CONEXAO DE CIRCUITO ELeTRICO COM TENSAO ATe 320V - 28AWG 2*8PIN 120.0mm 2.54mm PTH (3090309070)</v>
          </cell>
        </row>
        <row r="946">
          <cell r="B946">
            <v>2090305390</v>
          </cell>
          <cell r="D946">
            <v>20661933</v>
          </cell>
          <cell r="E946">
            <v>85369090</v>
          </cell>
          <cell r="F946">
            <v>85369090</v>
          </cell>
          <cell r="G946">
            <v>85369090</v>
          </cell>
          <cell r="H946" t="str">
            <v>CONECTOR FeMEA PARA CONEXAO DE CIRCUITO ELeTRICO COM TENSAO ATe 320V - 2*10PIN 2.54mm 6.66mm PTH (2090305390)</v>
          </cell>
        </row>
        <row r="947">
          <cell r="B947">
            <v>2090103470</v>
          </cell>
          <cell r="D947">
            <v>20661932</v>
          </cell>
          <cell r="E947">
            <v>85369090</v>
          </cell>
          <cell r="F947">
            <v>85369090</v>
          </cell>
          <cell r="G947">
            <v>85369090</v>
          </cell>
          <cell r="H947" t="str">
            <v>CONECTOR FeMEA PARA CONEXAO DE CIRCUITO ELeTRICO COM TENSAO ATe 320V -  2*8PIN 2.54mm 19.4mm PTH (2090103470)</v>
          </cell>
        </row>
        <row r="948">
          <cell r="B948">
            <v>2060100561</v>
          </cell>
          <cell r="D948">
            <v>20633758</v>
          </cell>
          <cell r="E948">
            <v>85411022</v>
          </cell>
          <cell r="F948">
            <v>85411022</v>
          </cell>
          <cell r="G948">
            <v>85411022</v>
          </cell>
          <cell r="H948" t="str">
            <v>DISPOSITIVO SEMICONDUTOR TIPO DIODO SCHOTTKY, MONTADO, PRoPRIO PARA MONTAGEM EM SUPERFÍCIE SMD, DE INTENSIDADE DE CORRENTE 0,5A (2060100561)</v>
          </cell>
        </row>
        <row r="949">
          <cell r="B949">
            <v>2150138340</v>
          </cell>
          <cell r="D949">
            <v>20680234</v>
          </cell>
          <cell r="E949">
            <v>85340033</v>
          </cell>
          <cell r="F949" t="str">
            <v>Not applicable</v>
          </cell>
          <cell r="G949">
            <v>85340033</v>
          </cell>
          <cell r="H949" t="str">
            <v>PLACA DE CIRCUITO IMPRESSO, DE NATUREZA DO MATERIAL BASE RÍGIDO, COMPOSIcAO DA PLACA DE ISOLANTE DE RESINA EPoXIDA E TECIDO DE FIBRA DE VIDRO, ESTRUTURA DE DUPLA-FACE E INTERLIGAcAO ENTRE FACES POR FUROS METALIZADOS, 133.26mm x 186.9mm x 1.6mm; (2150138340)</v>
          </cell>
        </row>
        <row r="950">
          <cell r="B950">
            <v>2150138350</v>
          </cell>
          <cell r="D950">
            <v>20680235</v>
          </cell>
          <cell r="E950">
            <v>85340033</v>
          </cell>
          <cell r="F950" t="str">
            <v>Not applicable</v>
          </cell>
          <cell r="G950">
            <v>85340033</v>
          </cell>
          <cell r="H950" t="str">
            <v>PLACA DE CIRCUITO IMPRESSO DE NATUREZA DO MATERIAL BASE RÍGIDO, COMPOSIcAO DA PLACA COM ISOLANTE DE RESINA EPoXIDA E TECIDO DE FIBRA DE VIDRO, ESTRUTURA DE DUPLA FACE, E INTERLIGAcAO ENTRE FACES COM FUROS METALIZADOS, 2 237.5mm*116.98mm*1.6mm/1 nAo-RoHS SMD (2150138350)</v>
          </cell>
        </row>
        <row r="951">
          <cell r="B951">
            <v>2150138330</v>
          </cell>
          <cell r="D951">
            <v>20680236</v>
          </cell>
          <cell r="E951">
            <v>85340033</v>
          </cell>
          <cell r="F951" t="str">
            <v>Not applicable</v>
          </cell>
          <cell r="G951">
            <v>85340033</v>
          </cell>
          <cell r="H951" t="str">
            <v>PLACA DE CIRCUITO IMPRESSO, DE NATUREZA DO MATERIAL BASE RÍGIDO, COMPOSIcAO DA PLACA DE ISOLANTE DE RESINA EPoXIDA E TECIDO DE FIBRA DE VIDRO, ESTRUTURA DE DUPLA-FACE E INTERLIGAcAO ENTRE FACES POR FUROS METALIZADOS,  237.5mm x 117mm x 1.6mm; (2150138330)</v>
          </cell>
        </row>
        <row r="952">
          <cell r="B952">
            <v>3010313960</v>
          </cell>
          <cell r="D952">
            <v>20691988</v>
          </cell>
          <cell r="E952">
            <v>85364100</v>
          </cell>
          <cell r="F952">
            <v>85364100</v>
          </cell>
          <cell r="G952">
            <v>85364100</v>
          </cell>
          <cell r="H952" t="str">
            <v>RELe DE TENSAO 12V, FORMA CONSTRUTIVA ELETROMECANICO DE PESO LÍQUIDO APROXIMADO DE 65g a 80g, 100A(180µO) 30103-DH70-02 Fase 2 PTH (3010313960)</v>
          </cell>
        </row>
        <row r="953">
          <cell r="B953">
            <v>3010313950</v>
          </cell>
          <cell r="D953">
            <v>20691989</v>
          </cell>
          <cell r="E953">
            <v>85364100</v>
          </cell>
          <cell r="F953">
            <v>85364100</v>
          </cell>
          <cell r="G953">
            <v>85364100</v>
          </cell>
          <cell r="H953" t="str">
            <v>RELe DE TENSAO 12V, FORMA CONSTRUTIVA ELETROMECANICO DE PESO LÍQUIDO APROXIMADO DE 100g a 115g, 100A (180µO) 30103-DH70-03 Fase 1 PTH (3010313950)</v>
          </cell>
        </row>
        <row r="954">
          <cell r="B954">
            <v>2050500064</v>
          </cell>
          <cell r="D954">
            <v>20660367</v>
          </cell>
          <cell r="E954">
            <v>85423221</v>
          </cell>
          <cell r="F954">
            <v>85423221</v>
          </cell>
          <cell r="H954" t="str">
            <v>CIRCUITO INTEGRADO ELETRoNICO DE MEMoRIA TIPO EEPROM, MONTADO, PRoPRIO PARA MONTAGEM EM SUPERFÍCIE SMD, DE CAPACIDADE DE MEMoRIA 16KBytes (128Kbits) E TEMPO DE ACESSO 10 nS - 1.7 ~ 5.5V 128kb I2C SOP8 SMD (2050500064)</v>
          </cell>
        </row>
        <row r="955">
          <cell r="B955">
            <v>2020300583</v>
          </cell>
          <cell r="D955">
            <v>20660628</v>
          </cell>
          <cell r="E955">
            <v>85322200</v>
          </cell>
          <cell r="F955">
            <v>85322200</v>
          </cell>
          <cell r="G955">
            <v>85322200</v>
          </cell>
          <cell r="H955" t="str">
            <v>CAPACITOR (CONDENSADOR ELeTRICO FIXO) ELETROLÍTICO DE ALUMÍNIO 10.0uF 400V 20por cento KSP RAD-5mm/F10*20mm PTH (2020300583)</v>
          </cell>
        </row>
        <row r="956">
          <cell r="B956">
            <v>2030100473</v>
          </cell>
          <cell r="D956">
            <v>20650124</v>
          </cell>
          <cell r="E956">
            <v>85045010</v>
          </cell>
          <cell r="F956" t="str">
            <v>Need to update benefit</v>
          </cell>
          <cell r="G956">
            <v>85045010</v>
          </cell>
          <cell r="H956" t="str">
            <v>Bobina de auto-inducAo (indutor) de chip, de largura 5 mm e comprimento 5 mm, e altura 0,2 mm, para montagem em superfície SMD, indutAncia 2,2uH, tolerAncia de 30por cento, 100kHz de frequencia, corrente maxima 2,9A.</v>
          </cell>
        </row>
        <row r="957">
          <cell r="B957">
            <v>2020300241</v>
          </cell>
          <cell r="D957">
            <v>20672651</v>
          </cell>
          <cell r="E957">
            <v>85322200</v>
          </cell>
          <cell r="F957">
            <v>85322200</v>
          </cell>
          <cell r="G957">
            <v>85322200</v>
          </cell>
          <cell r="H957" t="str">
            <v>Capacitor (condensador eletrico fixo) 100uF 20por cento 16V RAD-2mm com dimensoes de 5*10mm, para montagem por insercAo (PTH),  eletrolítico de alumínio (2020300241)</v>
          </cell>
        </row>
        <row r="958">
          <cell r="B958">
            <v>2020300772</v>
          </cell>
          <cell r="D958">
            <v>20660614</v>
          </cell>
          <cell r="E958">
            <v>85322200</v>
          </cell>
          <cell r="F958">
            <v>85322200</v>
          </cell>
          <cell r="G958">
            <v>85322200</v>
          </cell>
          <cell r="H958" t="str">
            <v>CAPACITOR (CONDENSADOR ELeTRICO FIXO) ELETROLÍTICO DE ALUMÍNIO 10uF 20por cento 450V CY 10000h RAD-5.0mm 10*20mm PTH (2020300772)</v>
          </cell>
        </row>
        <row r="959">
          <cell r="B959">
            <v>2050500032</v>
          </cell>
          <cell r="D959">
            <v>20660365</v>
          </cell>
          <cell r="E959">
            <v>85423221</v>
          </cell>
          <cell r="F959">
            <v>85423221</v>
          </cell>
          <cell r="H959" t="str">
            <v>CIRCUITO INTEGRADO ELETRoNICO DE MEMoRIA TIPO EEPROM, MONTADO, PRoPRIO PARA MONTAGEM EM SUPERFÍCIE SMD, DE CAPACIDADE DE MEMoRIA 0,5 Kbytes (4 Kbits) E TEMPO DE ACESSO 25 nS(2050500032)</v>
          </cell>
        </row>
        <row r="960">
          <cell r="B960">
            <v>2050500042</v>
          </cell>
          <cell r="D960">
            <v>20660366</v>
          </cell>
          <cell r="E960">
            <v>85423221</v>
          </cell>
          <cell r="F960">
            <v>85423221</v>
          </cell>
          <cell r="H960" t="str">
            <v>CIRCUITO INTEGRADO ELETRoNICO DE MEMoRIA TIPO EEPROM, MONTADO, PRoPRIO PARA MONTAGEM EM SUPERFÍCIE SMD, DE CAPACIDADE DE MEMoRIA 8 Kbytes (64 Kbits) E TEMPO DE ACESSO 10 nS(2050500042)</v>
          </cell>
        </row>
        <row r="961">
          <cell r="B961">
            <v>2020700052</v>
          </cell>
          <cell r="D961">
            <v>20672559</v>
          </cell>
          <cell r="E961">
            <v>85322420</v>
          </cell>
          <cell r="F961">
            <v>85322420</v>
          </cell>
          <cell r="G961">
            <v>85322420</v>
          </cell>
          <cell r="H961" t="str">
            <v>CAPACITOR (CONDENSADOR ELeTRICO FIXO) COM DIELeTRICO DE CERAMICA, DE MuLTIPLAS CAMADAS, PRoPRIOS PARA MONTAGEM POR INSERcAO PTH 2.2nF,20por cento 250V RAD-7.5mm PTH (2020700052)</v>
          </cell>
        </row>
        <row r="962">
          <cell r="B962">
            <v>2020100320</v>
          </cell>
          <cell r="D962">
            <v>20672646</v>
          </cell>
          <cell r="E962">
            <v>85322410</v>
          </cell>
          <cell r="F962" t="str">
            <v>Not applicable</v>
          </cell>
          <cell r="G962">
            <v>85322410</v>
          </cell>
          <cell r="H962" t="str">
            <v>CAPACITOR (CONDENSADOR ELeTRICO FIXO) COM DIELeTRICO DE CERAMICA, DE CAMADAS MuLTIPLAS, PRoPRIO PARA MONTAGEM EM SUPERFÍCIE SMD - 1.0µF 10por cento X5R 16.0V 0603 (2020100320)</v>
          </cell>
        </row>
        <row r="963">
          <cell r="B963">
            <v>2020302563</v>
          </cell>
          <cell r="D963">
            <v>20672667</v>
          </cell>
          <cell r="E963">
            <v>85322200</v>
          </cell>
          <cell r="F963">
            <v>85322200</v>
          </cell>
          <cell r="G963">
            <v>85322200</v>
          </cell>
          <cell r="H963" t="str">
            <v>CAPACITOR (CONDENSADOR ELeTRICO FIXO) ELETROLÍTICO DE ALUMÍNIO 470uF 25V 20por cento GH 10000h RAD-5mm/F10*12.5mm PTH (2020302563)</v>
          </cell>
        </row>
        <row r="964">
          <cell r="B964">
            <v>2050903491</v>
          </cell>
          <cell r="D964">
            <v>20691622</v>
          </cell>
          <cell r="E964">
            <v>85423939</v>
          </cell>
          <cell r="F964">
            <v>85423939</v>
          </cell>
          <cell r="H964" t="str">
            <v>CIRCUITO INTEGRADO ELETRoINIO TIPO REGULADOR DE ENERGIA DCDC, MONTADO, PRoPRIO PARA MONTAGEM EM SUPERFÍCIE SMD - 4~24V 3000mA saída ajustavel SOT23-6 (2050903491) SMD</v>
          </cell>
        </row>
        <row r="965">
          <cell r="B965">
            <v>2060100294</v>
          </cell>
          <cell r="D965">
            <v>20690628</v>
          </cell>
          <cell r="E965">
            <v>85411022</v>
          </cell>
          <cell r="F965">
            <v>85411022</v>
          </cell>
          <cell r="H965" t="str">
            <v>DISPOSITIVO SEMICONDUTOR TIPO DIODO DE RECUPERAcAO RaPIDA, MONTADO, PRoPRIO PARA MONTAGEM EM SUPERFÍCIE SMD, DE INTENSIDADE DE CORRENTE 2A (2060100294) SMD</v>
          </cell>
        </row>
        <row r="966">
          <cell r="B966">
            <v>2060100675</v>
          </cell>
          <cell r="D966">
            <v>20690630</v>
          </cell>
          <cell r="E966">
            <v>85411022</v>
          </cell>
          <cell r="F966">
            <v>85411022</v>
          </cell>
          <cell r="G966">
            <v>85411022</v>
          </cell>
          <cell r="H966" t="str">
            <v>DISPOSITIVO SEMICONDUTOR TIPO DIODO retificador, montado, proprio para montagem em superfície SMD, de intensidade de corrente 2A (2060100675).</v>
          </cell>
        </row>
        <row r="967">
          <cell r="B967">
            <v>2030102142</v>
          </cell>
          <cell r="D967">
            <v>20650129</v>
          </cell>
          <cell r="E967">
            <v>85045010</v>
          </cell>
          <cell r="F967" t="str">
            <v>Need to update benefit</v>
          </cell>
          <cell r="H967" t="str">
            <v xml:space="preserve">Bobina de auto-inducao (indutor fixo) de 6.8uH, para montagem em superficie SMD, tolerancia de 20%, 43m Ohms de resistencia, corrente maxima 3.2A, dimensoes 6.0mm de comprimento, 6.0mm de largura e 4.5mm de altura (2030102142) SMT  </v>
          </cell>
        </row>
        <row r="968">
          <cell r="B968">
            <v>2150144940</v>
          </cell>
          <cell r="D968">
            <v>20661728</v>
          </cell>
          <cell r="E968">
            <v>85340033</v>
          </cell>
          <cell r="F968" t="str">
            <v>Not applicable</v>
          </cell>
          <cell r="G968">
            <v>85340033</v>
          </cell>
          <cell r="H968" t="str">
            <v>PLACA DE CIRCUITO IMPRESSO DE NATUREZA DO MATERIAL BASE RÍGIDO, COMPOSIcAO DA PLACA COM ISOLANTE DE RESINA EPoXIDA E TECIDO DE FIBRA DE VIDRO, ESTRUTURA DE DUPLA FACE, E INTERLIGAcAO ENTRE FACES COM FUROS METALIZADOS, 2 205.99mm 117.0mm 1.6mm 1 nAo-RoHS/1 (2150144940) SMD</v>
          </cell>
        </row>
        <row r="969">
          <cell r="B969">
            <v>2010110190</v>
          </cell>
          <cell r="D969">
            <v>20620205</v>
          </cell>
          <cell r="E969">
            <v>85332120</v>
          </cell>
          <cell r="F969">
            <v>85332120</v>
          </cell>
          <cell r="H969" t="str">
            <v>RESISTOR (RESISTeNCIA ELeTRICA FIXA) PRoPRIO PARA MONTAGEM EM SUPERFÍCIE SMD  150k 1por cento 100ppm POTeNCIA DE 1/16W 0402 (2010110190) SMD</v>
          </cell>
        </row>
        <row r="970">
          <cell r="B970">
            <v>2100301123</v>
          </cell>
          <cell r="D970">
            <v>20691570</v>
          </cell>
          <cell r="E970">
            <v>85043199</v>
          </cell>
          <cell r="F970">
            <v>85043199</v>
          </cell>
          <cell r="G970">
            <v>85043199</v>
          </cell>
          <cell r="H970" t="str">
            <v>TRANSFORMADOR ELeTRICO DE ALTA FREQUeNCIA, DE POTeNCIA 0,42KVA, DE FREQUeNCIA 200 KHZ, 2200±10por cento 90uH 2 4200/1500V EE20 23*18.5*22mm PTH (2100301123)</v>
          </cell>
        </row>
        <row r="971">
          <cell r="B971">
            <v>2060900065</v>
          </cell>
          <cell r="D971">
            <v>20680244</v>
          </cell>
          <cell r="E971">
            <v>85412120</v>
          </cell>
          <cell r="F971">
            <v>85412120</v>
          </cell>
          <cell r="G971">
            <v>85412120</v>
          </cell>
          <cell r="H971" t="str">
            <v>DISPOSITIVO SEMICONDUTOR TIPO TRANSISTOR, MONTADO, PRoPRIO PARA MONTAGEM EM SUPERFÍCIE SMD, DE CAPACIDADE DE DISSIPAcAO 0,35W (2060900065)</v>
          </cell>
        </row>
        <row r="972">
          <cell r="B972">
            <v>2060900054</v>
          </cell>
          <cell r="D972">
            <v>20680243</v>
          </cell>
          <cell r="E972">
            <v>85412120</v>
          </cell>
          <cell r="F972">
            <v>85412120</v>
          </cell>
          <cell r="H972" t="str">
            <v>TRANSISTOR PNP MONTADO, PRoPRIO PARA MONTAGEM EM SUPERFÍCIE SMD, DE CAPACIDADE DE DISSIPAcAO 0,6W - 45.0V -500.0mA 40~600 SOT-23 SMD (2060900054)</v>
          </cell>
        </row>
        <row r="973">
          <cell r="B973">
            <v>2011100233</v>
          </cell>
          <cell r="D973">
            <v>20624811</v>
          </cell>
          <cell r="E973">
            <v>85334012</v>
          </cell>
          <cell r="F973">
            <v>85334012</v>
          </cell>
          <cell r="G973">
            <v>85334012</v>
          </cell>
          <cell r="H973" t="str">
            <v>VARISTOR (RESISTeNCIA ELeTRICA VARIaVEL NAO LINEAR SEMICONDUTORA) DE TENSAO 680V 10por cento 10000A F18mm/7.6mm (2011100233) PTH</v>
          </cell>
        </row>
        <row r="974">
          <cell r="B974" t="str">
            <v>MEI53.R210</v>
          </cell>
          <cell r="D974">
            <v>20691349</v>
          </cell>
          <cell r="E974">
            <v>85176277</v>
          </cell>
          <cell r="F974">
            <v>85176277</v>
          </cell>
          <cell r="H974" t="str">
            <v xml:space="preserve"> Modulo de ComunicacAo eLTE-IoT 230MHz (MEI53.R210)</v>
          </cell>
        </row>
        <row r="975">
          <cell r="B975" t="str">
            <v>HXCRJ.R140</v>
          </cell>
          <cell r="D975">
            <v>20693351</v>
          </cell>
          <cell r="E975">
            <v>85447090</v>
          </cell>
          <cell r="F975">
            <v>85447090</v>
          </cell>
          <cell r="H975" t="str">
            <v>Cabeca de comunicacAo optica - RS232 (HXCRJ.R140)</v>
          </cell>
        </row>
        <row r="976">
          <cell r="B976" t="str">
            <v>HXCUJ.R14001</v>
          </cell>
          <cell r="D976">
            <v>20693350</v>
          </cell>
          <cell r="E976">
            <v>85447090</v>
          </cell>
          <cell r="F976">
            <v>85447090</v>
          </cell>
          <cell r="H976" t="str">
            <v>Cabo de fibra optica, munido de cabeca de comunicacAo optica - USB, com revestimento externo de plastico (HXCUJ.R140)</v>
          </cell>
        </row>
        <row r="977">
          <cell r="B977">
            <v>3030110120</v>
          </cell>
          <cell r="D977">
            <v>21132101</v>
          </cell>
          <cell r="E977">
            <v>73181500</v>
          </cell>
          <cell r="F977">
            <v>73181500</v>
          </cell>
          <cell r="G977">
            <v>73181500</v>
          </cell>
          <cell r="H977" t="str">
            <v>Parafuso cabeca escareada M4x0,7 - 75mm, de materia-prima base de aco baixo carbono, de processo de fabricacAo por usinagem, com acabamento superficial zincado branco (3030110120)</v>
          </cell>
        </row>
        <row r="978">
          <cell r="B978">
            <v>3030110140</v>
          </cell>
          <cell r="D978">
            <v>21132001</v>
          </cell>
          <cell r="E978">
            <v>73181500</v>
          </cell>
          <cell r="F978">
            <v>73181500</v>
          </cell>
          <cell r="G978">
            <v>73181500</v>
          </cell>
          <cell r="H978" t="str">
            <v>Parafuso cabeca escareada M4x0,7 - 60mm, de materia-prima base de aco baixo carbono, de processo de fabricacAo por usinagem, com acabamento superficial Zincado branco (3030110140)</v>
          </cell>
        </row>
        <row r="979">
          <cell r="B979">
            <v>5070000520</v>
          </cell>
          <cell r="D979">
            <v>20691811</v>
          </cell>
          <cell r="E979">
            <v>85423999</v>
          </cell>
          <cell r="F979">
            <v>85423999</v>
          </cell>
          <cell r="H979" t="str">
            <v>CIRCUITO INTEGRADO ELETRoNICO TIPO COMUNICAcAO RF (Modulo CBB), MONTADO, PRoPRIO PARA MONTAGEM POR INSERcAO PTH - 4V 50mA(5070000520)</v>
          </cell>
        </row>
        <row r="980">
          <cell r="B980" t="str">
            <v>MXNXU91NNNNNNS3BEDUNN</v>
          </cell>
          <cell r="D980">
            <v>20694410</v>
          </cell>
          <cell r="E980">
            <v>85176277</v>
          </cell>
          <cell r="F980" t="str">
            <v>Not applicable</v>
          </cell>
          <cell r="G980">
            <v>85176277</v>
          </cell>
          <cell r="H980" t="str">
            <v>Radio de frequencia 900MHz, para comunicacAo (recepcAo, conversAo e transmissAo) de dados por rede sem fio (WLAN), emissor, com receptor incorporado, digital, de taxa de trasmissAo superior a 34Mbit/s - marca GE, modelo MCR (MXNXU91NNNNNNS3BEDUNN)</v>
          </cell>
        </row>
        <row r="981">
          <cell r="B981" t="str">
            <v>ECRU91NNNNNS1D1BRUNNN</v>
          </cell>
          <cell r="D981">
            <v>20694411</v>
          </cell>
          <cell r="E981">
            <v>85176277</v>
          </cell>
          <cell r="F981">
            <v>85176277</v>
          </cell>
          <cell r="G981">
            <v>85176277</v>
          </cell>
          <cell r="H981" t="str">
            <v>Radio de frequencia 900MHz, para comunicacAo (recepcAo, conversAo e transmissAo) de dados por rede sem fio (WLAN), emissor, com receptor incorporado, digital, de taxa de trasmissAo superior a 34Mbit/s - marca GE, modelo ECR (ECRU91NNNNNS1D1BRUNNN)</v>
          </cell>
        </row>
        <row r="982">
          <cell r="B982" t="str">
            <v>WSG-P70-0106-02</v>
          </cell>
          <cell r="D982">
            <v>20694415</v>
          </cell>
          <cell r="E982">
            <v>85176277</v>
          </cell>
          <cell r="F982">
            <v>85176277</v>
          </cell>
          <cell r="H982" t="str">
            <v>Placa Base Metalica em gabinete WSG P70,  FuncAo redundante 457mm x 378mm x 219mm (WSG-P70-0106-02)</v>
          </cell>
        </row>
        <row r="983">
          <cell r="B983" t="str">
            <v>HXAP1000R21002</v>
          </cell>
          <cell r="D983">
            <v>20694400</v>
          </cell>
          <cell r="E983">
            <v>85176241</v>
          </cell>
          <cell r="F983">
            <v>85176241</v>
          </cell>
          <cell r="G983">
            <v>85176241</v>
          </cell>
          <cell r="H983" t="str">
            <v>Roteadores de borda, digitais, para comunicacAo de dados sem fio, compatíveis com o padrAo WiSUN e IEEE802.15.4g, capazes de operar na faixa ISM de 902 a 928MHz em redes de topologia "Mesh" ou "Estrela" com espalhamento espectral por salto em frequencia (FHSS), enderecamento IPv6 e potencia de transmissAo de ate +30dBm, com interface de comunicacAo "fast ethernet" e alimentacAo "full-range" de 85 a 336VAC., ano de fabricacAo XXXX, numeros de serie YYYY a ZZZZ, modelo MMMM, marca LLLL.</v>
          </cell>
        </row>
        <row r="984">
          <cell r="B984" t="str">
            <v>97-3194A17</v>
          </cell>
          <cell r="D984">
            <v>20694413</v>
          </cell>
          <cell r="E984">
            <v>85291019</v>
          </cell>
          <cell r="F984">
            <v>85291019</v>
          </cell>
          <cell r="H984" t="str">
            <v>Antena Omni direcional para frequencia 902-928MHz 7dBd (9.15 dBi) w/16" coax N-M (97-3194A17)</v>
          </cell>
        </row>
        <row r="985">
          <cell r="B985" t="str">
            <v>97-1680A30</v>
          </cell>
          <cell r="D985">
            <v>20694414</v>
          </cell>
          <cell r="E985">
            <v>85354090</v>
          </cell>
          <cell r="F985">
            <v>85354090</v>
          </cell>
          <cell r="H985" t="str">
            <v>Supressor de surto para antena externa para frequencias ate DC 7GHz NF/NF (97-1680A30)</v>
          </cell>
        </row>
        <row r="986">
          <cell r="B986" t="str">
            <v>HXAP1000R21001</v>
          </cell>
          <cell r="D986">
            <v>20694401</v>
          </cell>
          <cell r="E986">
            <v>85176241</v>
          </cell>
          <cell r="F986">
            <v>85176241</v>
          </cell>
          <cell r="G986">
            <v>85176241</v>
          </cell>
          <cell r="H986"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987">
          <cell r="B987" t="str">
            <v>HXWSG100R21001</v>
          </cell>
          <cell r="D987">
            <v>20694402</v>
          </cell>
          <cell r="E987">
            <v>85176294</v>
          </cell>
          <cell r="F987">
            <v>85176294</v>
          </cell>
          <cell r="G987">
            <v>85176294</v>
          </cell>
          <cell r="H987" t="str">
            <v>Sub-roteadores de radio frequencia, tradutores (conversores) de protocolos para interconexAo de redes (gateways), para comunicacAo (conversAo) de dados, compatíveis com o padrAo WiSUN e IEEE802.15.4g, capazes de operar na faixa ISM de 902 a 928MHz em redes de topologia "Mesh" ou "Estrela" com espalhamento espectral por salto em frequencia (FHSS), enderecamento IPv6 e potencia de transmissAo de ate +30dBm, contendo alimentacAo "full-range" de 80 a 300VAC, ano de fabricacAo XXXX, numeros de serie YYYY a ZZZZ, modelo MMMM, marca LLLL.</v>
          </cell>
        </row>
        <row r="988">
          <cell r="B988" t="str">
            <v>MXCT4GANW51NNS3BGSUND</v>
          </cell>
          <cell r="D988">
            <v>20694405</v>
          </cell>
          <cell r="E988">
            <v>85176277</v>
          </cell>
          <cell r="F988" t="str">
            <v>Not applicable</v>
          </cell>
          <cell r="G988">
            <v>85176277</v>
          </cell>
          <cell r="H988" t="str">
            <v>Modem Celular 3G/4G LTE para as frequencias do Brasil com Dual SIM</v>
          </cell>
        </row>
        <row r="989">
          <cell r="B989">
            <v>2020300631</v>
          </cell>
          <cell r="D989">
            <v>20672654</v>
          </cell>
          <cell r="E989">
            <v>85322200</v>
          </cell>
          <cell r="F989">
            <v>85322200</v>
          </cell>
          <cell r="H989" t="str">
            <v>CAPACITOR (CONDENSADOR ELeTRICO FIXO) ELETROLÍTICO DE ALUMÍNIO 100uF 20por cento 10V KYA 4000h RAD-2.0mm/F5*11mm PTH (2020300631)</v>
          </cell>
        </row>
        <row r="990">
          <cell r="B990">
            <v>2020302621</v>
          </cell>
          <cell r="D990">
            <v>20660656</v>
          </cell>
          <cell r="E990">
            <v>85322200</v>
          </cell>
          <cell r="F990">
            <v>85322200</v>
          </cell>
          <cell r="G990">
            <v>85322200</v>
          </cell>
          <cell r="H990" t="str">
            <v>CAPACITOR (CONDENSADOR ELeTRICO FIXO) ELETROLÍTICO DE ALUMÍNIO 220uF 20por cento 25V YXJ 7000h RAD-2.5mm/F6.3*11mm PTH (2020302621)</v>
          </cell>
        </row>
        <row r="991">
          <cell r="B991">
            <v>2020500092</v>
          </cell>
          <cell r="D991">
            <v>20672657</v>
          </cell>
          <cell r="E991">
            <v>85322590</v>
          </cell>
          <cell r="F991">
            <v>85322590</v>
          </cell>
          <cell r="G991">
            <v>85322590</v>
          </cell>
          <cell r="H991" t="str">
            <v>CAPACITOR (CONDENSADOR ELeTRICO FIXO), COM DIELeTRICO DE PLaSTICO (FILME), METALIZADO, PRoPRIO PARA MONTAGEM EM SUPERFÍCIE PTH 0.39uF 10por cento 330V RAD-22.5mm/26.5*19*10mm PTH (2020500092)</v>
          </cell>
        </row>
        <row r="992">
          <cell r="B992">
            <v>2020500462</v>
          </cell>
          <cell r="D992">
            <v>20672658</v>
          </cell>
          <cell r="E992">
            <v>85322590</v>
          </cell>
          <cell r="F992">
            <v>85322590</v>
          </cell>
          <cell r="H992" t="str">
            <v>CAPACITOR (CONDENSADOR ELeTRICO FIXO), COM DIELeTRICO DE PLaSTICO (FILME), METALIZADO, PRoPRIO PARA MONTAGEM EM SUPERFÍCIE PTH 0.47uF 10por cento 330V RAD-22.5mm/26.5*19*10mm PTH (2020500462)</v>
          </cell>
        </row>
        <row r="993">
          <cell r="B993" t="str">
            <v>MJN45.R110</v>
          </cell>
          <cell r="D993">
            <v>21341018</v>
          </cell>
          <cell r="E993">
            <v>48211000</v>
          </cell>
          <cell r="F993">
            <v>48211000</v>
          </cell>
          <cell r="H993" t="str">
            <v>Etiqueta de papel, impressa - Anatel - NIC MJN45.R110 - Repetidor Hexnet</v>
          </cell>
        </row>
        <row r="994">
          <cell r="B994">
            <v>2010100350</v>
          </cell>
          <cell r="D994">
            <v>20633574</v>
          </cell>
          <cell r="E994">
            <v>85332120</v>
          </cell>
          <cell r="F994">
            <v>85332120</v>
          </cell>
          <cell r="H994" t="str">
            <v>RESISTOR (RESISTeNCIA ELeTRICA FIXA) PRoPRIO PARA MONTAGEM EM SUPERFÍCIE SMD 10R 1por cento 100PPM POTeNCIA DE 1/8 W  0805 (5000)(2010100350)</v>
          </cell>
        </row>
        <row r="995">
          <cell r="B995">
            <v>3021701619</v>
          </cell>
          <cell r="D995">
            <v>20471707</v>
          </cell>
          <cell r="E995">
            <v>90289010</v>
          </cell>
          <cell r="F995">
            <v>90289010</v>
          </cell>
          <cell r="H995" t="str">
            <v>Tampa Auxiliar da Bateria Ares 8023, parte para montagem de contadores de eletricidade(8.314.3CS00-00-12/8.314.3CS00-00-1C) THS (3021701619)</v>
          </cell>
        </row>
        <row r="996">
          <cell r="B996">
            <v>40500101</v>
          </cell>
          <cell r="D996">
            <v>40500101</v>
          </cell>
          <cell r="E996">
            <v>85389010</v>
          </cell>
          <cell r="F996" t="str">
            <v>Not applicable</v>
          </cell>
          <cell r="G996">
            <v>85389010</v>
          </cell>
          <cell r="H996" t="str">
            <v>Placa de circuito impresso com componentes eletronicos, montados, para CPU de cabine controladora de medidores de energia eletrica, com antena externa, com bateria, conexAo 3 fases 4 fios, frequencia 60Hz, comunicacAo RS-485, com pecas plasticas.</v>
          </cell>
        </row>
        <row r="997">
          <cell r="B997" t="str">
            <v>HXB6021C.R210</v>
          </cell>
          <cell r="D997">
            <v>40264600</v>
          </cell>
          <cell r="E997">
            <v>90289010</v>
          </cell>
          <cell r="F997">
            <v>90289010</v>
          </cell>
          <cell r="H997" t="str">
            <v>PCBA Pantheon-MM NG, parte para montagem de contadores de eletricidade (HXB6021C.R210)</v>
          </cell>
        </row>
        <row r="998">
          <cell r="B998">
            <v>2050701591</v>
          </cell>
          <cell r="D998">
            <v>20693530</v>
          </cell>
          <cell r="E998">
            <v>85235290</v>
          </cell>
          <cell r="F998">
            <v>85235290</v>
          </cell>
          <cell r="H998" t="str">
            <v>Suporte semicondutor, cartAo inteligente tipo SIMcard - multioperadora para uso em equipamentos de medicAo de energia eletrica "Smart Meters"</v>
          </cell>
        </row>
        <row r="999">
          <cell r="B999">
            <v>2010103290</v>
          </cell>
          <cell r="D999">
            <v>20633597</v>
          </cell>
          <cell r="E999">
            <v>85332120</v>
          </cell>
          <cell r="F999">
            <v>85332120</v>
          </cell>
          <cell r="H999" t="str">
            <v>RESISTOR (RESISTeNCIA ELeTRICA FIXA) PRoPRIO PARA MONTAGEM EM SUPERFÍCIE SMD DE POTeNCIA 1/8W 390K 5por cento 100PPM (R03088) SMD (5000) (2010103290)</v>
          </cell>
        </row>
        <row r="1000">
          <cell r="B1000">
            <v>2011100163</v>
          </cell>
          <cell r="D1000">
            <v>20680113</v>
          </cell>
          <cell r="E1000">
            <v>85334012</v>
          </cell>
          <cell r="F1000">
            <v>85334012</v>
          </cell>
          <cell r="G1000">
            <v>85334012</v>
          </cell>
          <cell r="H1000" t="str">
            <v>VARISTOR (RESISTeNCIA ELeTRICA VARIaVEL NAO LINEAR SEMICONDUTORA) DE TENSAO 680V 6000A -40~+85C 0J 560V vertical 2 420V 10por cento 448pF PTH (2011100163)</v>
          </cell>
        </row>
        <row r="1001">
          <cell r="B1001">
            <v>2020300013</v>
          </cell>
          <cell r="D1001">
            <v>20672656</v>
          </cell>
          <cell r="E1001">
            <v>85322200</v>
          </cell>
          <cell r="F1001">
            <v>85322200</v>
          </cell>
          <cell r="G1001">
            <v>85322200</v>
          </cell>
          <cell r="H1001" t="str">
            <v>CAPACITOR (CONDENSADOR ELeTRICO FIXO) ELETROLÍTICO DE ALUMÍNIO 47uF 20por cento 25V YXF 5000h RAD-2mm/F5*11mm PTH (2020300013)</v>
          </cell>
        </row>
        <row r="1002">
          <cell r="B1002">
            <v>2020300562</v>
          </cell>
          <cell r="D1002">
            <v>20672670</v>
          </cell>
          <cell r="E1002">
            <v>85322200</v>
          </cell>
          <cell r="F1002">
            <v>85322200</v>
          </cell>
          <cell r="G1002">
            <v>85322200</v>
          </cell>
          <cell r="H1002" t="str">
            <v>Capacitor (condensador eletrico fixo) 22uF 20por cento 450V KSP RAD-7.5mm com dimensoes de 16*20mm, para montagem por insercAo (PTH),  eletrolítico de alumínio (2020300562)</v>
          </cell>
        </row>
        <row r="1003">
          <cell r="B1003">
            <v>2020301162</v>
          </cell>
          <cell r="D1003">
            <v>20672671</v>
          </cell>
          <cell r="E1003">
            <v>85322200</v>
          </cell>
          <cell r="F1003">
            <v>85322200</v>
          </cell>
          <cell r="H1003" t="str">
            <v>CAPACITOR (CONDENSADOR ELeTRICO FIXO) ELETROLÍTICO DE ALUMÍNIO 220F 25V 20por cento GH 7000h RAD-3.5mm/8*11.5mm PTH (2020301162)</v>
          </cell>
        </row>
        <row r="1004">
          <cell r="B1004">
            <v>2060100023</v>
          </cell>
          <cell r="D1004">
            <v>20690626</v>
          </cell>
          <cell r="E1004">
            <v>85411022</v>
          </cell>
          <cell r="F1004">
            <v>85411022</v>
          </cell>
          <cell r="G1004">
            <v>85411022</v>
          </cell>
          <cell r="H1004" t="str">
            <v>DISPOSITIVO SEMICONDUTOR TIPO DIODO DE RECUPERAcAO RaPIDA, MONTADO, PRoPRIO PARA MONTAGEM EM SUPERFÍCIE SMD, DE INTENSIDADE DE CORRENTE 0,2A (2060100023)</v>
          </cell>
        </row>
        <row r="1005">
          <cell r="B1005">
            <v>2020300822</v>
          </cell>
          <cell r="D1005">
            <v>20670022</v>
          </cell>
          <cell r="E1005">
            <v>85322200</v>
          </cell>
          <cell r="F1005">
            <v>85322200</v>
          </cell>
          <cell r="H1005" t="str">
            <v>CAPACITOR (CONDENSADOR ELeTRICO FIXO) ELETROLÍTICO DE ALUMÍNIO 220uF 20por cento 16V GH 5000h RAD-2.5mm/b6.3*11mm PTH (2020300822)</v>
          </cell>
        </row>
        <row r="1006">
          <cell r="B1006">
            <v>2020300573</v>
          </cell>
          <cell r="D1006">
            <v>20660660</v>
          </cell>
          <cell r="E1006">
            <v>85322200</v>
          </cell>
          <cell r="F1006">
            <v>85322200</v>
          </cell>
          <cell r="H1006" t="str">
            <v>CAPACITOR (CONDENSADOR ELeTRICO FIXO) ELETROLÍTICO DE ALUMÍNIO 47uF 20por cento 50V GH 5000h RAD-2.5mm/6.3*11mm PTH (2020300573)</v>
          </cell>
        </row>
        <row r="1007">
          <cell r="B1007" t="str">
            <v>MPG53.R110</v>
          </cell>
          <cell r="D1007">
            <v>20691344</v>
          </cell>
          <cell r="E1007">
            <v>85176277</v>
          </cell>
          <cell r="F1007">
            <v>85176277</v>
          </cell>
          <cell r="H1007" t="str">
            <v>Modulos de comunicacAo de dados via rede eletrica, compatíveis com o padrAo PLC G3, para medidores inteligentes de energia eletrica, capazes de operar na faixa de frequencia de 150 KHz ate 487.5 KHz, utilizando tecnologia de multiplexacAo em frequencias ortogonais com modulacAo BPSK, ano de fabricacAo XXXX, numero de serie YYYY a ZZZZ.</v>
          </cell>
        </row>
        <row r="1008">
          <cell r="B1008">
            <v>3030104490</v>
          </cell>
          <cell r="D1008">
            <v>20299003</v>
          </cell>
          <cell r="E1008">
            <v>73181500</v>
          </cell>
          <cell r="F1008">
            <v>73181500</v>
          </cell>
          <cell r="G1008">
            <v>73181500</v>
          </cell>
          <cell r="H1008" t="str">
            <v xml:space="preserve">PARAFUSO TIPO CABEcA TIPO PANELA FENDA CRUZADA, DIMENSAO M5x8mm, EM MATeRIA-PRIMA BASE AcO DE BAIXO CARBONO, DE PROCESSO DE FABRICAcAO POR USINAGEM COM ACABAMENTO SUPERFICIAL POR GALVANIZAcAO ZINCADO (3030104490) </v>
          </cell>
        </row>
        <row r="1009">
          <cell r="B1009">
            <v>3031101920</v>
          </cell>
          <cell r="D1009">
            <v>20298004</v>
          </cell>
          <cell r="E1009">
            <v>73182200</v>
          </cell>
          <cell r="F1009">
            <v>73182200</v>
          </cell>
          <cell r="G1009">
            <v>73182200</v>
          </cell>
          <cell r="H1009" t="str">
            <v>Arruela Lisa Φ5,3 mm, Φ10 mm x 1 mm, materia-prima base em Aco Inoxidavel (SUS 304 Passivado), processo de fabricacAo por usinagem, acabamento superficial sem tratamento (3031101920)</v>
          </cell>
        </row>
        <row r="1010">
          <cell r="B1010">
            <v>5041200960</v>
          </cell>
          <cell r="D1010">
            <v>40272330</v>
          </cell>
          <cell r="E1010">
            <v>85369090</v>
          </cell>
          <cell r="F1010">
            <v>85369090</v>
          </cell>
          <cell r="G1010">
            <v>85369090</v>
          </cell>
          <cell r="H1010" t="str">
            <v>SUBCONJUNTO DE TERMINAL DE COMUNICAcAO RÍGIDO PARA CONEXAO DE CIRCUITO ELeTRICO COM TENSAO ATe 40V, EM LATAO COM TRATAMENTO NIQUELADO COM PARAFUSO ACOPLADO, DIMENSoES 26,8x13,9x4,1mm (5041200960)</v>
          </cell>
        </row>
        <row r="1011">
          <cell r="B1011">
            <v>2020301002</v>
          </cell>
          <cell r="D1011">
            <v>20660663</v>
          </cell>
          <cell r="E1011">
            <v>85322200</v>
          </cell>
          <cell r="F1011">
            <v>85322200</v>
          </cell>
          <cell r="G1011">
            <v>85322200</v>
          </cell>
          <cell r="H1011" t="str">
            <v>CAPACITOR (CONDENSADOR ELeTRICO FIXO) ELETROLÍTICO DE ALUMÍNIO 1000uF 20por cento 25V YXJ RAD-5mm/F10*20mm (2020301002) PTH</v>
          </cell>
        </row>
        <row r="1012">
          <cell r="B1012">
            <v>2020300051</v>
          </cell>
          <cell r="D1012">
            <v>20660414</v>
          </cell>
          <cell r="E1012">
            <v>85322200</v>
          </cell>
          <cell r="F1012">
            <v>85322200</v>
          </cell>
          <cell r="H1012" t="str">
            <v>CAPACITOR (CONDENSADOR ELeTRICO FIXO) ELETROLÍTICO DE ALUMÍNIO 470uF 20por cento 10V YXF 6000h 08*11.5mm PTH (2020300051)</v>
          </cell>
        </row>
        <row r="1013">
          <cell r="B1013">
            <v>2010900012</v>
          </cell>
          <cell r="D1013">
            <v>20691812</v>
          </cell>
          <cell r="E1013">
            <v>85334011</v>
          </cell>
          <cell r="F1013">
            <v>85334011</v>
          </cell>
          <cell r="G1013">
            <v>85334011</v>
          </cell>
          <cell r="H1013" t="str">
            <v>Termistor (RESISTeNCIA ELeTRICA VARIaVEL NAO LINEAR SEMICONDUTORA) PTC de ressistencia entre 12~18ohms, 140 mA de corrente de trabalho e pico de 400mA , para montagem por insercAo (PTH), radial, com dimensoes de 14mm de diAmetro por 5mm de espessura. (2010900012)</v>
          </cell>
        </row>
        <row r="1014">
          <cell r="B1014">
            <v>2050700242</v>
          </cell>
          <cell r="D1014">
            <v>20660375</v>
          </cell>
          <cell r="E1014">
            <v>85423939</v>
          </cell>
          <cell r="F1014">
            <v>85423939</v>
          </cell>
          <cell r="G1014">
            <v>85423939</v>
          </cell>
          <cell r="H1014" t="str">
            <v>Circuito integrado eletronico do tipo transceptor para comunicacAo RS485, montado, proprio para montagem em superfície (SMD - Surface Mounted Device); TPT485E-SO1R; 4.5~5.5V; 500.0Kbps; encapsulamento SOP8</v>
          </cell>
        </row>
        <row r="1015">
          <cell r="B1015">
            <v>2050501312</v>
          </cell>
          <cell r="D1015">
            <v>20660374</v>
          </cell>
          <cell r="E1015">
            <v>85423221</v>
          </cell>
          <cell r="F1015">
            <v>85423221</v>
          </cell>
          <cell r="H1015" t="str">
            <v>CIRCUITO INTEGRADO ELETRoNICO DE MEMoRIA FLASH, MONTADO, PRoPRIO PARA MONTAGEM EM SUPERFÍCIE SMD, DE CAPACIDADE DE MEMoRIA DE 8 Mbytes (64 Mbits) E TEMPO DE ACESSO 20 nS (2050501312)SMD</v>
          </cell>
        </row>
        <row r="1016">
          <cell r="B1016">
            <v>2050901222</v>
          </cell>
          <cell r="D1016">
            <v>20660381</v>
          </cell>
          <cell r="E1016">
            <v>85423939</v>
          </cell>
          <cell r="F1016">
            <v>85423939</v>
          </cell>
          <cell r="H1016" t="str">
            <v>CIRCUITO INTEGRADO ELETRoNICO TIPO REGULADOR DE TENSAO LOW DROP OUT, MONTADO, PRoPRIO PARA MONTAGEM EM SUPERFÍCIE SMD - 7.0~24V 5V 30mA 100mV SOT-89 SMD (2050901222)</v>
          </cell>
        </row>
        <row r="1017">
          <cell r="B1017">
            <v>2060100012</v>
          </cell>
          <cell r="D1017">
            <v>20633760</v>
          </cell>
          <cell r="E1017">
            <v>85411022</v>
          </cell>
          <cell r="F1017">
            <v>85411022</v>
          </cell>
          <cell r="G1017">
            <v>85411022</v>
          </cell>
          <cell r="H1017" t="str">
            <v>DISPOSITIVO SEMICONDUTOR TIPO DIODO Schottky montado, proprio para montagem em superfície SMD, de intensidade de corrente 0,2A (2060100012)</v>
          </cell>
        </row>
        <row r="1018">
          <cell r="B1018">
            <v>2060900033</v>
          </cell>
          <cell r="D1018">
            <v>20680246</v>
          </cell>
          <cell r="E1018">
            <v>85412120</v>
          </cell>
          <cell r="F1018">
            <v>85412120</v>
          </cell>
          <cell r="H1018" t="str">
            <v>DISPOSITIVO SEMICONDUTOR TIPO TRANSISTOR, MONTADO, PRoPRIO PARA MONTAGEM EM SUPERFÍCIE SMD, DE CAPACIDADE DE DISSIPAcAO 0,25W (2060900033)</v>
          </cell>
        </row>
        <row r="1019">
          <cell r="B1019">
            <v>2060900055</v>
          </cell>
          <cell r="D1019">
            <v>20680247</v>
          </cell>
          <cell r="E1019">
            <v>85412120</v>
          </cell>
          <cell r="F1019">
            <v>85412120</v>
          </cell>
          <cell r="G1019">
            <v>85412120</v>
          </cell>
          <cell r="H1019" t="str">
            <v>DISPOSITIVO SEMICONDUTOR TIPO TRANSISTOR, MONTADO, PRoPRIO PARA MONTAGEM EM SUPERFÍCIE SMD, DE CAPACIDADE DE DISSIPAcAO 0,25W (2060900055)</v>
          </cell>
        </row>
        <row r="1020">
          <cell r="B1020">
            <v>2060900074</v>
          </cell>
          <cell r="D1020">
            <v>20680248</v>
          </cell>
          <cell r="E1020">
            <v>85412120</v>
          </cell>
          <cell r="F1020">
            <v>85412120</v>
          </cell>
          <cell r="H1020" t="str">
            <v>DISPOSITIVO SEMICONDUTOR TIPO TRANSISTOR, MONTADO, PRoPRIO PARA MONTAGEM EM SUPERFÍCIE SMD, DE CAPACIDADE DE DISSIPAcAO 0,35W (2060900074) SMD</v>
          </cell>
        </row>
        <row r="1021">
          <cell r="B1021">
            <v>2140102790</v>
          </cell>
          <cell r="D1021">
            <v>20292500</v>
          </cell>
          <cell r="E1021">
            <v>74152100</v>
          </cell>
          <cell r="F1021">
            <v>74152100</v>
          </cell>
          <cell r="G1021">
            <v>73269090</v>
          </cell>
          <cell r="H1021" t="str">
            <v>ARRUELA DENTADA EM LATAO (LIGA DE COBREZINCO) ESTAMPADO COM TRATAMENTO BANHADO A OURO, DIMENSoES 10,2x6,5x1,0mm (2140102790)</v>
          </cell>
        </row>
        <row r="1022">
          <cell r="B1022">
            <v>3080100580</v>
          </cell>
          <cell r="D1022">
            <v>21341400</v>
          </cell>
          <cell r="E1022">
            <v>40169990</v>
          </cell>
          <cell r="F1022">
            <v>40169990</v>
          </cell>
          <cell r="G1022">
            <v>39269090</v>
          </cell>
          <cell r="H1022" t="str">
            <v>ETIQUETA DE BORRACHA VULCANIZADA NAO ENDURECIDA, PARA ISOLAMENTO DE TC DO MEDIDOR DE ENERGIA ELeTRICA 3 Fios L ,EVA -20?~80?,28*20mm 2.5mm, 8.370.1CP00 (3080100580) PTH</v>
          </cell>
        </row>
        <row r="1023">
          <cell r="B1023">
            <v>2090700561</v>
          </cell>
          <cell r="D1023">
            <v>20691309</v>
          </cell>
          <cell r="E1023">
            <v>40169990</v>
          </cell>
          <cell r="F1023">
            <v>40169990</v>
          </cell>
          <cell r="H1023" t="str">
            <v>BOTAO DE BORRACHA VULCANIZADA NAO ENDURECIDA - MOSTRADOR DE MEDIDOR ELeTRICO  6*6*11 (2090700561) PTH</v>
          </cell>
        </row>
        <row r="1024">
          <cell r="B1024">
            <v>3030104140</v>
          </cell>
          <cell r="D1024">
            <v>21182003</v>
          </cell>
          <cell r="E1024">
            <v>73181500</v>
          </cell>
          <cell r="F1024">
            <v>73181500</v>
          </cell>
          <cell r="H1024" t="str">
            <v>PARAFUSO TIPO FENDA CRUZADA, DIMENSAO M3x6mm, EM MATeRIA-PRIMA BASE AcO DE BAIXO CARBONO, DE PROCESSO DE FABRICAcAO POR USINAGEM COM ACABAMENTO SUPERFICIAL POR GALVANIZAcAO ZINCADO AMARELO (3030104140)</v>
          </cell>
        </row>
        <row r="1025">
          <cell r="B1025">
            <v>2020300191</v>
          </cell>
          <cell r="D1025">
            <v>20672610</v>
          </cell>
          <cell r="E1025">
            <v>85322200</v>
          </cell>
          <cell r="F1025">
            <v>85322200</v>
          </cell>
          <cell r="G1025">
            <v>85322200</v>
          </cell>
          <cell r="H1025" t="str">
            <v>CAPACITOR (CONDENSADOR ELeTRICO FIXO) ELETROLITICO DE ALUMÍNIO 470uF 20por cento 10V (REF. C07003-1 - COD. 20672610)</v>
          </cell>
        </row>
        <row r="1026">
          <cell r="B1026">
            <v>2060300500</v>
          </cell>
          <cell r="D1026">
            <v>20630205</v>
          </cell>
          <cell r="E1026">
            <v>85411022</v>
          </cell>
          <cell r="F1026">
            <v>85411022</v>
          </cell>
          <cell r="G1026">
            <v>85411022</v>
          </cell>
          <cell r="H1026" t="str">
            <v>DISPOSITIVO SEMICONDUTOR TIPO DIODO TVS, MONTADO, PRoPRIO PARA MONTAGEM EM SUPERFÍCIE SMD, DE INTENSIDADE DE CORRENTE 2,2A (A01824)(2060300500)</v>
          </cell>
        </row>
        <row r="1027">
          <cell r="B1027">
            <v>2060300410</v>
          </cell>
          <cell r="D1027">
            <v>20633715</v>
          </cell>
          <cell r="E1027">
            <v>85411022</v>
          </cell>
          <cell r="F1027">
            <v>85411022</v>
          </cell>
          <cell r="G1027">
            <v>85411022</v>
          </cell>
          <cell r="H1027" t="str">
            <v>DISPOSITIVO SEMICONDUTOR TIPO DIODO TVS, MONTADO, PRoPRIO PARA MONTAGEM EM SUPERFÍCIE SMD, DE INTENSIDADE DE CORRENTE 0,17A (2060300410)</v>
          </cell>
        </row>
        <row r="1028">
          <cell r="B1028">
            <v>2060700191</v>
          </cell>
          <cell r="D1028">
            <v>20680212</v>
          </cell>
          <cell r="E1028">
            <v>85412910</v>
          </cell>
          <cell r="F1028">
            <v>85412910</v>
          </cell>
          <cell r="H1028" t="str">
            <v>DISPOSITIVO SEMICONDUTOR TIPO TRANSISTOR, NAO MONTADO, DE CAPACIDADE DE DISSIPAcAO 2W (A02184) PTH (2060700191)</v>
          </cell>
        </row>
        <row r="1029">
          <cell r="B1029">
            <v>2060700192</v>
          </cell>
          <cell r="D1029">
            <v>20680213</v>
          </cell>
          <cell r="E1029">
            <v>85412920</v>
          </cell>
          <cell r="F1029">
            <v>85412920</v>
          </cell>
          <cell r="G1029">
            <v>85412920</v>
          </cell>
          <cell r="H1029" t="str">
            <v>TRANSISTOR NMOS, DE CAPACIDADE DE DISSIPAcAO 32W, MONTADO, PRoPRIO PARA MONTAGEM POR INSERcAO PTH - 1500V 2.5A 10.5R TO-220F-3FS PTH (2060700192)</v>
          </cell>
        </row>
        <row r="1030">
          <cell r="B1030">
            <v>3030109990</v>
          </cell>
          <cell r="D1030">
            <v>21163302</v>
          </cell>
          <cell r="E1030">
            <v>73181500</v>
          </cell>
          <cell r="F1030">
            <v>73181500</v>
          </cell>
          <cell r="G1030">
            <v>73181500</v>
          </cell>
          <cell r="H1030" t="str">
            <v>PARAFUSO TIPO FENDA SIMPLES, DIMENSAO M4x9mm, EM MATeRIA-PRIMA BASE AcO INOXIDaVEL SUS304, DE PROCESSO DE FABRICAcAO POR USINAGEM COM ACABAMENTO SUPERFICIAL SEM TRATAMENTO (3030109990)</v>
          </cell>
        </row>
        <row r="1031">
          <cell r="B1031">
            <v>2140103210</v>
          </cell>
          <cell r="D1031">
            <v>20266000</v>
          </cell>
          <cell r="E1031">
            <v>73269090</v>
          </cell>
          <cell r="F1031">
            <v>73269090</v>
          </cell>
          <cell r="G1031">
            <v>73269090</v>
          </cell>
          <cell r="H1031" t="str">
            <v>Suporte Metalico para Antena FRP N (ZK), de aco inoxidavel, obtido por dobragem (2140103210)</v>
          </cell>
        </row>
        <row r="1032">
          <cell r="B1032">
            <v>2020300172</v>
          </cell>
          <cell r="D1032">
            <v>20672662</v>
          </cell>
          <cell r="E1032">
            <v>85322200</v>
          </cell>
          <cell r="F1032">
            <v>85322200</v>
          </cell>
          <cell r="G1032">
            <v>85322200</v>
          </cell>
          <cell r="H1032" t="str">
            <v>Capacitor (condensador eletrico fixo) 4.7uF 20por cento 450V KSG RAD-5mm com dimensoes de 10*16mm, para montagem por insercAo (PTH),  eletrolítico de alumínio (2020300172)</v>
          </cell>
        </row>
        <row r="1033">
          <cell r="B1033">
            <v>2010100530</v>
          </cell>
          <cell r="D1033">
            <v>20633664</v>
          </cell>
          <cell r="E1033">
            <v>85332120</v>
          </cell>
          <cell r="F1033">
            <v>85332120</v>
          </cell>
          <cell r="H1033" t="str">
            <v>RESISTOR (RESISTeNCIA ELeTRICA FIXA) PRoPRIO PARA MONTAGEM EM SUPERFÍCIE SMD  150k 1por cento 100PPM POTeNCIA DE 1/10W 0603(R02078) SMD (5000) (2010100530)</v>
          </cell>
        </row>
        <row r="1034">
          <cell r="B1034">
            <v>2010100550</v>
          </cell>
          <cell r="D1034">
            <v>20633660</v>
          </cell>
          <cell r="E1034">
            <v>85332120</v>
          </cell>
          <cell r="F1034">
            <v>85332120</v>
          </cell>
          <cell r="H1034" t="str">
            <v>RESISTOR (RESISTeNCIA ELeTRICA FIXA) PRoPRIO PARA MONTAGEM EM SUPERFÍCIE SMD  15k 1por cento 100PPM POTeNCIA DE 1/10W 0603 (R02065) SMD (5000) (2010100550)</v>
          </cell>
        </row>
        <row r="1035">
          <cell r="B1035">
            <v>2050700021</v>
          </cell>
          <cell r="D1035">
            <v>20660313</v>
          </cell>
          <cell r="E1035">
            <v>85423999</v>
          </cell>
          <cell r="F1035">
            <v>85423999</v>
          </cell>
          <cell r="H1035" t="str">
            <v>CIRCUITO INTEGRADO ELETRoNICO TIPO COMUNICAcAO 485, MONTADO, PRoPRIO PARA MONTAGEM POR INSERcAO PTH - 5V,SOIC8  (E01107-3) (2500) (2050700021)</v>
          </cell>
        </row>
        <row r="1036">
          <cell r="B1036">
            <v>2050700024</v>
          </cell>
          <cell r="D1036">
            <v>20660339</v>
          </cell>
          <cell r="E1036">
            <v>85423999</v>
          </cell>
          <cell r="F1036">
            <v>85423999</v>
          </cell>
          <cell r="H1036" t="str">
            <v>CIRCUITO INTEGRADO ELETRoNICO TIPO COMUNICAcAO 485, MONTADO PARA MONTAGEM POR INSERcAO PTH - 5V SOIC8 (2050700024)</v>
          </cell>
        </row>
        <row r="1037">
          <cell r="B1037">
            <v>2050700011</v>
          </cell>
          <cell r="D1037">
            <v>20660341</v>
          </cell>
          <cell r="E1037">
            <v>85423999</v>
          </cell>
          <cell r="F1037">
            <v>85423999</v>
          </cell>
          <cell r="H1037" t="str">
            <v>CIRCUITO INTEGRADO ELETRoNICO TIPO COMUNICAcAO 485, MONTADO, PRoPRIO PARA MONTAGEM POR INSERcAO PTH - 5V SOIC8 (2050700011)</v>
          </cell>
        </row>
        <row r="1038">
          <cell r="B1038">
            <v>2050700241</v>
          </cell>
          <cell r="D1038">
            <v>20660330</v>
          </cell>
          <cell r="E1038">
            <v>85423999</v>
          </cell>
          <cell r="F1038">
            <v>85423999</v>
          </cell>
          <cell r="H1038" t="str">
            <v>CIRCUITO INTEGRADO ELETRoNICO TIPO COMUNICAcAO 485, MONTADO, PRoPRIO PARA MONTAGEM POR INSERcAO PTH - 5V SOIC8 (2050700241)</v>
          </cell>
        </row>
        <row r="1039">
          <cell r="B1039">
            <v>2050700031</v>
          </cell>
          <cell r="D1039">
            <v>20660337</v>
          </cell>
          <cell r="E1039">
            <v>85423999</v>
          </cell>
          <cell r="F1039">
            <v>85423999</v>
          </cell>
          <cell r="H1039" t="str">
            <v>CIRCUITO INTEGRADO ELETRoNICO TIPO COMUNICAcAO RS232, MONTADO, PRoPRIO PARA MONTAGEM POR INSERcAO PTH - 5V SOO16(2050700031)</v>
          </cell>
        </row>
        <row r="1040">
          <cell r="B1040">
            <v>2060500041</v>
          </cell>
          <cell r="D1040">
            <v>20630806</v>
          </cell>
          <cell r="E1040">
            <v>85411021</v>
          </cell>
          <cell r="F1040">
            <v>85411021</v>
          </cell>
          <cell r="G1040">
            <v>85411021</v>
          </cell>
          <cell r="H1040" t="str">
            <v>DISPOSITIVO SEMICONDUTOR TIPO DIODO ZENER, MONTADO, PRoPRIO PARA MONTAGEM EM SUPERFÍCIE SMD DE INTENSIDADE DE CORRENTE 0,005A (A01724) SMD (5000) (2060500041)</v>
          </cell>
        </row>
        <row r="1041">
          <cell r="B1041">
            <v>2090501830</v>
          </cell>
          <cell r="D1041">
            <v>20691314</v>
          </cell>
          <cell r="E1041">
            <v>85444200</v>
          </cell>
          <cell r="F1041">
            <v>85444200</v>
          </cell>
          <cell r="G1041">
            <v>85444200</v>
          </cell>
          <cell r="H1041" t="str">
            <v>CABO FLAT, CONDUTOR ELeTRICO, MUNIDO DE PEcA DE CONEXAO PARA TENSAO DE ATe 320V, ISOLADO PARA USO ELeTRICO - SU AUTOALIMENTADA  (2090501830)</v>
          </cell>
        </row>
        <row r="1042">
          <cell r="B1042">
            <v>2020300812</v>
          </cell>
          <cell r="D1042">
            <v>20670023</v>
          </cell>
          <cell r="E1042">
            <v>85322200</v>
          </cell>
          <cell r="F1042">
            <v>85322200</v>
          </cell>
          <cell r="H1042" t="str">
            <v>CAPACITOR (CONDENSADOR ELeTRICO FIXO) ELETROLÍTICO DE ALUMÍNIO 470uF 20por cento 6.3V EGH 5000h 6.3*12mm RAD-2.5mm PTH (2020300812)</v>
          </cell>
        </row>
        <row r="1043">
          <cell r="B1043">
            <v>2060100493</v>
          </cell>
          <cell r="D1043">
            <v>20630206</v>
          </cell>
          <cell r="E1043">
            <v>85411022</v>
          </cell>
          <cell r="F1043">
            <v>85411022</v>
          </cell>
          <cell r="G1043">
            <v>85411022</v>
          </cell>
          <cell r="H1043" t="str">
            <v>DISPOSITIVO SEMICONDUTOR TIPO DIODO Schottky montado, proprio para montagem em superfície SMD, DE INTENSIDADE DE CORRENTE 1A (2060100493)</v>
          </cell>
        </row>
        <row r="1044">
          <cell r="B1044">
            <v>2060100702</v>
          </cell>
          <cell r="D1044">
            <v>20690633</v>
          </cell>
          <cell r="E1044">
            <v>85411022</v>
          </cell>
          <cell r="F1044">
            <v>85411022</v>
          </cell>
          <cell r="G1044">
            <v>85411022</v>
          </cell>
          <cell r="H1044" t="str">
            <v>DISPOSITIVO SEMICONDUTOR TIPO DIODO retificador, montado, proprio para montagem em superfície SMD, de intensidade de corrente 1A (2060100702)</v>
          </cell>
        </row>
        <row r="1045">
          <cell r="B1045">
            <v>2060100313</v>
          </cell>
          <cell r="D1045">
            <v>20633750</v>
          </cell>
          <cell r="E1045">
            <v>85411022</v>
          </cell>
          <cell r="F1045">
            <v>85411022</v>
          </cell>
          <cell r="G1045">
            <v>85411022</v>
          </cell>
          <cell r="H1045" t="str">
            <v>DISPOSITIVO SEMICONDUTOR TIPO DIODO retificador, montado, proprio para montagem em superfície SMD, de intensidade de corrente 1A (2060100313)</v>
          </cell>
        </row>
        <row r="1046">
          <cell r="B1046">
            <v>2051700711</v>
          </cell>
          <cell r="D1046">
            <v>20691703</v>
          </cell>
          <cell r="E1046">
            <v>85423939</v>
          </cell>
          <cell r="G1046">
            <v>85423939</v>
          </cell>
          <cell r="H1046" t="str">
            <v>CIRCUITO INTEGRADO ELETRoNICO TIPO SENSOR DE CAMPO MAGNETICO, MONTADO, PRoPRIO PARA MONTAGEM EM SUPERFÍCIE SMD 2.0~5.5V 4.0mA SOT23-3L (2051700711) SMD</v>
          </cell>
        </row>
        <row r="1047">
          <cell r="B1047">
            <v>3030303160</v>
          </cell>
          <cell r="D1047">
            <v>21183501</v>
          </cell>
          <cell r="E1047">
            <v>73181400</v>
          </cell>
          <cell r="F1047">
            <v>73181400</v>
          </cell>
          <cell r="G1047">
            <v>73181400</v>
          </cell>
          <cell r="H1047" t="str">
            <v>PARAFUSO PIERCE AUTOPERFURANTE DIAM. 3,6x10,5mm FENDA SIMPLES, EM MATeRIA-PRIMA BASE AcO DE BAIXO CARBONO, DE PROCESSO DE FABRICAcAO POR USINAGEM COM ACABAMENTO SUPERFICIAL POR GALVANIZAcAO ZINCADO BRANCO (3030303160)</v>
          </cell>
        </row>
        <row r="1048">
          <cell r="B1048">
            <v>3023300019</v>
          </cell>
          <cell r="D1048">
            <v>20496102</v>
          </cell>
          <cell r="E1048">
            <v>39269090</v>
          </cell>
          <cell r="F1048">
            <v>39269090</v>
          </cell>
          <cell r="H1048" t="str">
            <v>Suporte Anti-ruido para Medidor Indireto, de plastico (material de policarbonato) (REF. 8.732.3BH05-00-14 - CoD. 20496102)</v>
          </cell>
        </row>
        <row r="1049">
          <cell r="B1049">
            <v>2091100031</v>
          </cell>
          <cell r="D1049">
            <v>20640702</v>
          </cell>
          <cell r="E1049">
            <v>39269090</v>
          </cell>
          <cell r="F1049">
            <v>39269090</v>
          </cell>
          <cell r="G1049">
            <v>39269090</v>
          </cell>
          <cell r="H1049" t="str">
            <v>ESPAcADOR DO LED, DE PLaSTICO (MATERIAL DE NYLON PA66), COLUNA LUMINESCENTE DE 19MM  (REF.09055 - COD. 20640702)</v>
          </cell>
        </row>
        <row r="1050">
          <cell r="B1050">
            <v>2091100021</v>
          </cell>
          <cell r="D1050">
            <v>20660500</v>
          </cell>
          <cell r="E1050">
            <v>39269090</v>
          </cell>
          <cell r="F1050">
            <v>39269090</v>
          </cell>
          <cell r="G1050">
            <v>39269090</v>
          </cell>
          <cell r="H1050" t="str">
            <v>ESPAcADOR DO LED, DE PLaSTICO (MATERIAL DE NYLON PA66), COLUNA LUMINESCENTE DE 10MM (REF. I09061 - COD. 20660500)</v>
          </cell>
        </row>
        <row r="1051">
          <cell r="B1051">
            <v>2091100041</v>
          </cell>
          <cell r="D1051">
            <v>20691912</v>
          </cell>
          <cell r="E1051">
            <v>39269090</v>
          </cell>
          <cell r="F1051">
            <v>39269090</v>
          </cell>
          <cell r="H1051" t="str">
            <v>ESPAcADOR DO LED, DE PLaSTICO (MATERIAL DE NYLON PA66), COLUNA LUMINESCENTE DE 2,54MM (REF. I09026 - CoD. 20691912)</v>
          </cell>
        </row>
        <row r="1052">
          <cell r="B1052">
            <v>3100902560</v>
          </cell>
          <cell r="D1052">
            <v>21318006</v>
          </cell>
          <cell r="E1052">
            <v>39269090</v>
          </cell>
          <cell r="F1052">
            <v>39269090</v>
          </cell>
          <cell r="G1052">
            <v>39269090</v>
          </cell>
          <cell r="H1052" t="str">
            <v>ETIQUETA DE IDENTIFICAcAO, DE PLaSTICO (MATERIAL DE POLICARBONATO) PARA BATERIA DE MEDIDORES ELeTRICOS (REF. 8.865.3CS01-NP01)</v>
          </cell>
        </row>
        <row r="1053">
          <cell r="B1053">
            <v>3100102430</v>
          </cell>
          <cell r="D1053">
            <v>21318005</v>
          </cell>
          <cell r="E1053">
            <v>39269090</v>
          </cell>
          <cell r="F1053">
            <v>39269090</v>
          </cell>
          <cell r="G1053">
            <v>39269090</v>
          </cell>
          <cell r="H1053" t="str">
            <v>ETIQUETA DE IDENTIFICAcAO, DE PLaSTICO (MATERIAL DE POLICARBONATO), PARA BATERIA DE MEDIDORES ELeTRICOS (REF. 8.865.3CQ10-00-NP01 - CoD. 21318005)</v>
          </cell>
        </row>
        <row r="1054">
          <cell r="B1054">
            <v>2090101331</v>
          </cell>
          <cell r="D1054">
            <v>20691308</v>
          </cell>
          <cell r="E1054">
            <v>85369040</v>
          </cell>
          <cell r="F1054">
            <v>85369040</v>
          </cell>
          <cell r="G1054">
            <v>85369040</v>
          </cell>
          <cell r="H1054" t="str">
            <v xml:space="preserve">Conector para circuito impresso, de tensAo ate 320V, de duas vias, macho, para montagem por insercAo (PTH), 1*2Pin 2.5mm de dimensoes 7.40*4.90*5.9mm e 38mm de comprimento de terminais (2090101331)
</v>
          </cell>
        </row>
        <row r="1055">
          <cell r="B1055">
            <v>3100102020</v>
          </cell>
          <cell r="D1055">
            <v>21318100</v>
          </cell>
          <cell r="E1055">
            <v>39269090</v>
          </cell>
          <cell r="F1055">
            <v>39269090</v>
          </cell>
          <cell r="G1055">
            <v>39269090</v>
          </cell>
          <cell r="H1055" t="str">
            <v>Etiqueta de identificacAo, de plastico (material de policarbonato) para bateria Medidor monofasico Zeus</v>
          </cell>
        </row>
        <row r="1056">
          <cell r="B1056">
            <v>3100102030</v>
          </cell>
          <cell r="D1056">
            <v>21318200</v>
          </cell>
          <cell r="E1056">
            <v>39269090</v>
          </cell>
          <cell r="F1056">
            <v>39269090</v>
          </cell>
          <cell r="G1056">
            <v>39269090</v>
          </cell>
          <cell r="H1056" t="str">
            <v>Etiqueta de identificacAo, de plastico (material de policarbonato) para bateria Medidor polifasico Zeus</v>
          </cell>
        </row>
        <row r="1057">
          <cell r="B1057">
            <v>3024100869</v>
          </cell>
          <cell r="D1057">
            <v>20470621</v>
          </cell>
          <cell r="E1057">
            <v>39269090</v>
          </cell>
          <cell r="F1057">
            <v>39269090</v>
          </cell>
          <cell r="H1057" t="str">
            <v>BotAo p/ mostrador de medidor eletrico polifasico, de plastico (material de policarbonato)</v>
          </cell>
        </row>
        <row r="1058">
          <cell r="B1058">
            <v>3070100020</v>
          </cell>
          <cell r="D1058">
            <v>20470703</v>
          </cell>
          <cell r="E1058">
            <v>39269090</v>
          </cell>
          <cell r="F1058">
            <v>39269090</v>
          </cell>
          <cell r="G1058">
            <v>39269090</v>
          </cell>
          <cell r="H1058" t="str">
            <v>Tubo de plastico (material de nylon PA66) para fios de tensAo</v>
          </cell>
        </row>
        <row r="1059">
          <cell r="B1059">
            <v>3024101219</v>
          </cell>
          <cell r="D1059">
            <v>20470624</v>
          </cell>
          <cell r="E1059">
            <v>39269090</v>
          </cell>
          <cell r="F1059">
            <v>39269090</v>
          </cell>
          <cell r="H1059" t="str">
            <v>BotAo de Demanda Vermelho, de plastico (material de policarbonato), para medidor de energia eletrica polifasico Ares 8023 30/200</v>
          </cell>
        </row>
        <row r="1060">
          <cell r="B1060">
            <v>2091100011</v>
          </cell>
          <cell r="D1060">
            <v>20691937</v>
          </cell>
          <cell r="E1060">
            <v>39269090</v>
          </cell>
          <cell r="F1060">
            <v>39269090</v>
          </cell>
          <cell r="G1060">
            <v>39269090</v>
          </cell>
          <cell r="H1060" t="str">
            <v>ESPAcADOR DO LED, DE PLaSTICO (MATERIAL DE NYLON PA66), COLUNA LUMINESCENTE DE 2,54MM</v>
          </cell>
        </row>
        <row r="1061">
          <cell r="B1061">
            <v>3080500010</v>
          </cell>
          <cell r="D1061">
            <v>20470610</v>
          </cell>
          <cell r="E1061">
            <v>40169990</v>
          </cell>
          <cell r="F1061">
            <v>40169990</v>
          </cell>
          <cell r="H1061" t="str">
            <v>BotAo de Borracha vulcanizada nAo endurecida  - Vermelho (REF. 8.731.1CB00-NP01 - CoD. 20470610)</v>
          </cell>
        </row>
        <row r="1062">
          <cell r="B1062">
            <v>3080500030</v>
          </cell>
          <cell r="D1062">
            <v>20470611</v>
          </cell>
          <cell r="E1062">
            <v>40169990</v>
          </cell>
          <cell r="F1062">
            <v>40169990</v>
          </cell>
          <cell r="H1062" t="str">
            <v>BotAo de Borracha vulcanizada nAo endurecida - Cinza (REF. 8.731.1CB01 - CoD. 20470611)</v>
          </cell>
        </row>
        <row r="1063">
          <cell r="B1063">
            <v>3080500020</v>
          </cell>
          <cell r="D1063">
            <v>20470612</v>
          </cell>
          <cell r="E1063">
            <v>40169990</v>
          </cell>
          <cell r="F1063">
            <v>40169990</v>
          </cell>
          <cell r="H1063" t="str">
            <v>BotAo de Borracha vulcanizada nAo endurecida - para sensor da tampa THS (REF. 8.731.1CP00 - CoD. 20470612)</v>
          </cell>
        </row>
        <row r="1064">
          <cell r="B1064">
            <v>3024100019</v>
          </cell>
          <cell r="D1064">
            <v>20470613</v>
          </cell>
          <cell r="E1064">
            <v>40169990</v>
          </cell>
          <cell r="F1064">
            <v>40169990</v>
          </cell>
          <cell r="H1064" t="str">
            <v>BotAo de Borracha vulcanizada nAo endurecida - para sensor da tampa THS (REF. 8.731.3CJ00-00-1G - CoD. 20470613)</v>
          </cell>
        </row>
        <row r="1065">
          <cell r="B1065">
            <v>3080300010</v>
          </cell>
          <cell r="D1065">
            <v>20470618</v>
          </cell>
          <cell r="E1065">
            <v>40169990</v>
          </cell>
          <cell r="F1065">
            <v>40169990</v>
          </cell>
          <cell r="H1065" t="str">
            <v>Anel de VedacAo de borracha vulcanizada nAo endurecida (REF. 8.370.3AS00 - CoD. 20470618)</v>
          </cell>
        </row>
        <row r="1066">
          <cell r="B1066">
            <v>3080900010</v>
          </cell>
          <cell r="D1066">
            <v>20472500</v>
          </cell>
          <cell r="E1066">
            <v>40169990</v>
          </cell>
          <cell r="F1066">
            <v>40169990</v>
          </cell>
          <cell r="H1066" t="str">
            <v>ANEL DE BORRACHA VULCANIZADA NAO ENDURECIDA - PARA SUPORTE LATERAL DIAMETRO 2.0mm (REF. B15012-1 - CoD. 3080900010)</v>
          </cell>
        </row>
        <row r="1067">
          <cell r="B1067">
            <v>3080300150</v>
          </cell>
          <cell r="D1067">
            <v>11220500</v>
          </cell>
          <cell r="E1067">
            <v>40169990</v>
          </cell>
          <cell r="F1067">
            <v>40169990</v>
          </cell>
          <cell r="H1067" t="str">
            <v>VedacAo de borracha vulcanizada nAo endurecida - para medidores Zeus e High End</v>
          </cell>
        </row>
        <row r="1068">
          <cell r="B1068">
            <v>3080300170</v>
          </cell>
          <cell r="D1068">
            <v>11220600</v>
          </cell>
          <cell r="E1068">
            <v>40169990</v>
          </cell>
          <cell r="F1068">
            <v>40169990</v>
          </cell>
          <cell r="H1068" t="str">
            <v>VedacAo de Borracha vulcanizada nAo endurecida - para Medidores Eletricos - Tamanho 22,5 x 12,3 x 2,2mm</v>
          </cell>
        </row>
        <row r="1069">
          <cell r="B1069">
            <v>3080500090</v>
          </cell>
          <cell r="D1069">
            <v>20470609</v>
          </cell>
          <cell r="E1069">
            <v>40169990</v>
          </cell>
          <cell r="F1069">
            <v>40169990</v>
          </cell>
          <cell r="H1069" t="str">
            <v>BotAo de borracha vulcanizada nAo endurecida - Demanda e Mostrador  para medidores eletricos</v>
          </cell>
        </row>
        <row r="1070">
          <cell r="B1070">
            <v>3024101209</v>
          </cell>
          <cell r="D1070">
            <v>20470623</v>
          </cell>
          <cell r="E1070">
            <v>40169990</v>
          </cell>
          <cell r="F1070">
            <v>40169990</v>
          </cell>
          <cell r="H1070" t="str">
            <v>BotAo de borracha vulcanizada nAo endurecida - para medidor de energia eletrica Ares 30/200 401.904.06</v>
          </cell>
        </row>
        <row r="1071">
          <cell r="B1071">
            <v>3024101009</v>
          </cell>
          <cell r="D1071">
            <v>20470625</v>
          </cell>
          <cell r="E1071">
            <v>40169990</v>
          </cell>
          <cell r="F1071">
            <v>40169990</v>
          </cell>
          <cell r="H1071" t="str">
            <v>BotAo de borracha vulcanizada nAo endurecida - sensor de abertura de tampa de medidores eletricos Ares 30/200</v>
          </cell>
        </row>
        <row r="1072">
          <cell r="B1072">
            <v>3041900170</v>
          </cell>
          <cell r="D1072">
            <v>20258501</v>
          </cell>
          <cell r="E1072">
            <v>73145000</v>
          </cell>
          <cell r="F1072">
            <v>73145000</v>
          </cell>
          <cell r="H1072" t="str">
            <v>Chapa distendida em Aco Carbono - Zincado Branco - de ProtecAo, Para Medidor Polifasico</v>
          </cell>
        </row>
        <row r="1073">
          <cell r="B1073">
            <v>3030100430</v>
          </cell>
          <cell r="D1073">
            <v>21112000</v>
          </cell>
          <cell r="E1073">
            <v>73181500</v>
          </cell>
          <cell r="F1073">
            <v>73181500</v>
          </cell>
          <cell r="H1073" t="str">
            <v>PARAFUSO TIPO PIERCE FENDA SIMPLES, DIMENSAO M4x20,2mm, EM MATeRIA-PRIMA BASE AcO DE BAIXO CARBONO, DE PROCESSO DE FABRICAcAO POR USINAGEM COM ACABAMENTO SUPERFICIAL POR GALVANIZAcAO ZINCADO AMARELO (3030100430)</v>
          </cell>
        </row>
        <row r="1074">
          <cell r="B1074">
            <v>3030300020</v>
          </cell>
          <cell r="D1074">
            <v>21130703</v>
          </cell>
          <cell r="E1074">
            <v>73181500</v>
          </cell>
          <cell r="F1074">
            <v>73181500</v>
          </cell>
          <cell r="G1074">
            <v>73181500</v>
          </cell>
          <cell r="H1074" t="str">
            <v>PARAFUSO DO REGISTRADOR DE MATeRIA-PRIMA BASE DE AcO BAIXO CARBONO M2.5*8, DE PROCESSO DE FABRICAcAO POR USINAGEM, COM ACABAMENTO SUPERFICIAL ZINCADO BRANCO (REF. C01.ST2.5X8FS-1-1 - CoD. 21130703)</v>
          </cell>
        </row>
        <row r="1075">
          <cell r="B1075">
            <v>3030100060</v>
          </cell>
          <cell r="D1075">
            <v>21161000</v>
          </cell>
          <cell r="E1075">
            <v>73181400</v>
          </cell>
          <cell r="F1075">
            <v>73181400</v>
          </cell>
          <cell r="G1075">
            <v>73181400</v>
          </cell>
          <cell r="H1075" t="str">
            <v>Parafuso autoperfurante, tipo maquina dimensAo M3x6mm, artigo roscado, de materia-prima base em Aco baixo carbono (1022), de processo de fabricacAo por usinagem e acabamento superficial galvanizado, Cabeca panela com fenda cruzada e diAmetro de **mm;</v>
          </cell>
        </row>
        <row r="1076">
          <cell r="B1076">
            <v>3030100030</v>
          </cell>
          <cell r="D1076">
            <v>21161001</v>
          </cell>
          <cell r="E1076">
            <v>73181500</v>
          </cell>
          <cell r="F1076">
            <v>73181500</v>
          </cell>
          <cell r="H1076" t="str">
            <v>PARAFUSO TIPO FENDA CRUZADA, DIMENSAO M3x5mm, EM MATeRIA-PRIMA BASE AcO DE BAIXO CARBONO, DE PROCESSO DE FABRICAcAO POR USINAGEM COM ACABAMENTO SUPERFICIAL POR GALVANIZAcAO ZINCADO BRANCO (3030100030)</v>
          </cell>
        </row>
        <row r="1077">
          <cell r="B1077">
            <v>3030100010</v>
          </cell>
          <cell r="D1077">
            <v>21161102</v>
          </cell>
          <cell r="E1077">
            <v>73181500</v>
          </cell>
          <cell r="F1077">
            <v>73181500</v>
          </cell>
          <cell r="H1077" t="str">
            <v xml:space="preserve">PARAFUSO TIPO FENDA CRUZADA, DIMENSAO M6x15mm, EM MATeRIA-PRIMA BASE AcO DE BAIXO CARBONO, DE PROCESSO DE FABRICAcAO POR USINAGEM COM ACABAMENTO SUPERFICIAL POR GALVANIZAcAO ZINCADO BRANCO (3030100010) </v>
          </cell>
        </row>
        <row r="1078">
          <cell r="B1078">
            <v>3030300010</v>
          </cell>
          <cell r="D1078">
            <v>21182005</v>
          </cell>
          <cell r="E1078">
            <v>73181400</v>
          </cell>
          <cell r="F1078">
            <v>73181400</v>
          </cell>
          <cell r="H1078" t="str">
            <v>PARAFUSO AUTOPERFURANTE DIAM. 2x6mm FENDA CRUZADA, EM MATeRIA-PRIMA BASE AcO DE BAIXO CARBONO, DE PROCESSO DE FABRICAcAO POR USINAGEM COM ACABAMENTO SUPERFICIAL POR GALVANIZAcAO ZINCADO AMARELO (3030300010)</v>
          </cell>
        </row>
        <row r="1079">
          <cell r="B1079">
            <v>3030100420</v>
          </cell>
          <cell r="D1079">
            <v>21112001</v>
          </cell>
          <cell r="E1079">
            <v>73181500</v>
          </cell>
          <cell r="F1079">
            <v>73181500</v>
          </cell>
          <cell r="H1079" t="str">
            <v>PARAFUSO TIPO PIERCE FENDA SIMPLES, DIMENSAO M4x10,5mm, EM MATeRIA-PRIMA BASE AcO DE BAIXO CARBONO, DE PROCESSO DE FABRICAcAO POR USINAGEM COM ACABAMENTO SUPERFICIAL POR GALVANIZAcAO ZINCADO AMARELO (3030100420)</v>
          </cell>
        </row>
        <row r="1080">
          <cell r="B1080">
            <v>3030500010</v>
          </cell>
          <cell r="D1080">
            <v>21161400</v>
          </cell>
          <cell r="E1080">
            <v>73181500</v>
          </cell>
          <cell r="F1080">
            <v>73181500</v>
          </cell>
          <cell r="H1080" t="str">
            <v>PARAFUSO TIPO FENDA CRUZADA COM FURO PARA PASSAGEM DE LACRE, DIMENSAO M4x22mm, EM MATeRIA-PRIMA BASE AcO DE BAIXO CARBONO, DE PROCESSO DE FABRICAcAO POR USINAGEM COM ACABAMENTO SUPERFICIAL POR GALVANIZAcAO ZINCADO BRANCO (3030500010)</v>
          </cell>
        </row>
        <row r="1081">
          <cell r="B1081">
            <v>3030100020</v>
          </cell>
          <cell r="D1081">
            <v>21161100</v>
          </cell>
          <cell r="E1081">
            <v>73181500</v>
          </cell>
          <cell r="F1081">
            <v>73181500</v>
          </cell>
          <cell r="H1081" t="str">
            <v xml:space="preserve">PARAFUSO TIPO FENDA CRUZADA, DIMENSAO M6x15mm, EM MATeRIA-PRIMA BASE AcO DE BAIXO CARBONO, DE PROCESSO DE FABRICAcAO POR USINAGEM COM ACABAMENTO SUPERFICIAL POR GALVANIZAcAO ZINCADO AMARELO (3030100020) </v>
          </cell>
        </row>
        <row r="1082">
          <cell r="B1082">
            <v>3030500030</v>
          </cell>
          <cell r="D1082">
            <v>21161300</v>
          </cell>
          <cell r="E1082">
            <v>73181500</v>
          </cell>
          <cell r="F1082">
            <v>73181500</v>
          </cell>
          <cell r="H1082" t="str">
            <v>PARAFUSO TIPO FENDA CRUZADA COM FURO PARA PASSAGEM DE LACRE, DIMENSAO M4x14mm, EM MATeRIA-PRIMA BASE AcO DE BAIXO CARBONO, DE PROCESSO DE FABRICAcAO POR USINAGEM COM ACABAMENTO SUPERFICIAL POR GALVANIZAcAO ZINCADO BRANCO (3030500030)</v>
          </cell>
        </row>
        <row r="1083">
          <cell r="B1083">
            <v>3030501300</v>
          </cell>
          <cell r="D1083">
            <v>21161302</v>
          </cell>
          <cell r="E1083">
            <v>73181500</v>
          </cell>
          <cell r="F1083">
            <v>73181500</v>
          </cell>
          <cell r="H1083" t="str">
            <v>PARAFUSO TIPO FENDA CRUZADA COM FURO PARA PASSAGEM DE LACRE, DIMENSAO M4x14mm, EM MATeRIA-PRIMA BASE AcO DE BAIXO CARBONO, DE PROCESSO DE FABRICAcAO POR USINAGEM COM ACABAMENTO SUPERFICIAL POR GALVANIZAcAO ZINCADO AMARELO (3030501300)</v>
          </cell>
        </row>
        <row r="1084">
          <cell r="B1084">
            <v>3030105470</v>
          </cell>
          <cell r="D1084">
            <v>21182011</v>
          </cell>
          <cell r="E1084">
            <v>73181500</v>
          </cell>
          <cell r="F1084">
            <v>73181500</v>
          </cell>
          <cell r="G1084">
            <v>73181500</v>
          </cell>
          <cell r="H1084" t="str">
            <v xml:space="preserve">PARAFUSO TIPO CABEcA ALLEN, DIMENSAO M10x25mm, EM MATeRIA-PRIMA BASE AcO DE BAIXO CARBONO, DE PROCESSO DE FABRICAcAO POR USINAGEM COM ACABAMENTO SUPERFICIAL POR GALVANIZAcAO ZINCADO BRANCO (3030105470) </v>
          </cell>
        </row>
        <row r="1085">
          <cell r="B1085">
            <v>3030100130</v>
          </cell>
          <cell r="D1085">
            <v>21161600</v>
          </cell>
          <cell r="E1085">
            <v>73181500</v>
          </cell>
          <cell r="F1085">
            <v>73181500</v>
          </cell>
          <cell r="H1085" t="str">
            <v xml:space="preserve">PARAFUSO TIPO FENDA CRUZADA, DIMENSAO M3x7mm, EM MATeRIA-PRIMA BASE AcO DE BAIXO CARBONO, DE PROCESSO DE FABRICAcAO POR USINAGEM COM ACABAMENTO SUPERFICIAL POR GALVANIZAcAO ZINCADO AMARELO (3030100130) </v>
          </cell>
        </row>
        <row r="1086">
          <cell r="B1086">
            <v>3030100140</v>
          </cell>
          <cell r="D1086">
            <v>21161500</v>
          </cell>
          <cell r="E1086">
            <v>73181500</v>
          </cell>
          <cell r="F1086">
            <v>73181500</v>
          </cell>
          <cell r="H1086" t="str">
            <v xml:space="preserve">PARAFUSO TIPO FENDA CRUZADA, DIMENSAO M4x9mm, EM MATeRIA-PRIMA BASE AcO DE BAIXO CARBONO, DE PROCESSO DE FABRICAcAO POR USINAGEM COM ACABAMENTO SUPERFICIAL POR GALVANIZAcAO ZINCADO AMARELO (3030100140) </v>
          </cell>
        </row>
        <row r="1087">
          <cell r="B1087">
            <v>3030300210</v>
          </cell>
          <cell r="D1087">
            <v>21130709</v>
          </cell>
          <cell r="E1087">
            <v>73181400</v>
          </cell>
          <cell r="F1087">
            <v>73181400</v>
          </cell>
          <cell r="H1087" t="str">
            <v>PARAFUSO AUTOPERFURANTE DIAM. 2,9x8mm FENDA CRUZADA, EM MATeRIA-PRIMA BASE AcO DE BAIXO CARBONO, DE PROCESSO DE FABRICAcAO POR USINAGEM COM ACABAMENTO SUPERFICIAL POR GALVANIZAcAO ZINCADO AMARELO (3030300210)</v>
          </cell>
        </row>
        <row r="1088">
          <cell r="B1088">
            <v>3030105380</v>
          </cell>
          <cell r="D1088">
            <v>21161501</v>
          </cell>
          <cell r="E1088">
            <v>73181500</v>
          </cell>
          <cell r="F1088">
            <v>73181500</v>
          </cell>
          <cell r="H1088" t="str">
            <v xml:space="preserve">PARAFUSO TIPO FENDA CRUZADA, DIMENSAO M4x9mm, EM MATeRIA-PRIMA BASE AcO DE BAIXO CARBONO, DE PROCESSO DE FABRICAcAO POR USINAGEM COM ACABAMENTO SUPERFICIAL POR GALVANIZAcAO ZINCADO BRANCO (3030105380) </v>
          </cell>
        </row>
        <row r="1089">
          <cell r="B1089">
            <v>3030105390</v>
          </cell>
          <cell r="D1089">
            <v>21161601</v>
          </cell>
          <cell r="E1089">
            <v>73181500</v>
          </cell>
          <cell r="F1089">
            <v>73181500</v>
          </cell>
          <cell r="H1089" t="str">
            <v xml:space="preserve">PARAFUSO TIPO FENDA CRUZADA, DIMENSAO M3x7mm, EM MATeRIA-PRIMA BASE AcO DE BAIXO CARBONO, DE PROCESSO DE FABRICAcAO POR USINAGEM COM ACABAMENTO SUPERFICIAL POR GALVANIZAcAO ZINCADO BRANCO (3030105390) </v>
          </cell>
        </row>
        <row r="1090">
          <cell r="B1090">
            <v>3030100310</v>
          </cell>
          <cell r="D1090">
            <v>21162301</v>
          </cell>
          <cell r="E1090">
            <v>73181500</v>
          </cell>
          <cell r="F1090">
            <v>73181500</v>
          </cell>
          <cell r="H1090" t="str">
            <v>PARAFUSO TIPO FENDA SIMPLES, DIMENSAO M6x15mm, EM MATeRIA-PRIMA BASE AcO DE BAIXO CARBONO, DE PROCESSO DE FABRICAcAO POR USINAGEM COM ACABAMENTO SUPERFICIAL POR GALVANIZAcAO ZINCADO BRANCO (3030100310)</v>
          </cell>
        </row>
        <row r="1091">
          <cell r="B1091">
            <v>3030106410</v>
          </cell>
          <cell r="D1091">
            <v>21163200</v>
          </cell>
          <cell r="E1091">
            <v>73181500</v>
          </cell>
          <cell r="F1091">
            <v>73181500</v>
          </cell>
          <cell r="G1091">
            <v>73181500</v>
          </cell>
          <cell r="H1091" t="str">
            <v>Parafuso do Terminal de Corrente - Fenda Simples, de materia-prima base de Aco Inox, de processo de fabricacAo por usinagem, sem tratamento superficial</v>
          </cell>
        </row>
        <row r="1092">
          <cell r="B1092">
            <v>3030101760</v>
          </cell>
          <cell r="D1092">
            <v>21164000</v>
          </cell>
          <cell r="E1092">
            <v>73181500</v>
          </cell>
          <cell r="F1092">
            <v>73181500</v>
          </cell>
          <cell r="G1092">
            <v>73181500</v>
          </cell>
          <cell r="H1092" t="str">
            <v>Parafuso M5x12 sextavado, de materia-prima base de aco baixo carbono, de processo de fabricacAo por usinagem, com acabamento superficial zincado amarelo, para medidor Zeus</v>
          </cell>
        </row>
        <row r="1093">
          <cell r="B1093">
            <v>3030300100</v>
          </cell>
          <cell r="D1093">
            <v>21164200</v>
          </cell>
          <cell r="E1093">
            <v>73181400</v>
          </cell>
          <cell r="F1093">
            <v>73181400</v>
          </cell>
          <cell r="H1093" t="str">
            <v>PARAFUSO AUTOPERFURANTE DIAM. 2,9x10mm FENDA CRUZADA, EM MATeRIA-PRIMA BASE AcO DE BAIXO CARBONO, DE PROCESSO DE FABRICAcAO POR USINAGEM COM ACABAMENTO SUPERFICIAL POR GALVANIZAcAO ZINCADO AMARELO (3030300100)</v>
          </cell>
        </row>
        <row r="1094">
          <cell r="B1094">
            <v>3030500290</v>
          </cell>
          <cell r="D1094">
            <v>21164500</v>
          </cell>
          <cell r="E1094">
            <v>73181500</v>
          </cell>
          <cell r="F1094">
            <v>73181500</v>
          </cell>
          <cell r="G1094">
            <v>73181500</v>
          </cell>
          <cell r="H1094" t="str">
            <v>PARAFUSO DE MATeRIA PRIMA BASE DE AcO BAIXO CARBONO, PROCESSO DE FABRICAcAO POR USINAGEM E ACABAMENTO SUPERFICIAL ZINCADO AMARELO, PARA TAMPA PRINCIPAL DO MEDIDOR HIGH END M4x25</v>
          </cell>
        </row>
        <row r="1095">
          <cell r="B1095">
            <v>3030501030</v>
          </cell>
          <cell r="D1095">
            <v>21165000</v>
          </cell>
          <cell r="E1095">
            <v>73181500</v>
          </cell>
          <cell r="F1095">
            <v>73181500</v>
          </cell>
          <cell r="G1095">
            <v>73181500</v>
          </cell>
          <cell r="H1095" t="str">
            <v xml:space="preserve">PARAFUSO TIPO FENDA CRUZADA COM FURO PARA PASSAGEM DE LACRE, DIMENSAO M4x12mm, EM MATeRIA-PRIMA BASE AcO DE BAIXO CARBONO, DE PROCESSO DE FABRICAcAO POR USINAGEM COM ACABAMENTO SUPERFICIAL POR GALVANIZAcAO ZINCADO AMARELO (3030501030) </v>
          </cell>
        </row>
        <row r="1096">
          <cell r="B1096">
            <v>3030103600</v>
          </cell>
          <cell r="D1096">
            <v>21182001</v>
          </cell>
          <cell r="E1096">
            <v>73181500</v>
          </cell>
          <cell r="F1096">
            <v>73181500</v>
          </cell>
          <cell r="G1096">
            <v>73181500</v>
          </cell>
          <cell r="H1096" t="str">
            <v>Parafuso Allen, de materia-prima base de aco baixo carbono, de processo de fabricacAo por usinagem, com acabamento superficial zincado amarelo, para Terminal de Corrente Medidor Ares 30/200</v>
          </cell>
        </row>
        <row r="1097">
          <cell r="B1097">
            <v>3030100100</v>
          </cell>
          <cell r="D1097">
            <v>21182014</v>
          </cell>
          <cell r="E1097">
            <v>73181500</v>
          </cell>
          <cell r="F1097">
            <v>73181500</v>
          </cell>
          <cell r="H1097" t="str">
            <v xml:space="preserve">PARAFUSO TIPO FENDA CRUZADA, DIMENSAO M3x5mm, EM MATeRIA-PRIMA BASE AcO DE BAIXO CARBONO, DE PROCESSO DE FABRICAcAO POR USINAGEM COM ACABAMENTO SUPERFICIAL POR GALVANIZAcAO ZINCADO AMARELO (3030100100) </v>
          </cell>
        </row>
        <row r="1098">
          <cell r="B1098">
            <v>3030104220</v>
          </cell>
          <cell r="D1098">
            <v>21182002</v>
          </cell>
          <cell r="E1098">
            <v>73181500</v>
          </cell>
          <cell r="F1098">
            <v>73181500</v>
          </cell>
          <cell r="G1098">
            <v>73181500</v>
          </cell>
          <cell r="H1098" t="str">
            <v>PARAFUSO M03X08, DE MATERIA-PRIMA BASE DE ACO BAIXO CARBONO, DE PROCESSO DE FABRICACAO POR USINAGEM, COM ACABAMENTO SUPERFICIAL ZINCADO AMARELO, PARA FIXACAO DE CABOS NAS PONTES DE FASES DE MEDIDOR ELETRICO POLIFASICO.</v>
          </cell>
        </row>
        <row r="1099">
          <cell r="B1099">
            <v>3030300260</v>
          </cell>
          <cell r="D1099">
            <v>21182004</v>
          </cell>
          <cell r="E1099">
            <v>73181400</v>
          </cell>
          <cell r="F1099">
            <v>73181400</v>
          </cell>
          <cell r="H1099" t="str">
            <v>PARAFUSO AUTOPERFURANTE DIAM. 3,9x9,9mm FENDA CRUZADA, EM MATeRIA-PRIMA BASE AcO DE BAIXO CARBONO, DE PROCESSO DE FABRICAcAO POR USINAGEM COM ACABAMENTO SUPERFICIAL POR GALVANIZAcAO ZINCADO AMARELO (3030300260)</v>
          </cell>
        </row>
        <row r="1100">
          <cell r="B1100">
            <v>3030300160</v>
          </cell>
          <cell r="D1100">
            <v>21182007</v>
          </cell>
          <cell r="E1100">
            <v>73181500</v>
          </cell>
          <cell r="F1100">
            <v>73181500</v>
          </cell>
          <cell r="G1100">
            <v>73181500</v>
          </cell>
          <cell r="H1100" t="str">
            <v>Parafuso Autoatarraxante, de materia-prima base aco baixo carbono, de processo de fabricacAo por usinagem, com acabamento superficial zincado amarelo, p/ FixacAo da PCI dos Term. de comunicacAo de medidores eletricos polifasicos</v>
          </cell>
        </row>
        <row r="1101">
          <cell r="B1101">
            <v>3030104420</v>
          </cell>
          <cell r="D1101">
            <v>21182010</v>
          </cell>
          <cell r="E1101">
            <v>73181500</v>
          </cell>
          <cell r="F1101">
            <v>73181500</v>
          </cell>
          <cell r="H1101" t="str">
            <v xml:space="preserve">PARAFUSO TIPO FENDA CRUZADA, DIMENSAO M4x10mm, EM MATeRIA-PRIMA BASE AcO DE BAIXO CARBONO, DE PROCESSO DE FABRICAcAO POR USINAGEM COM ACABAMENTO SUPERFICIAL POR GALVANIZAcAO ZINCADO AMARELO (3030104420) </v>
          </cell>
        </row>
        <row r="1102">
          <cell r="B1102">
            <v>3030105660</v>
          </cell>
          <cell r="D1102">
            <v>21182012</v>
          </cell>
          <cell r="E1102">
            <v>73181500</v>
          </cell>
          <cell r="F1102">
            <v>73181500</v>
          </cell>
          <cell r="G1102">
            <v>73181500</v>
          </cell>
          <cell r="H1102" t="str">
            <v>PARAFUSO TIPO CABEcA ALLEN, DIMENSAO M10x25mm, EM MATeRIA-PRIMA BASE AcO INOXIDaVEL SUS304, DE PROCESSO DE FABRICAcAO POR USINAGEM COM ACABAMENTO SUPERFICIAL SEM TRATAMENTO (3030105660)</v>
          </cell>
        </row>
        <row r="1103">
          <cell r="B1103">
            <v>3030107530</v>
          </cell>
          <cell r="D1103">
            <v>21182013</v>
          </cell>
          <cell r="E1103">
            <v>73181500</v>
          </cell>
          <cell r="F1103">
            <v>73181500</v>
          </cell>
          <cell r="G1103">
            <v>73181500</v>
          </cell>
          <cell r="H1103" t="str">
            <v xml:space="preserve">PARAFUSO TIPO CABEcA ALLEN, DIMENSAO M10x25mm, EM MATeRIA-PRIMA BASE AcO DE BAIXO CARBONO, DE PROCESSO DE FABRICAcAO POR USINAGEM COM ACABAMENTO SUPERFICIAL POR GALVANIZAcAO ESTANHADO (3030107530) </v>
          </cell>
        </row>
        <row r="1104">
          <cell r="B1104">
            <v>3030107740</v>
          </cell>
          <cell r="D1104">
            <v>21112002</v>
          </cell>
          <cell r="E1104">
            <v>73181500</v>
          </cell>
          <cell r="F1104">
            <v>73181500</v>
          </cell>
          <cell r="G1104">
            <v>73181500</v>
          </cell>
          <cell r="H1104" t="str">
            <v>Parafuso Pierce, de materia-prima base de aco baixo carbono, de processo de fabricacAo por usinagem, com acabamento superficial zincado amarelo, para Tampa Principal - High End Polifasico</v>
          </cell>
        </row>
        <row r="1105">
          <cell r="B1105">
            <v>3030900020</v>
          </cell>
          <cell r="D1105">
            <v>20264101</v>
          </cell>
          <cell r="E1105">
            <v>73181600</v>
          </cell>
          <cell r="F1105">
            <v>73181600</v>
          </cell>
          <cell r="H1105" t="str">
            <v>PORCA QUADRADA M4*7*7, DE MATeRIA-PRIMA BASE EM AcO BAIXO CARBONO, DE PROCESSO DE FABRICAcAO POR USINAGEM E ACABAMENTO SUPERFICIAL ZINCADO BRANCO (REF. 8.902.000-00-1-C - COD. 20264101)</v>
          </cell>
        </row>
        <row r="1106">
          <cell r="B1106">
            <v>3030900010</v>
          </cell>
          <cell r="D1106">
            <v>20264102</v>
          </cell>
          <cell r="E1106">
            <v>73181600</v>
          </cell>
          <cell r="F1106">
            <v>73181600</v>
          </cell>
          <cell r="G1106">
            <v>73181600</v>
          </cell>
          <cell r="H1106" t="str">
            <v>PORCA QUADRADA M4*7*7, DE MATeRIA-PRIMA BASE EM AcO BAIXO CARBONO, DE PROCESSO DE FABRICAcAO POR USINAGEM E ACABAMENTO SUPERFICIAL ZINCADO AMARELO (REF.  8.902.000-00-1-1 - COD. 20264102)</v>
          </cell>
        </row>
        <row r="1107">
          <cell r="B1107">
            <v>3030900200</v>
          </cell>
          <cell r="D1107">
            <v>20265101</v>
          </cell>
          <cell r="E1107">
            <v>73181600</v>
          </cell>
          <cell r="F1107">
            <v>73181600</v>
          </cell>
          <cell r="G1107">
            <v>73181600</v>
          </cell>
          <cell r="H1107" t="str">
            <v>Porca sextavada M5, de materia-prima base aco baixo carbono, processo de fabricacAo por usinagem, acabamento superficial Zincado Amarelo</v>
          </cell>
        </row>
        <row r="1108">
          <cell r="B1108">
            <v>3031300140</v>
          </cell>
          <cell r="D1108">
            <v>20268100</v>
          </cell>
          <cell r="E1108">
            <v>73182100</v>
          </cell>
          <cell r="F1108">
            <v>73182100</v>
          </cell>
          <cell r="G1108">
            <v>73182100</v>
          </cell>
          <cell r="H1108" t="str">
            <v>Arruela de PressAo, diAmetro 5, de materia-prima aco medio carbono, processo de fabricacAo por usinagem e acabamento superficial Zincado Amarelo</v>
          </cell>
        </row>
        <row r="1109">
          <cell r="B1109">
            <v>3031300100</v>
          </cell>
          <cell r="D1109">
            <v>20290801</v>
          </cell>
          <cell r="E1109">
            <v>73182100</v>
          </cell>
          <cell r="F1109">
            <v>73182100</v>
          </cell>
          <cell r="H1109" t="str">
            <v>Arruela de pressAo, em materia-prima base de aco baixo carbono, de processo de fabricacAo por usinagem e acabamento superficial zincado amarelo - diAmetro 3 - Medidor Ares 30/200</v>
          </cell>
        </row>
        <row r="1110">
          <cell r="B1110">
            <v>3032900010</v>
          </cell>
          <cell r="D1110">
            <v>20691524</v>
          </cell>
          <cell r="E1110">
            <v>73202010</v>
          </cell>
          <cell r="F1110">
            <v>73202010</v>
          </cell>
          <cell r="H1110" t="str">
            <v>Mola helicoidal cilíndrica de aco para botoes medidor Zeus</v>
          </cell>
        </row>
        <row r="1111">
          <cell r="B1111">
            <v>3032900150</v>
          </cell>
          <cell r="D1111">
            <v>20691526</v>
          </cell>
          <cell r="E1111">
            <v>73202010</v>
          </cell>
          <cell r="F1111">
            <v>73202010</v>
          </cell>
          <cell r="G1111">
            <v>73202010</v>
          </cell>
          <cell r="H1111" t="str">
            <v>Mola heliciodal cilíndrica de aco para botoes medidor High End</v>
          </cell>
        </row>
        <row r="1112">
          <cell r="B1112">
            <v>3032900040</v>
          </cell>
          <cell r="D1112">
            <v>20691515</v>
          </cell>
          <cell r="E1112">
            <v>73209000</v>
          </cell>
          <cell r="F1112">
            <v>73209000</v>
          </cell>
          <cell r="H1112" t="str">
            <v>Mola espiral plana, de aco, para Sensor de Abertura da Tampa - Medidor Ares 30/200 0.4  7mm</v>
          </cell>
        </row>
        <row r="1113">
          <cell r="B1113">
            <v>3041500100</v>
          </cell>
          <cell r="D1113">
            <v>20290803</v>
          </cell>
          <cell r="E1113">
            <v>73259990</v>
          </cell>
          <cell r="F1113">
            <v>73259990</v>
          </cell>
          <cell r="G1113">
            <v>73259990</v>
          </cell>
          <cell r="H1113" t="str">
            <v>Placa moldada, de ferro, para medidor eletrico Ares 30/200</v>
          </cell>
        </row>
        <row r="1114">
          <cell r="B1114">
            <v>2091100481</v>
          </cell>
          <cell r="D1114">
            <v>20691918</v>
          </cell>
          <cell r="E1114">
            <v>73261900</v>
          </cell>
          <cell r="F1114">
            <v>73261900</v>
          </cell>
          <cell r="G1114">
            <v>73261900</v>
          </cell>
          <cell r="H1114" t="str">
            <v>Chapa de aco, forjada, p/ medidores eletricos 18mm*18mm:0.4MM</v>
          </cell>
        </row>
        <row r="1115">
          <cell r="B1115">
            <v>3090500400</v>
          </cell>
          <cell r="D1115">
            <v>10410700</v>
          </cell>
          <cell r="E1115">
            <v>73262000</v>
          </cell>
          <cell r="F1115">
            <v>73262000</v>
          </cell>
          <cell r="H1115" t="str">
            <v>Arame de fio de aco inoxidavel, obtido por corte, para lacre de medidor eletrico - L=100mm</v>
          </cell>
        </row>
        <row r="1116">
          <cell r="B1116">
            <v>3042100010</v>
          </cell>
          <cell r="D1116">
            <v>20265200</v>
          </cell>
          <cell r="E1116">
            <v>76081000</v>
          </cell>
          <cell r="F1116">
            <v>76081000</v>
          </cell>
          <cell r="G1116">
            <v>76081000</v>
          </cell>
          <cell r="H1116" t="str">
            <v>Tubo de alumínio nAo ligado DiAm. 5 x 10mm</v>
          </cell>
        </row>
        <row r="1117">
          <cell r="B1117">
            <v>2091100451</v>
          </cell>
          <cell r="D1117">
            <v>20691804</v>
          </cell>
          <cell r="E1117">
            <v>84198999</v>
          </cell>
          <cell r="F1117">
            <v>84198999</v>
          </cell>
          <cell r="G1117">
            <v>84198999</v>
          </cell>
          <cell r="H1117" t="str">
            <v>Dispositivo para dissipacAo de calor, para montagem PTH, dimensoes 20x10,4x14,7 mm</v>
          </cell>
        </row>
        <row r="1118">
          <cell r="B1118">
            <v>3010100010</v>
          </cell>
          <cell r="D1118">
            <v>20661600</v>
          </cell>
          <cell r="E1118">
            <v>85043111</v>
          </cell>
          <cell r="F1118">
            <v>85043111</v>
          </cell>
          <cell r="H1118" t="str">
            <v>TRANSFORMADOR ELeTRICO DE CORRENTE 15(200)A, 7,5mA, POTeNCIA DE 0,2KVA, FREQUENCIA  50 HZ, 10R, 01, L=80MM (REF. 6.AD.02.65C111N - COD. 20661600)</v>
          </cell>
        </row>
        <row r="1119">
          <cell r="B1119">
            <v>2100300011</v>
          </cell>
          <cell r="D1119">
            <v>20691513</v>
          </cell>
          <cell r="E1119">
            <v>85043111</v>
          </cell>
          <cell r="F1119">
            <v>85043111</v>
          </cell>
          <cell r="H1119" t="str">
            <v>TRANSFORMADOR ELeTRICO DE CORRENTE EE25 DE POTeNCIA 1kVA, FREQUeNCIA 30HZ 700-800uH 25uH 2 28*22*15mm (REF. F02188 - CoD. 20691513)</v>
          </cell>
        </row>
        <row r="1120">
          <cell r="B1120">
            <v>2100300341</v>
          </cell>
          <cell r="D1120">
            <v>20691520</v>
          </cell>
          <cell r="E1120">
            <v>85043111</v>
          </cell>
          <cell r="F1120">
            <v>85043111</v>
          </cell>
          <cell r="G1120">
            <v>85043111</v>
          </cell>
          <cell r="H1120" t="str">
            <v>TRANSFORMADOR ELeTRICO DE CORRENTE EE20 DE POTeNCIA 0,6 KVA E FREQUeNCIA 60 HZ 1mH 10por cento 50uH 2 (13T/13T) 24*23*18mm</v>
          </cell>
        </row>
        <row r="1121">
          <cell r="B1121">
            <v>2100100011</v>
          </cell>
          <cell r="D1121">
            <v>20650100</v>
          </cell>
          <cell r="E1121">
            <v>85043199</v>
          </cell>
          <cell r="F1121">
            <v>85043199</v>
          </cell>
          <cell r="H1121" t="str">
            <v>TRANSFORMADOR ELeTRICO DE ALTA FREQUENCIA 240V 19.3V 30mA POTeNCIA 0,0072 KVA FREQUENCIA 42 KHZ (REF. F02117 - COD. 20650100)</v>
          </cell>
        </row>
        <row r="1122">
          <cell r="B1122">
            <v>2100300451</v>
          </cell>
          <cell r="D1122">
            <v>20650101</v>
          </cell>
          <cell r="E1122">
            <v>85043199</v>
          </cell>
          <cell r="F1122">
            <v>85043199</v>
          </cell>
          <cell r="H1122" t="str">
            <v>TRANSFORMADOR ELeTRICO DE ALTA FREQUENCIA 120V 19.3V 30mA POTeNCIA 0,0036 KVA, FREQUENCIA 42 KHZ (REF. F02125 - COD. 20650101)</v>
          </cell>
        </row>
        <row r="1123">
          <cell r="B1123">
            <v>2100300021</v>
          </cell>
          <cell r="D1123">
            <v>20691516</v>
          </cell>
          <cell r="E1123">
            <v>85043199</v>
          </cell>
          <cell r="F1123">
            <v>85043199</v>
          </cell>
          <cell r="H1123" t="str">
            <v>TRANSFORMADOR ELeTRICO DE ALTA FREQUENCIA 120V 19.3V 30mA POTeNCIA 0,0036 KVA, FREQUENCIA 42 KHZ (REF. F04012  - COD 20691516)</v>
          </cell>
        </row>
        <row r="1124">
          <cell r="B1124">
            <v>2100300452</v>
          </cell>
          <cell r="D1124">
            <v>20650115</v>
          </cell>
          <cell r="E1124">
            <v>85043199</v>
          </cell>
          <cell r="F1124">
            <v>85043199</v>
          </cell>
          <cell r="H1124" t="str">
            <v>TRANSFORMADOR ELeTRICO DE ALTA FREQUENCIA DE POTeNCIA 0,012 KVA E FREQUENCIA 50HZ EE16 2.8mH 10por cento 2 17*13*11mm (F02125) PTH</v>
          </cell>
        </row>
        <row r="1125">
          <cell r="B1125">
            <v>2100300361</v>
          </cell>
          <cell r="D1125">
            <v>20691519</v>
          </cell>
          <cell r="E1125">
            <v>85043199</v>
          </cell>
          <cell r="F1125">
            <v>85043199</v>
          </cell>
          <cell r="H1125" t="str">
            <v>TRANSFORMADOR ELeTRICO DE ALTA FREQUENCIA DE POTeNCIA 0,1KVA E FREQUeNCIA 42KHZ EE16 2.8mH 10por cento 2 (18T/14T) 33*18*17mm</v>
          </cell>
        </row>
        <row r="1126">
          <cell r="B1126">
            <v>2030500391</v>
          </cell>
          <cell r="D1126">
            <v>20650108</v>
          </cell>
          <cell r="E1126">
            <v>85045010</v>
          </cell>
          <cell r="F1126" t="str">
            <v>Need to update benefit</v>
          </cell>
          <cell r="H1126" t="str">
            <v>Bobina de auto-inducao (indutor) de 2uH, para montagem por insercao (PTH), de frequencia de 1kHz, intensidade de corrente de 40A, 0.1Ω de resistencia, de dimensoes de 19.5mm de comprimento, 23.0mm de largura e 18.0mm de altura (2030500391) PTH</v>
          </cell>
        </row>
        <row r="1127">
          <cell r="B1127">
            <v>2030300043</v>
          </cell>
          <cell r="D1127">
            <v>20691905</v>
          </cell>
          <cell r="E1127">
            <v>85045010</v>
          </cell>
          <cell r="F1127" t="str">
            <v>Need to update benefit</v>
          </cell>
          <cell r="H1127" t="str">
            <v>Bobina de auto-inducao (indutor) 600uH para montagem em superfície (SMD), com oito pinos, de resistencia de 0.1Ω, dimensoes 30mm de comprimento, 33mm de largura e 25mm de altura.</v>
          </cell>
        </row>
        <row r="1128">
          <cell r="B1128">
            <v>2030100011</v>
          </cell>
          <cell r="D1128">
            <v>20650102</v>
          </cell>
          <cell r="E1128">
            <v>85045010</v>
          </cell>
          <cell r="F1128" t="str">
            <v>Need to update benefit</v>
          </cell>
          <cell r="G1128">
            <v>85045010</v>
          </cell>
          <cell r="H1128" t="str">
            <v>Bobina de autoinducAo (indutor) de chip, de largura 3 mm e comprimento 3 mm, e altura 1,5 mm, para montagem em superfície SMD, indutAncia 10uH, tolerAncia de 20por cento, corrente maxima 1,00A.</v>
          </cell>
        </row>
        <row r="1129">
          <cell r="B1129">
            <v>2030500481</v>
          </cell>
          <cell r="D1129">
            <v>20650112</v>
          </cell>
          <cell r="E1129">
            <v>85045010</v>
          </cell>
          <cell r="F1129" t="str">
            <v>Need to update benefit</v>
          </cell>
          <cell r="G1129">
            <v>85045000</v>
          </cell>
          <cell r="H1129" t="str">
            <v>Bobina de auto-inducao (indutor) de 2.2µH , para montagem por insercao (PTH), de frequencia de 100kHz, tolerancia de 10%, intensidade de corrente de 0.126A, 100mΩ de resistencia, dimensoes de 4 mm de comprimento, 4 mm de largura e 10.5 mm de altura (2030500481) PTH</v>
          </cell>
        </row>
        <row r="1130">
          <cell r="B1130">
            <v>2030100471</v>
          </cell>
          <cell r="D1130">
            <v>20650113</v>
          </cell>
          <cell r="E1130">
            <v>85045010</v>
          </cell>
          <cell r="F1130" t="str">
            <v>Need to update benefit</v>
          </cell>
          <cell r="G1130">
            <v>85045000</v>
          </cell>
          <cell r="H1130" t="str">
            <v>Bobina de auto-inducao (Indutor fixo) de 2.2uH para montagem em superfície (SMD), tolerancia de 30%, 42mOhms de resistencia DC, com dimensoes de 5mm de comprimento, 5mm de largura e 2mm de altura.</v>
          </cell>
        </row>
        <row r="1131">
          <cell r="B1131">
            <v>2030300042</v>
          </cell>
          <cell r="D1131">
            <v>20691921</v>
          </cell>
          <cell r="E1131">
            <v>85045010</v>
          </cell>
          <cell r="F1131" t="str">
            <v>Need to update benefit</v>
          </cell>
          <cell r="H1131" t="str">
            <v>Bobina de auto-inducao (indutor) 600uH para montagem em superfície (SMD), com oito pinos, de resistencia de 0.1Ω, dimensoes 30mm de comprimento, 33mm de largura e 25mm de altura.</v>
          </cell>
        </row>
        <row r="1132">
          <cell r="B1132">
            <v>2030300261</v>
          </cell>
          <cell r="D1132">
            <v>20650105</v>
          </cell>
          <cell r="E1132">
            <v>85045010</v>
          </cell>
          <cell r="F1132" t="str">
            <v>Need to update benefit</v>
          </cell>
          <cell r="H1132" t="str">
            <v>Bobina de autoinducao (indutor) FT20 com fio de 0.23 mm de espessura, com quatro pinos, 23mm de comprimento, 18mm de largura e 24mm de altura.</v>
          </cell>
        </row>
        <row r="1133">
          <cell r="B1133">
            <v>2030300021</v>
          </cell>
          <cell r="D1133">
            <v>20691924</v>
          </cell>
          <cell r="E1133">
            <v>85045010</v>
          </cell>
          <cell r="F1133" t="str">
            <v>Need to update benefit</v>
          </cell>
          <cell r="H1133" t="str">
            <v>Bobina de autoinducao (indutor) com fio de 0.31 mm de espessura, projetado com um nucleo de THC COMUM, com quatro pinos, de resistencia de 0.1Ω, 30mm de comprimento, 33mm de largura e 25mm de altura.</v>
          </cell>
        </row>
        <row r="1134">
          <cell r="B1134">
            <v>2030300041</v>
          </cell>
          <cell r="D1134">
            <v>20691933</v>
          </cell>
          <cell r="E1134">
            <v>85045010</v>
          </cell>
          <cell r="F1134" t="str">
            <v>Need to update benefit</v>
          </cell>
          <cell r="H1134" t="str">
            <v>Bobina de autoinducao (indutor)  400uH para montagem por insercao (PTH), com oito pinos, de resistencia de 0.1Ω, 30mm de comprimento, 33mm de largura e 25mm de altura.</v>
          </cell>
        </row>
        <row r="1135">
          <cell r="B1135">
            <v>2070100035</v>
          </cell>
          <cell r="D1135">
            <v>20692001</v>
          </cell>
          <cell r="E1135">
            <v>85065010</v>
          </cell>
          <cell r="F1135">
            <v>85065010</v>
          </cell>
          <cell r="H1135" t="str">
            <v>BATERIA ELeTRICA DE LÍTIO DE 3.6V 1.2AH 15MA, VOLUME EXTERIOR DE  4,16CM³, ER14250 (REF. I01137 - CoD. 20692001)</v>
          </cell>
        </row>
        <row r="1136">
          <cell r="B1136">
            <v>2070100301</v>
          </cell>
          <cell r="D1136">
            <v>20692002</v>
          </cell>
          <cell r="E1136">
            <v>85065010</v>
          </cell>
          <cell r="F1136">
            <v>85065010</v>
          </cell>
          <cell r="H1136" t="str">
            <v>BATERIA ELeTRICA DE LÍTIO (REVESTIDA), VOLUME EXTERIOR DE 4,16CM³, DE 3.6V 1.2AH 15MA ER14250 (REF. 5.510.13 - CoD. 20692002)</v>
          </cell>
        </row>
        <row r="1137">
          <cell r="B1137">
            <v>2070100012</v>
          </cell>
          <cell r="D1137">
            <v>20692003</v>
          </cell>
          <cell r="E1137">
            <v>85065010</v>
          </cell>
          <cell r="F1137">
            <v>85065010</v>
          </cell>
          <cell r="H1137" t="str">
            <v>BATERIA ELeTRICA DE LÍTIO (REVESTIDA) DE 3.6V 1.2AH 25MA ER14250CT/1.001, DE VOLUME EXTERIOR DE 4,16CM³ (REF. I01120-2 - CoD. 20692003)</v>
          </cell>
        </row>
        <row r="1138">
          <cell r="B1138">
            <v>2070100241</v>
          </cell>
          <cell r="D1138">
            <v>20692004</v>
          </cell>
          <cell r="E1138">
            <v>85065010</v>
          </cell>
          <cell r="F1138">
            <v>85065010</v>
          </cell>
          <cell r="G1138">
            <v>85065010</v>
          </cell>
          <cell r="H1138" t="str">
            <v>BATERIA ELETRICA DE LÍTIO (REVESTIDA), DE VOLUME EXTERIOR APROXIMADO DE 27CM³ - 3.6V 1.2Ah 50mA F17.3*28.6 (50mm)</v>
          </cell>
        </row>
        <row r="1139">
          <cell r="B1139">
            <v>2070101027</v>
          </cell>
          <cell r="D1139">
            <v>20692006</v>
          </cell>
          <cell r="E1139">
            <v>85065010</v>
          </cell>
          <cell r="F1139">
            <v>85065010</v>
          </cell>
          <cell r="H1139" t="str">
            <v>BATERIA ELeTRICA DE LÍTIO DE 3.6V 25mA 1.2Ah, VOLUME EXTERIOR DE 25,77cm³ PTH</v>
          </cell>
        </row>
        <row r="1140">
          <cell r="B1140">
            <v>2070100997</v>
          </cell>
          <cell r="D1140">
            <v>20692007</v>
          </cell>
          <cell r="E1140">
            <v>85065010</v>
          </cell>
          <cell r="F1140">
            <v>85065010</v>
          </cell>
          <cell r="H1140" t="str">
            <v>BATERIA ELeTRICA DE LÍTIO DE 3.6V 1.2Ah 40mA, VOLUME EXTERIOR DE 33cm³</v>
          </cell>
        </row>
        <row r="1141">
          <cell r="B1141">
            <v>2020300111</v>
          </cell>
          <cell r="D1141">
            <v>20672600</v>
          </cell>
          <cell r="E1141">
            <v>85322200</v>
          </cell>
          <cell r="F1141">
            <v>85322200</v>
          </cell>
          <cell r="G1141">
            <v>85322200</v>
          </cell>
          <cell r="H1141" t="str">
            <v>CAPACITOR (CONDENSADOR ELeTRICO FIXO) ELETROLÍTICO DE ALUMÍNIO 1000uF 20por cento 25V 2000 HORAS (REF. C07050-1 - COD. 2020300111)</v>
          </cell>
        </row>
        <row r="1142">
          <cell r="B1142">
            <v>2020300131</v>
          </cell>
          <cell r="D1142">
            <v>20672602</v>
          </cell>
          <cell r="E1142">
            <v>85322200</v>
          </cell>
          <cell r="F1142">
            <v>85322200</v>
          </cell>
          <cell r="H1142" t="str">
            <v>CAPACITOR (CONDENSADOR ELeTRICO FIXO) ELETROLITICO DE ALUMÍNIO 1000U 10V 20por cento 2000 hour (REF. C07029-1 - COD. 20672602)</v>
          </cell>
        </row>
        <row r="1143">
          <cell r="B1143">
            <v>2020301131</v>
          </cell>
          <cell r="D1143">
            <v>20672603</v>
          </cell>
          <cell r="E1143">
            <v>85322200</v>
          </cell>
          <cell r="F1143">
            <v>85322200</v>
          </cell>
          <cell r="H1143" t="str">
            <v>CAPACITOR (CONDENSADOR ELeTRICO FIXO) ELETROLITICO DE ALUMÍNIO 1000uF 20por cento 50V 2000 hours (REF. C07043-1 - COD. 20672603)</v>
          </cell>
        </row>
        <row r="1144">
          <cell r="B1144">
            <v>2020300061</v>
          </cell>
          <cell r="D1144">
            <v>20672604</v>
          </cell>
          <cell r="E1144">
            <v>85322200</v>
          </cell>
          <cell r="F1144">
            <v>85322200</v>
          </cell>
          <cell r="G1144">
            <v>85322200</v>
          </cell>
          <cell r="H1144" t="str">
            <v>CAPACITOR (CONDENSADOR ELeTRICO FIXO) ELETROLÍTICO DE ALUMÍNIO 1000uF 10V (REF. C07028 - COD. 20672604)</v>
          </cell>
        </row>
        <row r="1145">
          <cell r="B1145">
            <v>2020300101</v>
          </cell>
          <cell r="D1145">
            <v>20672608</v>
          </cell>
          <cell r="E1145">
            <v>85322200</v>
          </cell>
          <cell r="F1145">
            <v>85322200</v>
          </cell>
          <cell r="G1145">
            <v>85322200</v>
          </cell>
          <cell r="H1145" t="str">
            <v>CAPACITOR (CONDENSADOR ELeTRICO FIXO) ELETROLÍTICO DE ALUMÍNIO 470uF 20por cento 25V 2000 hour (REF. C07071 - COD. 20672608)</v>
          </cell>
        </row>
        <row r="1146">
          <cell r="B1146">
            <v>2020300151</v>
          </cell>
          <cell r="D1146">
            <v>20672612</v>
          </cell>
          <cell r="E1146">
            <v>85322200</v>
          </cell>
          <cell r="F1146">
            <v>85322200</v>
          </cell>
          <cell r="G1146">
            <v>85322200</v>
          </cell>
          <cell r="H1146" t="str">
            <v>CAPACITOR (CONDENSADOR ELeTRICO FIXO) ELETROLÍTICO DE ALUMÍNIO 470uF 20por cento 10V 6000 (REF. 2020300151)</v>
          </cell>
        </row>
        <row r="1147">
          <cell r="B1147">
            <v>2020300661</v>
          </cell>
          <cell r="D1147">
            <v>20660408</v>
          </cell>
          <cell r="E1147">
            <v>85322200</v>
          </cell>
          <cell r="F1147">
            <v>85322200</v>
          </cell>
          <cell r="G1147">
            <v>85322200</v>
          </cell>
          <cell r="H1147" t="str">
            <v>CAPACITOR (CONDENSADOR ELeTRICO FIXO) ELETROLÍTICO DE ALUMÍNIO PTH 1000uF 20por cento 10V KYA RAD-5mm</v>
          </cell>
        </row>
        <row r="1148">
          <cell r="B1148">
            <v>2020300831</v>
          </cell>
          <cell r="D1148">
            <v>20660607</v>
          </cell>
          <cell r="E1148">
            <v>85322200</v>
          </cell>
          <cell r="F1148">
            <v>85322200</v>
          </cell>
          <cell r="G1148">
            <v>85322200</v>
          </cell>
          <cell r="H1148" t="str">
            <v>Capacitor (condensador eletrico fixo) 1000uF 20por cento 10V ZLH RAD-5mm com dimensoes de 10*12.5mm, para montagem por insercAo (PTH),  eletrolítico de alumínio (2020300831)</v>
          </cell>
        </row>
        <row r="1149">
          <cell r="B1149">
            <v>2020300801</v>
          </cell>
          <cell r="D1149">
            <v>20660609</v>
          </cell>
          <cell r="E1149">
            <v>85322200</v>
          </cell>
          <cell r="F1149">
            <v>85322200</v>
          </cell>
          <cell r="G1149">
            <v>85322200</v>
          </cell>
          <cell r="H1149" t="str">
            <v>Capacitor (condensador eletrico fixo) 2200uF 20por cento 16V YXJ RAD-5mm com dimensoes de 12.5*20mm, para montagem por insercAo (PTH),  eletrolítico de alumínio (2020300801)</v>
          </cell>
        </row>
        <row r="1150">
          <cell r="B1150">
            <v>2020300561</v>
          </cell>
          <cell r="D1150">
            <v>20660610</v>
          </cell>
          <cell r="E1150">
            <v>85322200</v>
          </cell>
          <cell r="F1150">
            <v>85322200</v>
          </cell>
          <cell r="G1150">
            <v>85322200</v>
          </cell>
          <cell r="H1150" t="str">
            <v>CAPACITOR (CONDENSADOR ELeTRICO FIXO) ELETROLITICO DE ALUMÍNIO 22uF 20por cento 450V KXG 10000h 16*20 RAD-7.5mm PTH</v>
          </cell>
        </row>
        <row r="1151">
          <cell r="B1151">
            <v>2020301001</v>
          </cell>
          <cell r="D1151">
            <v>20660615</v>
          </cell>
          <cell r="E1151">
            <v>85322200</v>
          </cell>
          <cell r="F1151">
            <v>85322200</v>
          </cell>
          <cell r="G1151">
            <v>85322200</v>
          </cell>
          <cell r="H1151" t="str">
            <v>Capacitor (condensador eletrico fixo) 1000uF 20por cento 25V YXF RAD-5mm, para montagem por insercAo (PTH),  eletrolítico de alumínio (2020301001)</v>
          </cell>
        </row>
        <row r="1152">
          <cell r="B1152">
            <v>2020301161</v>
          </cell>
          <cell r="D1152">
            <v>20660624</v>
          </cell>
          <cell r="E1152">
            <v>85322200</v>
          </cell>
          <cell r="F1152">
            <v>85322200</v>
          </cell>
          <cell r="G1152">
            <v>85322200</v>
          </cell>
          <cell r="H1152" t="str">
            <v>CAPACITOR (CONDENSADOR ELeTRICO FIXO) ELETROLÍTICO DE ALUMÍNIO PTH 220uF 20por cento 25V KY RAD-3.5mm</v>
          </cell>
        </row>
        <row r="1153">
          <cell r="B1153">
            <v>2020100170</v>
          </cell>
          <cell r="D1153">
            <v>20672505</v>
          </cell>
          <cell r="E1153">
            <v>85322310</v>
          </cell>
          <cell r="F1153" t="str">
            <v>Not applicable</v>
          </cell>
          <cell r="G1153">
            <v>85322310</v>
          </cell>
          <cell r="H1153" t="str">
            <v>CAPACITOR (CONDENSDOR ELeTRICO FIXO) COM DIELeTRICO DE CERAMICA DE UMA So CAMADA  PRoPRIO PARA MONTAGEM EM SUPERFÍCIE SMD 12pF 5por cento 50V NPO (REF. C01011 - CoD. 20672505)</v>
          </cell>
        </row>
        <row r="1154">
          <cell r="B1154">
            <v>2020100300</v>
          </cell>
          <cell r="D1154">
            <v>20672512</v>
          </cell>
          <cell r="E1154">
            <v>85322310</v>
          </cell>
          <cell r="F1154" t="str">
            <v>Not applicable</v>
          </cell>
          <cell r="G1154">
            <v>85322310</v>
          </cell>
          <cell r="H1154" t="str">
            <v>CAPACITOR (CONDENSDOR ELeTRICO FIXO) COM DIELeTRICO DE CERAMICA DE UMA So CAMADA  PRoPRIO PARA MONTAGEM EM SUPERFÍCIE SMD 22pF 5por cento 50V NPO (REF. C03006 - COD. 20672512)</v>
          </cell>
        </row>
        <row r="1155">
          <cell r="B1155">
            <v>2020100260</v>
          </cell>
          <cell r="D1155">
            <v>20672513</v>
          </cell>
          <cell r="E1155">
            <v>85322310</v>
          </cell>
          <cell r="F1155" t="str">
            <v>Not applicable</v>
          </cell>
          <cell r="G1155">
            <v>85322310</v>
          </cell>
          <cell r="H1155" t="str">
            <v>CAPACITOR (CONDENSDOR ELeTRICO FIXO) COM DIELeTRICO DE CERAMICA DE UMA So CAMADA  PRoPRIO PARA MONTAGEM EM SUPERFÍCIE SMD 33nF 10por cento 50V X7R ( REF. C04004 - COD. 20672513)</v>
          </cell>
        </row>
        <row r="1156">
          <cell r="B1156">
            <v>2020100220</v>
          </cell>
          <cell r="D1156">
            <v>20672514</v>
          </cell>
          <cell r="E1156">
            <v>85322310</v>
          </cell>
          <cell r="F1156" t="str">
            <v>Not applicable</v>
          </cell>
          <cell r="G1156">
            <v>85322310</v>
          </cell>
          <cell r="H1156" t="str">
            <v>CAPACITOR (CONDENSDOR ELeTRICO FIXO) COM DIELeTRICO DE CERAMICA DE UMA So CAMADA  PRoPRIO PARA MONTAGEM EM SUPERFÍCIE SMD 27nF 10por cento 50V X7R (REF. C04028 - COD. 20672514)</v>
          </cell>
        </row>
        <row r="1157">
          <cell r="B1157">
            <v>2020100240</v>
          </cell>
          <cell r="D1157">
            <v>20672515</v>
          </cell>
          <cell r="E1157">
            <v>85322310</v>
          </cell>
          <cell r="F1157" t="str">
            <v>Not applicable</v>
          </cell>
          <cell r="G1157">
            <v>85322310</v>
          </cell>
          <cell r="H1157" t="str">
            <v>CAPACITOR (CONDENSDOR ELeTRICO FIXO) COM DIELeTRICO DE CERAMICA DE UMA So CAMADA  PRoPRIO PARA MONTAGEM EM SUPERFÍCIE SMD 1nF 10por cento 50V X7R (REF. C04007 - COD. 20672515)</v>
          </cell>
        </row>
        <row r="1158">
          <cell r="B1158">
            <v>2020100290</v>
          </cell>
          <cell r="D1158">
            <v>20672516</v>
          </cell>
          <cell r="E1158">
            <v>85322310</v>
          </cell>
          <cell r="F1158" t="str">
            <v>Not applicable</v>
          </cell>
          <cell r="G1158">
            <v>85322310</v>
          </cell>
          <cell r="H1158" t="str">
            <v>CAPACITOR (CONDENSDOR ELeTRICO FIXO) COM DIELeTRICO DE CERAMICA DE UMA So CAMADA  PRoPRIO PARA MONTAGEM EM SUPERFÍCIE SMD 2.2nF 5por cento 50V NPO (REF. C03029 - COD. 20672516)</v>
          </cell>
        </row>
        <row r="1159">
          <cell r="B1159">
            <v>2020100270</v>
          </cell>
          <cell r="D1159">
            <v>20672518</v>
          </cell>
          <cell r="E1159">
            <v>85322310</v>
          </cell>
          <cell r="F1159" t="str">
            <v>Not applicable</v>
          </cell>
          <cell r="G1159">
            <v>85322310</v>
          </cell>
          <cell r="H1159" t="str">
            <v>CAPACITOR (CONDENSDOR ELeTRICO FIXO) COM DIELeTRICO DE CERAMICA DE UMA So CAMADA  PRoPRIO PARA MONTAGEM EM SUPERFÍCIE SMD 47pF 5por cento 50V NPO (REF. C03036 - COD. 20672518)</v>
          </cell>
        </row>
        <row r="1160">
          <cell r="B1160">
            <v>2020102090</v>
          </cell>
          <cell r="D1160">
            <v>20672631</v>
          </cell>
          <cell r="E1160">
            <v>85322310</v>
          </cell>
          <cell r="F1160" t="str">
            <v>Not applicable</v>
          </cell>
          <cell r="G1160">
            <v>85322310</v>
          </cell>
          <cell r="H1160" t="str">
            <v>CAPACITOR (CONDENSDOR ELeTRICO FIXO) COM DIELeTRICO DE CERAMICA DE UMA So CAMADA, PRoPRIO PARA MONTAGEM EM SUPERFÍCIE SMD, 2.7pF ±5por cento  50V NPO – 0603, REF: 2020102090</v>
          </cell>
        </row>
        <row r="1161">
          <cell r="B1161">
            <v>2020100130</v>
          </cell>
          <cell r="D1161">
            <v>20660605</v>
          </cell>
          <cell r="E1161">
            <v>85322310</v>
          </cell>
          <cell r="F1161" t="str">
            <v>Not applicable</v>
          </cell>
          <cell r="G1161">
            <v>85322310</v>
          </cell>
          <cell r="H1161" t="str">
            <v>CAPACITOR (CONDENSDOR ELeTRICO FIXO) COM DIELeTRICO DE CERAMICA DE UMA So CAMADA PRoPRIO PARA MONTAGEM EM SUPERFÍCIE SMD 060347pF 5por cento 50V  NPO (REF. C01021 - COD. 20660605)</v>
          </cell>
        </row>
        <row r="1162">
          <cell r="B1162">
            <v>2020100100</v>
          </cell>
          <cell r="D1162">
            <v>20670002</v>
          </cell>
          <cell r="E1162">
            <v>85322410</v>
          </cell>
          <cell r="F1162" t="str">
            <v>Not applicable</v>
          </cell>
          <cell r="G1162">
            <v>85322410</v>
          </cell>
          <cell r="H1162" t="str">
            <v>CAPACITOR (CONDENSADOR ELeTRICO FIXO) COM DIELeTRICO DE CERAMICA, DE CAMADAS MuLTIPLAS, PRoPRIO PARA MONTAGEM EM SUPERFÍCIE SMD - 2.2nF 10por cento X7R 50V 0603 (2020100100)</v>
          </cell>
        </row>
        <row r="1163">
          <cell r="B1163">
            <v>2020100060</v>
          </cell>
          <cell r="D1163">
            <v>20660402</v>
          </cell>
          <cell r="E1163">
            <v>85322310</v>
          </cell>
          <cell r="F1163" t="str">
            <v>Not applicable</v>
          </cell>
          <cell r="G1163">
            <v>85322310</v>
          </cell>
          <cell r="H1163" t="str">
            <v>CAPACITOR (CONDENSDOR ELeTRICO FIXO) COM DIELeTRICO DE CERAMICA DE UMA So CAMADA PRoPRIO PARA MONTAGEM EM SUPERFÍCIE SMD 0603470nF 10por cento 16V X7R (REF. C02022 - COD. 20660402)</v>
          </cell>
        </row>
        <row r="1164">
          <cell r="B1164">
            <v>2020100140</v>
          </cell>
          <cell r="D1164">
            <v>20672519</v>
          </cell>
          <cell r="E1164">
            <v>85322310</v>
          </cell>
          <cell r="F1164" t="str">
            <v>Not applicable</v>
          </cell>
          <cell r="G1164">
            <v>85322310</v>
          </cell>
          <cell r="H1164" t="str">
            <v>CAPACITOR (CONDENSDOR ELeTRICO FIXO) COM DIELeTRICO DE CERAMICA DE UMA So CAMADA PRoPRIO PARA MONTAGEM EM SUPERFÍCIE SMD 0603330pF 5por cento 50V NPO (REF. C01020 - COD. 20672519)</v>
          </cell>
        </row>
        <row r="1165">
          <cell r="B1165">
            <v>2020101310</v>
          </cell>
          <cell r="D1165">
            <v>20660618</v>
          </cell>
          <cell r="E1165">
            <v>85322410</v>
          </cell>
          <cell r="F1165" t="str">
            <v>Not applicable</v>
          </cell>
          <cell r="G1165">
            <v>85322410</v>
          </cell>
          <cell r="H1165" t="str">
            <v>CAPACITOR (CONDENSADOR ELeTRICO FIXO) COM DIELeTRICO DE CERAMICA, DE CAMADAS MuLTIPLAS, PRoPRIO PARA MONTAGEM EM SUPERFÍCIE SMD - 1.0uF 10por cento X5R 10V 0402 (2020101310)</v>
          </cell>
        </row>
        <row r="1166">
          <cell r="B1166">
            <v>2020100430</v>
          </cell>
          <cell r="D1166">
            <v>20672536</v>
          </cell>
          <cell r="E1166">
            <v>85322310</v>
          </cell>
          <cell r="F1166" t="str">
            <v>Not applicable</v>
          </cell>
          <cell r="G1166">
            <v>85322310</v>
          </cell>
          <cell r="H1166" t="str">
            <v>CAPACITOR (CONDENSDOR ELeTRICO FIXO) COM DIELeTRICO DE CERAMICA DE UMA So CAMADA  PRoPRIO PARA MONTAGEM EM SUPERFÍCIE SMD 1nF 5por cento 50V NPO 0603</v>
          </cell>
        </row>
        <row r="1167">
          <cell r="B1167">
            <v>2020100330</v>
          </cell>
          <cell r="D1167">
            <v>20660405</v>
          </cell>
          <cell r="E1167">
            <v>85322410</v>
          </cell>
          <cell r="F1167" t="str">
            <v>Not applicable</v>
          </cell>
          <cell r="G1167">
            <v>85322410</v>
          </cell>
          <cell r="H1167" t="str">
            <v>CAPACITOR (CONDENSADOR ELeTRICO FIXO) COM DIELeTRICO DE CERAMICA, DE CAMADAS MuLTIPLAS, PRoPRIO PARA MONTAGEM EM SUPERFÍCIE SMD - 30pF 5por cento NP0 50V 0603 (2020100330)</v>
          </cell>
        </row>
        <row r="1168">
          <cell r="B1168">
            <v>2020100530</v>
          </cell>
          <cell r="D1168">
            <v>20660406</v>
          </cell>
          <cell r="E1168">
            <v>85322410</v>
          </cell>
          <cell r="F1168" t="str">
            <v>Not applicable</v>
          </cell>
          <cell r="G1168">
            <v>85322410</v>
          </cell>
          <cell r="H1168" t="str">
            <v>CAPACITOR (CONDENSADOR ELeTRICO FIXO) COM DIELeTRICO DE CERAMICA, DE CAMADAS MuLTIPLAS, PRoPRIO PARA MONTAGEM EM SUPERFÍCIE SMD - 56pF 5por cento NP0 50V 0603  (2020100530)</v>
          </cell>
        </row>
        <row r="1169">
          <cell r="B1169">
            <v>2020500441</v>
          </cell>
          <cell r="D1169">
            <v>20660606</v>
          </cell>
          <cell r="E1169">
            <v>85322490</v>
          </cell>
          <cell r="F1169">
            <v>85322490</v>
          </cell>
          <cell r="H1169" t="str">
            <v>CAPACITOR (CONDENSADOR ELeTRICO FIXO) COM DIELeTRICO DE CERAMICA, DE MuLTIPLAS CAMADAS 0.39uF 5por cento 330V RAD-22.5mm 26.5*19*10mm  45 (REF. C09059 - CoD. 20660606)</v>
          </cell>
        </row>
        <row r="1170">
          <cell r="B1170">
            <v>2020301051</v>
          </cell>
          <cell r="D1170">
            <v>20670013</v>
          </cell>
          <cell r="E1170">
            <v>85322490</v>
          </cell>
          <cell r="F1170">
            <v>85322490</v>
          </cell>
          <cell r="H1170" t="str">
            <v>CAPACITOR (CONDENSADOR ELeTRICO FIXO) COM DIELeTRICO DE CERAMICA, DE MuLTIPLAS CAMADAS 2200 UF 25V (REF. C07030-1 - CoD. 20670013)</v>
          </cell>
        </row>
        <row r="1171">
          <cell r="B1171">
            <v>2020700011</v>
          </cell>
          <cell r="D1171">
            <v>20672520</v>
          </cell>
          <cell r="E1171">
            <v>85322420</v>
          </cell>
          <cell r="F1171">
            <v>85322420</v>
          </cell>
          <cell r="G1171">
            <v>85322420</v>
          </cell>
          <cell r="H1171" t="str">
            <v>CAPACITOR (CONDENSADOR ELeTRICO FIXO) COM DIELeTRICO DE CERAMICA, DE MuLTIPLAS CAMADAS, PRoPRIOS PARA MONTAGEM POR INSERcAO PTH 100pF 10por cento 1000V RAD-5mm (2020700011)</v>
          </cell>
        </row>
        <row r="1172">
          <cell r="B1172">
            <v>2020700111</v>
          </cell>
          <cell r="D1172">
            <v>20672521</v>
          </cell>
          <cell r="E1172">
            <v>85322490</v>
          </cell>
          <cell r="F1172">
            <v>85322490</v>
          </cell>
          <cell r="G1172">
            <v>85322490</v>
          </cell>
          <cell r="H1172" t="str">
            <v>CAPACITOR (CONDENSADOR ELeTRICO FIXO) COM DIELeTRICO DE CERAMICA, DE MuLTIPLAS CAMADAS 1nF 20por cento 250V (REF. C11010-1 - COD. 20672521)</v>
          </cell>
        </row>
        <row r="1173">
          <cell r="B1173">
            <v>2020700051</v>
          </cell>
          <cell r="D1173">
            <v>20672522</v>
          </cell>
          <cell r="E1173">
            <v>85322420</v>
          </cell>
          <cell r="F1173">
            <v>85322420</v>
          </cell>
          <cell r="G1173">
            <v>85322420</v>
          </cell>
          <cell r="H1173" t="str">
            <v>CAPACITOR (CONDENSADOR ELeTRICO FIXO) COM DIELeTRICO DE CERAMICA, DE MuLTIPLAS CAMADAS, PRoPRIOS PARA MONTAGEM POR INSERcAO PTH 2.2nF 20por cento 250VAC RAD-7.5mm (2020700051)</v>
          </cell>
        </row>
        <row r="1174">
          <cell r="B1174">
            <v>2020300041</v>
          </cell>
          <cell r="D1174">
            <v>20672611</v>
          </cell>
          <cell r="E1174">
            <v>85322200</v>
          </cell>
          <cell r="F1174">
            <v>85322200</v>
          </cell>
          <cell r="G1174">
            <v>85322200</v>
          </cell>
          <cell r="H1174" t="str">
            <v>Capacitor (condensador eletrico fixo) 470uF 20por cento 10V YXF RAD-3.5mm, para montagem por insercAo (PTH),  eletrolítico de alumínio (2020300041)</v>
          </cell>
        </row>
        <row r="1175">
          <cell r="B1175">
            <v>2020700041</v>
          </cell>
          <cell r="D1175">
            <v>20672617</v>
          </cell>
          <cell r="E1175">
            <v>85322490</v>
          </cell>
          <cell r="F1175">
            <v>85322490</v>
          </cell>
          <cell r="G1175">
            <v>85322490</v>
          </cell>
          <cell r="H1175" t="str">
            <v>CAPACITOR (CONDENSADOR ELeTRICO FIXO) COM DIELeTRICO DE CERAMICA, DE MuLTIPLAS CAMADAS 4.7nF10por cento1000VRAD-5mm (REF. C11018 - CoD. 20672617)</v>
          </cell>
        </row>
        <row r="1176">
          <cell r="B1176">
            <v>2020300031</v>
          </cell>
          <cell r="D1176">
            <v>20672618</v>
          </cell>
          <cell r="E1176">
            <v>85322490</v>
          </cell>
          <cell r="F1176">
            <v>85322490</v>
          </cell>
          <cell r="G1176">
            <v>85322490</v>
          </cell>
          <cell r="H1176" t="str">
            <v>CAPACITOR (CONDENSADOR ELeTRICO FIXO) COM DIELeTRICO DE CERAMICA, DE MuLTIPLAS CAMADAS 10uF 50V (REF. C07044 - CoD. 20672618)</v>
          </cell>
        </row>
        <row r="1177">
          <cell r="B1177">
            <v>2020300011</v>
          </cell>
          <cell r="D1177">
            <v>20672619</v>
          </cell>
          <cell r="E1177">
            <v>85322200</v>
          </cell>
          <cell r="F1177">
            <v>85322200</v>
          </cell>
          <cell r="G1177">
            <v>85322200</v>
          </cell>
          <cell r="H1177" t="str">
            <v>Capacitor (condensador eletrico fixo) de 47uF 20por cento 25V RAD-2mm, para montagem por insercAo (PTH), eletrolítico de alumínio (2020300011)</v>
          </cell>
        </row>
        <row r="1178">
          <cell r="B1178">
            <v>2020700031</v>
          </cell>
          <cell r="D1178">
            <v>20672620</v>
          </cell>
          <cell r="E1178">
            <v>85322420</v>
          </cell>
          <cell r="F1178">
            <v>85322420</v>
          </cell>
          <cell r="G1178">
            <v>85322420</v>
          </cell>
          <cell r="H1178" t="str">
            <v>CAPACITOR (CONDENSADOR ELeTRICO FIXO) COM DIELeTRICO DE CERAMICA, DE MuLTIPLAS CAMADAS, PRoPRIOS PARA MONTAGEM POR INSERcAO PTH 10nF 20por cento 250V RAD-10mm (2020700031)</v>
          </cell>
        </row>
        <row r="1179">
          <cell r="B1179">
            <v>2020300081</v>
          </cell>
          <cell r="D1179">
            <v>20672622</v>
          </cell>
          <cell r="E1179">
            <v>85322490</v>
          </cell>
          <cell r="F1179">
            <v>85322490</v>
          </cell>
          <cell r="G1179">
            <v>85322490</v>
          </cell>
          <cell r="H1179" t="str">
            <v>CAPACITOR (CONDENSADOR ELeTRICO FIXO) COM DIELeTRICO DE CERAMICA, DE MuLTIPLAS CAMADAS 100uF 20por cento 10V YXF RAD-2mm (REF. C07024 - CoD. 20672622)</v>
          </cell>
        </row>
        <row r="1180">
          <cell r="B1180">
            <v>2020300901</v>
          </cell>
          <cell r="D1180">
            <v>20670012</v>
          </cell>
          <cell r="E1180">
            <v>85322490</v>
          </cell>
          <cell r="F1180">
            <v>85322490</v>
          </cell>
          <cell r="H1180" t="str">
            <v>CAPACITOR (CONDENSADOR ELeTRICO FIXO) COM DIELeTRICO DE CERAMICA, DE MuLTIPLAS CAMADAS 470uF 25V (REF. C07017 - CoD. 20670012)</v>
          </cell>
        </row>
        <row r="1181">
          <cell r="B1181">
            <v>2020300891</v>
          </cell>
          <cell r="D1181">
            <v>20670009</v>
          </cell>
          <cell r="E1181">
            <v>85322490</v>
          </cell>
          <cell r="F1181">
            <v>85322490</v>
          </cell>
          <cell r="H1181" t="str">
            <v>CAPACITOR (CONDENSADOR ELeTRICO FIXO) COM DIELeTRICO DE CERAMICA, DE MuLTIPLAS CAMADAS 100uF 35V (REF. C07021 - CoD. 20670009)</v>
          </cell>
        </row>
        <row r="1182">
          <cell r="B1182">
            <v>2020500131</v>
          </cell>
          <cell r="D1182">
            <v>20670006</v>
          </cell>
          <cell r="E1182">
            <v>85322490</v>
          </cell>
          <cell r="F1182">
            <v>85322490</v>
          </cell>
          <cell r="H1182" t="str">
            <v>CAPACITOR (CONDENSADOR ELeTRICO FIXO) COM DIELeTRICO DE CERAMICA, DE MuLTIPLAS CAMADAS 1uF 10por cento 330V RAD-27.5mm 32*22.5*13mm 45 (REF. C09069 - CoD. 20670006)</v>
          </cell>
        </row>
        <row r="1183">
          <cell r="B1183">
            <v>2020700061</v>
          </cell>
          <cell r="D1183">
            <v>20660608</v>
          </cell>
          <cell r="E1183">
            <v>85322420</v>
          </cell>
          <cell r="F1183">
            <v>85322420</v>
          </cell>
          <cell r="G1183">
            <v>85322420</v>
          </cell>
          <cell r="H1183" t="str">
            <v>CAPACITOR (CONDENSADOR ELeTRICO FIXO) COM DIELeTRICO DE CERAMICA, DE MuLTIPLAS CAMADAS, PRoPRIOS PARA MONTAGEM POR INSERcAO PTH 1nF 20por cento 250VAC RAD-10mm (2020700061)</v>
          </cell>
        </row>
        <row r="1184">
          <cell r="B1184">
            <v>2020101230</v>
          </cell>
          <cell r="D1184">
            <v>20660626</v>
          </cell>
          <cell r="E1184">
            <v>85322410</v>
          </cell>
          <cell r="F1184" t="str">
            <v>Not applicable</v>
          </cell>
          <cell r="G1184">
            <v>85322410</v>
          </cell>
          <cell r="H1184" t="str">
            <v>CAPACITOR (CONDENSADOR ELeTRICO FIXO) COM DIELeTRICO DE CERAMICA, DE CAMADAS MuLTIPLAS, PRoPRIO PARA MONTAGEM EM SUPERFÍCIE SMD - 2.2nF 10por cento X7R 1KV 1206 (2020101230)</v>
          </cell>
        </row>
        <row r="1185">
          <cell r="B1185">
            <v>2020100020</v>
          </cell>
          <cell r="D1185">
            <v>20670007</v>
          </cell>
          <cell r="E1185">
            <v>85322410</v>
          </cell>
          <cell r="F1185" t="str">
            <v>Not applicable</v>
          </cell>
          <cell r="G1185">
            <v>85322410</v>
          </cell>
          <cell r="H1185" t="str">
            <v>CAPACITOR (CONDENSADOR ELeTRICO FIXO) COM DIELeTRICO DE CERAMICA, DE CAMADAS MuLTIPLAS, PRoPRIO PARA MONTAGEM EM SUPERFÍCIE SMD - 150pF 5por cento NP0 50V 0603 (2020100020)</v>
          </cell>
        </row>
        <row r="1186">
          <cell r="B1186">
            <v>2020300811</v>
          </cell>
          <cell r="D1186">
            <v>20670010</v>
          </cell>
          <cell r="E1186">
            <v>85322490</v>
          </cell>
          <cell r="F1186">
            <v>85322490</v>
          </cell>
          <cell r="G1186">
            <v>85322490</v>
          </cell>
          <cell r="H1186" t="str">
            <v>CAPACITOR (CONDENSADOR ELeTRICO FIXO) COM DIELeTRICO DE CERAMICA, DE MuLTIPLAS CAMADAS NAO MONTADO PTH 470uF 20por cento 6.3V ZLH 0.22 6000h 6.3*11mm RAD-2.5mm</v>
          </cell>
        </row>
        <row r="1187">
          <cell r="B1187">
            <v>2020300821</v>
          </cell>
          <cell r="D1187">
            <v>20670011</v>
          </cell>
          <cell r="E1187">
            <v>85322200</v>
          </cell>
          <cell r="F1187">
            <v>85322200</v>
          </cell>
          <cell r="G1187">
            <v>85322200</v>
          </cell>
          <cell r="H1187" t="str">
            <v>Capacitor (condensador eletrico fixo) 220uF 20por cento 16V ZLH RAD-2.5mm com dimensoes de 6.3*11mm, para montagem por insercAo (PTH),  eletrolítico de alumínio (2020300821)</v>
          </cell>
        </row>
        <row r="1188">
          <cell r="B1188">
            <v>2021100191</v>
          </cell>
          <cell r="D1188">
            <v>20672635</v>
          </cell>
          <cell r="E1188">
            <v>85322490</v>
          </cell>
          <cell r="F1188">
            <v>85322490</v>
          </cell>
          <cell r="H1188" t="str">
            <v>CAPACITOR (CONDENSADOR ELeTRICO FIXO) COM DIELeTRICO DE CERAMICA, DE MuLTIPLAS CAMADAS NAO MONTADO PTH 1.5F ±20por cento 5.5V RAD15mm (REF. 2021100191 - CoD. 20672635)</v>
          </cell>
        </row>
        <row r="1189">
          <cell r="B1189">
            <v>2020500572</v>
          </cell>
          <cell r="D1189">
            <v>20660400</v>
          </cell>
          <cell r="E1189">
            <v>85322590</v>
          </cell>
          <cell r="F1189">
            <v>85322590</v>
          </cell>
          <cell r="H1189" t="str">
            <v>CAPACITOR (CONDENSADOR ELeTRICO FIXO), COM DIELeTRICO DE PLaSTICO (FILME), METALIZADO, PRoPRIO PARA MONTAGEM EM SUPERFÍCIE PTH 680NF 5por cento  275V (REF. C09039-3 - COD. 20660400)</v>
          </cell>
        </row>
        <row r="1190">
          <cell r="B1190">
            <v>2020500271</v>
          </cell>
          <cell r="D1190">
            <v>20660600</v>
          </cell>
          <cell r="E1190">
            <v>85322590</v>
          </cell>
          <cell r="F1190">
            <v>85322590</v>
          </cell>
          <cell r="H1190" t="str">
            <v>CAPACITOR (CONDENSADOR ELeTRICO FIXO), COM DIELeTRICO DE PLaSTICO (FILME), METALIZADO, PRoPRIO PARA MONTAGEM EM SUPERFÍCIE PTH 0.39UF 275V (REF. C09037-2- COD. 20660600)</v>
          </cell>
        </row>
        <row r="1191">
          <cell r="B1191">
            <v>2020500041</v>
          </cell>
          <cell r="D1191">
            <v>20660603</v>
          </cell>
          <cell r="E1191">
            <v>85322590</v>
          </cell>
          <cell r="F1191">
            <v>85322590</v>
          </cell>
          <cell r="H1191" t="str">
            <v>CAPACITOR (CONDENSADOR ELeTRICO FIXO), COM DIELeTRICO DE PLaSTICO (FILME), METALIZADO, PRoPRIO PARA MONTAGEM EM SUPERFÍCIE PTH  1uF 5por cento 275V (REF. C09038 - COD. 20660603)</v>
          </cell>
        </row>
        <row r="1192">
          <cell r="B1192">
            <v>2020500111</v>
          </cell>
          <cell r="D1192">
            <v>20670008</v>
          </cell>
          <cell r="E1192">
            <v>85322590</v>
          </cell>
          <cell r="F1192">
            <v>85322590</v>
          </cell>
          <cell r="G1192">
            <v>85322590</v>
          </cell>
          <cell r="H1192" t="str">
            <v>CAPACITOR (CONDENSADOR ELeTRICO FIXO), COM DIELeTRICO DE PLaSTICO (FILME), METALIZADO, PRoPRIO PARA MONTAGEM EM SUPERFÍCIE PTH 0.68uF 10por cento 330V RAD-22.5mm 26x22x12mm (2020500111)</v>
          </cell>
        </row>
        <row r="1193">
          <cell r="B1193">
            <v>2020500272</v>
          </cell>
          <cell r="D1193">
            <v>20672634</v>
          </cell>
          <cell r="E1193">
            <v>85322590</v>
          </cell>
          <cell r="F1193">
            <v>85322590</v>
          </cell>
          <cell r="H1193" t="str">
            <v>CAPACITOR (CONDENSADOR ELeTRICO FIXO), COM DIELeTRICO DE PLaSTICO (FILME), METALIZADO, PRoPRIO PARA MONTAGEM EM SUPERFÍCIE PTH 0.39UF 275V</v>
          </cell>
        </row>
        <row r="1194">
          <cell r="B1194">
            <v>2010100010</v>
          </cell>
          <cell r="D1194">
            <v>20620201</v>
          </cell>
          <cell r="E1194">
            <v>85332120</v>
          </cell>
          <cell r="F1194">
            <v>85332120</v>
          </cell>
          <cell r="H1194" t="str">
            <v>RESISTOR (RESISTeNCIA ELeTRICA FIXA) PRoPRIO PARA MONTAGEM EM SUPERFÍCIE SMD 20R 0.1por cento 25PPM POTeNCIA 1/8W (REF.R16001 - COD. 20620201)</v>
          </cell>
        </row>
        <row r="1195">
          <cell r="B1195">
            <v>2010100020</v>
          </cell>
          <cell r="D1195">
            <v>20620202</v>
          </cell>
          <cell r="E1195">
            <v>85332120</v>
          </cell>
          <cell r="F1195">
            <v>85332120</v>
          </cell>
          <cell r="H1195" t="str">
            <v>RESISTOR (RESISTeNCIA ELeTRICA FIXA) PRoPRIO PARA MONTAGEM EM SUPERFÍCIE SMD 3R 0.25por cento 25PPM POTeNCIA DE 1/8W (R14002-PK)</v>
          </cell>
        </row>
        <row r="1196">
          <cell r="B1196">
            <v>2010100140</v>
          </cell>
          <cell r="D1196">
            <v>20624405</v>
          </cell>
          <cell r="E1196">
            <v>85332120</v>
          </cell>
          <cell r="F1196">
            <v>85332120</v>
          </cell>
          <cell r="G1196">
            <v>85332120</v>
          </cell>
          <cell r="H1196" t="str">
            <v>RESISTOR (RESISTeNCIA ELeTRICA FIXA) PRoPRIO PARA MONTAGEM EM SUPERFÍCIE SMD 330k 1por cento 25PPM POTeNCIA DE 1/4W 1206 (R05036)</v>
          </cell>
        </row>
        <row r="1197">
          <cell r="B1197">
            <v>2010100970</v>
          </cell>
          <cell r="D1197">
            <v>20633501</v>
          </cell>
          <cell r="E1197">
            <v>85332120</v>
          </cell>
          <cell r="F1197">
            <v>85332120</v>
          </cell>
          <cell r="H1197" t="str">
            <v>RESISTOR (RESISTeNCIA ELeTRICA FIXA) PRoPRIO PARA MONTAGEM EM SUPERFÍCIE SMD 1.2K 5por cento 100PPM DE POTeNCIA 1/10W (REF. R01011 - COD. 20633501)</v>
          </cell>
        </row>
        <row r="1198">
          <cell r="B1198">
            <v>2010100600</v>
          </cell>
          <cell r="D1198">
            <v>20633503</v>
          </cell>
          <cell r="E1198">
            <v>85332120</v>
          </cell>
          <cell r="F1198">
            <v>85332120</v>
          </cell>
          <cell r="G1198">
            <v>85332120</v>
          </cell>
          <cell r="H1198" t="str">
            <v>RESISTOR (RESISTeNCIA ELeTRICA FIXA) PRoPRIO PARA MONTAGEM EM SUPERFÍCIE SMD 2.4K 1por cento 100PPM POTeNCIA DE 1/10W (REF. R02039 - COD. 2010100600)</v>
          </cell>
        </row>
        <row r="1199">
          <cell r="B1199">
            <v>2010100740</v>
          </cell>
          <cell r="D1199">
            <v>20633504</v>
          </cell>
          <cell r="E1199">
            <v>85332120</v>
          </cell>
          <cell r="F1199">
            <v>85332120</v>
          </cell>
          <cell r="G1199">
            <v>85332120</v>
          </cell>
          <cell r="H1199" t="str">
            <v>RESISTOR (RESISTeNCIA ELeTRICA FIXA) PRoPRIO PARA MONTAGEM EM SUPERFÍCIE SMD 5.1K 1por cento 100PPM POTeNCIA DE 1/10 W (REF. R02006 - COD. 20633504)</v>
          </cell>
        </row>
        <row r="1200">
          <cell r="B1200">
            <v>2010100870</v>
          </cell>
          <cell r="D1200">
            <v>20633505</v>
          </cell>
          <cell r="E1200">
            <v>85332120</v>
          </cell>
          <cell r="F1200">
            <v>85332120</v>
          </cell>
          <cell r="G1200">
            <v>85332120</v>
          </cell>
          <cell r="H1200" t="str">
            <v>RESISTOR (RESISTeNCIA ELeTRICA FIXA) PRoPRIO PARA MONTAGEM EM SUPERFÍCIE SMD 8.2M 5por cento 100PPM POTeNCIA DE 1/10W (REF. R01028 - COD. 20633505)</v>
          </cell>
        </row>
        <row r="1201">
          <cell r="B1201">
            <v>2010100990</v>
          </cell>
          <cell r="D1201">
            <v>20633507</v>
          </cell>
          <cell r="E1201">
            <v>85332120</v>
          </cell>
          <cell r="F1201">
            <v>85332120</v>
          </cell>
          <cell r="G1201">
            <v>85332120</v>
          </cell>
          <cell r="H1201" t="str">
            <v>RESISTOR (RESISTeNCIA ELeTRICA FIXA) PRoPRIO PARA MONTAGEM EM SUPERFÍCIE SMD 10R 5por cento 200PPM POTeNCIA DE 1/10W (REF. R01008 - COD. 20633507)</v>
          </cell>
        </row>
        <row r="1202">
          <cell r="B1202">
            <v>2010100660</v>
          </cell>
          <cell r="D1202">
            <v>20633508</v>
          </cell>
          <cell r="E1202">
            <v>85332120</v>
          </cell>
          <cell r="F1202">
            <v>85332120</v>
          </cell>
          <cell r="G1202">
            <v>85332120</v>
          </cell>
          <cell r="H1202" t="str">
            <v>RESISTOR (RESISTeNCIA ELeTRICA FIXA) PRoPRIO PARA MONTAGEM EM SUPERFÍCIE SMD 20K 1por cento 100PPM POTeNCIA DE 1/10 W (REF. R02019 )</v>
          </cell>
        </row>
        <row r="1203">
          <cell r="B1203">
            <v>2010100710</v>
          </cell>
          <cell r="D1203">
            <v>20633511</v>
          </cell>
          <cell r="E1203">
            <v>85332120</v>
          </cell>
          <cell r="F1203">
            <v>85332120</v>
          </cell>
          <cell r="G1203">
            <v>85332120</v>
          </cell>
          <cell r="H1203" t="str">
            <v>RESISTOR (RESISTeNCIA ELeTRICA FIXA) PRoPRIO PARA MONTAGEM EM SUPERFÍCIE SMD 75K 1por cento 100PPM POTeNCIA DE 1/10W (REF. R02009 - COD. 20633511)</v>
          </cell>
        </row>
        <row r="1204">
          <cell r="B1204">
            <v>2010100770</v>
          </cell>
          <cell r="D1204">
            <v>20633512</v>
          </cell>
          <cell r="E1204">
            <v>85332120</v>
          </cell>
          <cell r="F1204">
            <v>85332120</v>
          </cell>
          <cell r="G1204">
            <v>85332120</v>
          </cell>
          <cell r="H1204" t="str">
            <v>RESISTOR (RESISTeNCIA ELeTRICA FIXA) PRoPRIO PARA MONTAGEM EM SUPERFÍCIE SMD 150K 5por cento 100PPM POTeNCIA DE 1/10W (REF. R01052 - COD. 20633512)</v>
          </cell>
        </row>
        <row r="1205">
          <cell r="B1205">
            <v>2010100310</v>
          </cell>
          <cell r="D1205">
            <v>20633513</v>
          </cell>
          <cell r="E1205">
            <v>85332120</v>
          </cell>
          <cell r="F1205">
            <v>85332120</v>
          </cell>
          <cell r="G1205">
            <v>85332120</v>
          </cell>
          <cell r="H1205" t="str">
            <v>RESISTOR (RESISTeNCIA ELeTRICA FIXA) PRoPRIO PARA MONTAGEM EM SUPERFÍCIE SMD 390K 1por cento 100PPM POTeNCIA DE 1/8W (REF. R04039 - COD. 20633513)</v>
          </cell>
        </row>
        <row r="1206">
          <cell r="B1206">
            <v>2010100430</v>
          </cell>
          <cell r="D1206">
            <v>20633514</v>
          </cell>
          <cell r="E1206">
            <v>85332120</v>
          </cell>
          <cell r="F1206">
            <v>85332120</v>
          </cell>
          <cell r="H1206" t="str">
            <v>RESISTOR (RESISTeNCIA ELeTRICA FIXA) PRoPRIO PARA MONTAGEM EM SUPERFÍCIE SMD 470K 5por cento 100PPM POTeNCIA DE 1/8W (REF. R03096 - COD. 20633514)</v>
          </cell>
        </row>
        <row r="1207">
          <cell r="B1207">
            <v>2010100890</v>
          </cell>
          <cell r="D1207">
            <v>20633515</v>
          </cell>
          <cell r="E1207">
            <v>85332120</v>
          </cell>
          <cell r="F1207">
            <v>85332120</v>
          </cell>
          <cell r="G1207">
            <v>85332120</v>
          </cell>
          <cell r="H1207" t="str">
            <v>RESISTOR (RESISTeNCIA ELeTRICA FIXA) PRoPRIO PARA MONTAGEM EM SUPERFÍCIE SMD 620R 5por cento 100PPM POTeNCIA DE 1/10 W (REF. R01024 - COD. 20633515)</v>
          </cell>
        </row>
        <row r="1208">
          <cell r="B1208">
            <v>2010100980</v>
          </cell>
          <cell r="D1208">
            <v>20633516</v>
          </cell>
          <cell r="E1208">
            <v>85332120</v>
          </cell>
          <cell r="F1208">
            <v>85332120</v>
          </cell>
          <cell r="G1208">
            <v>85332120</v>
          </cell>
          <cell r="H1208" t="str">
            <v>RESISTOR (RESISTeNCIA ELeTRICA FIXA) PRoPRIO PARA MONTAGEM EM SUPERFÍCIE SMD 750R 5por cento 100PPM POTeNCIA DE 1/10W (REF. R01010 - COD. 20633516)</v>
          </cell>
        </row>
        <row r="1209">
          <cell r="B1209">
            <v>2010100190</v>
          </cell>
          <cell r="D1209">
            <v>20633518</v>
          </cell>
          <cell r="E1209">
            <v>85332120</v>
          </cell>
          <cell r="F1209">
            <v>85332120</v>
          </cell>
          <cell r="H1209" t="str">
            <v>RESISTOR (RESISTeNCIA ELeTRICA FIXA) PRoPRIO PARA MONTAGEM EM SUPERFÍCIE SMD 15K 1por cento 100PPM POTeNCIA DE 1/8 W (REF. R04104 - COD. 20633518)</v>
          </cell>
        </row>
        <row r="1210">
          <cell r="B1210">
            <v>2010100960</v>
          </cell>
          <cell r="D1210">
            <v>20633520</v>
          </cell>
          <cell r="E1210">
            <v>85332120</v>
          </cell>
          <cell r="F1210">
            <v>85332120</v>
          </cell>
          <cell r="H1210" t="str">
            <v>RESISTOR (RESISTeNCIA ELeTRICA FIXA) PRoPRIO PARA MONTAGEM EM SUPERFÍCIE SMD 1.5K 5％ 100PPM POTeNCIA DE 1/10 W (REF. R01012 - COD. 20633520)</v>
          </cell>
        </row>
        <row r="1211">
          <cell r="B1211">
            <v>2010100560</v>
          </cell>
          <cell r="D1211">
            <v>20633524</v>
          </cell>
          <cell r="E1211">
            <v>85332120</v>
          </cell>
          <cell r="F1211">
            <v>85332120</v>
          </cell>
          <cell r="H1211" t="str">
            <v>RESISTOR (RESISTeNCIA ELeTRICA FIXA) PRoPRIO PARA MONTAGEM EM SUPERFÍCIE SMD 12K 1por cento 100PPM POTeNCIA DE 1/10 W (REF. R02051 - COD. 20633524)</v>
          </cell>
        </row>
        <row r="1212">
          <cell r="B1212">
            <v>2010100940</v>
          </cell>
          <cell r="D1212">
            <v>20633525</v>
          </cell>
          <cell r="E1212">
            <v>85332120</v>
          </cell>
          <cell r="F1212">
            <v>85332120</v>
          </cell>
          <cell r="H1212" t="str">
            <v>RESISTOR (RESISTeNCIA ELeTRICA FIXA)  PRoPRIO PARA MONTAGEM EM SUPERFÍCIE SMD 12K 5por cento 200PPM POTeNCIA DE 1/10 W (REF. R01015 - COD. 20633525)</v>
          </cell>
        </row>
        <row r="1213">
          <cell r="B1213">
            <v>2010100790</v>
          </cell>
          <cell r="D1213">
            <v>20633528</v>
          </cell>
          <cell r="E1213">
            <v>85332120</v>
          </cell>
          <cell r="F1213">
            <v>85332120</v>
          </cell>
          <cell r="H1213" t="str">
            <v>RESISTOR (RESISTeNCIA ELeTRICA FIXA) PRoPRIO PARA MONTAGEM EM SUPERFÍCIE SMD 330K 5por cento 200PPM POTeNCIA DE 1/10 W (REF. R01049 - COD. 20633528)</v>
          </cell>
        </row>
        <row r="1214">
          <cell r="B1214">
            <v>2010100880</v>
          </cell>
          <cell r="D1214">
            <v>20633529</v>
          </cell>
          <cell r="E1214">
            <v>85332120</v>
          </cell>
          <cell r="F1214">
            <v>85332120</v>
          </cell>
          <cell r="H1214" t="str">
            <v>RESISTOR (RESISTeNCIA ELeTRICA FIXA) PRoPRIO PARA MONTAGEM EM SUPERFÍCIE SMD 390K 5por cento 200PPM POTeNCIA DE 1/10 W (REF. R01027 - COD. 20633529)</v>
          </cell>
        </row>
        <row r="1215">
          <cell r="B1215">
            <v>2010100210</v>
          </cell>
          <cell r="D1215">
            <v>20633532</v>
          </cell>
          <cell r="E1215">
            <v>85332120</v>
          </cell>
          <cell r="F1215">
            <v>85332120</v>
          </cell>
          <cell r="H1215" t="str">
            <v>RESISTOR (RESISTeNCIA ELeTRICA FIXA) PRoPRIO PARA MONTAGEM EM SUPERFÍCIE SMD 51K 1por cento 100PPM POTeNCIA DE 1/8W (REF. R04082 - COD. 20633532)</v>
          </cell>
        </row>
        <row r="1216">
          <cell r="B1216">
            <v>2010100280</v>
          </cell>
          <cell r="D1216">
            <v>20633533</v>
          </cell>
          <cell r="E1216">
            <v>85332120</v>
          </cell>
          <cell r="F1216">
            <v>85332120</v>
          </cell>
          <cell r="H1216" t="str">
            <v>RESISTOR (RESISTeNCIA ELeTRICA FIXA) PRoPRIO PARA MONTAGEM EM SUPERFÍCIE SMD 1.5K 1por cento 100PPM  POTeNCIA DE 1/8 W (REF. R04055 - COD. 20633533)</v>
          </cell>
        </row>
        <row r="1217">
          <cell r="B1217">
            <v>2010100050</v>
          </cell>
          <cell r="D1217">
            <v>20633534</v>
          </cell>
          <cell r="E1217">
            <v>85332120</v>
          </cell>
          <cell r="F1217">
            <v>85332120</v>
          </cell>
          <cell r="H1217" t="str">
            <v>RESISTOR (RESISTeNCIA ELeTRICA FIXA) PRoPRIO PARA MONTAGEM EM SUPERFÍCIE SMD 150K 1por cento 100PPM POTeNCIA DE 1/4W  (REF. R06022 - COD. 20633534)</v>
          </cell>
        </row>
        <row r="1218">
          <cell r="B1218">
            <v>2010100270</v>
          </cell>
          <cell r="D1218">
            <v>20633537</v>
          </cell>
          <cell r="E1218">
            <v>85332120</v>
          </cell>
          <cell r="F1218">
            <v>85332120</v>
          </cell>
          <cell r="H1218" t="str">
            <v>RESISTOR (RESISTeNCIA ELeTRICA FIXA) PRoPRIO PARA MONTAGEM EM SUPERFÍCIE SMD 24K 1％ 100PPM POTeNCIA DE 1/8 W (REF. R04064 - COD. 20633537)</v>
          </cell>
        </row>
        <row r="1219">
          <cell r="B1219">
            <v>2010100200</v>
          </cell>
          <cell r="D1219">
            <v>20633538</v>
          </cell>
          <cell r="E1219">
            <v>85332120</v>
          </cell>
          <cell r="F1219">
            <v>85332120</v>
          </cell>
          <cell r="H1219" t="str">
            <v>RESISTOR (RESISTeNCIA ELeTRICA FIXA) PRoPRIO PARA MONTAGEM EM SUPERFÍCIE SMD 2.2K 1por cento 100PPM POTeNCIA DE 1/8 W (REF. R04086 - COD. 20633538)</v>
          </cell>
        </row>
        <row r="1220">
          <cell r="B1220">
            <v>2010100250</v>
          </cell>
          <cell r="D1220">
            <v>20633540</v>
          </cell>
          <cell r="E1220">
            <v>85332120</v>
          </cell>
          <cell r="F1220">
            <v>85332120</v>
          </cell>
          <cell r="H1220" t="str">
            <v>RESISTOR (RESISTeNCIA ELeTRICA FIXA) PRoPRIO PARA MONTAGEM EM SUPERFÍCIE SMD 5.1K 1por cento  100PPM  POTeNCIA DE 1/8 W (REF. R04071-2010100250)</v>
          </cell>
        </row>
        <row r="1221">
          <cell r="B1221">
            <v>2010100490</v>
          </cell>
          <cell r="D1221">
            <v>20633541</v>
          </cell>
          <cell r="E1221">
            <v>85332120</v>
          </cell>
          <cell r="F1221">
            <v>85332120</v>
          </cell>
          <cell r="G1221">
            <v>85332120</v>
          </cell>
          <cell r="H1221" t="str">
            <v>RESISTOR (RESISTeNCIA ELeTRICA FIXA) PRoPRIO PARA MONTAGEM EM SUPERFÍCIE SMD 5.1K 5％ 100PPM POTeNCIA DE 1/8W (REF. R03012 - COD. 20633541)</v>
          </cell>
        </row>
        <row r="1222">
          <cell r="B1222">
            <v>2010100320</v>
          </cell>
          <cell r="D1222">
            <v>20633542</v>
          </cell>
          <cell r="E1222">
            <v>85332120</v>
          </cell>
          <cell r="F1222">
            <v>85332120</v>
          </cell>
          <cell r="H1222" t="str">
            <v>RESISTOR (RESISTeNCIA ELeTRICA FIXA) PRoPRIO PARA MONTAGEM EM SUPERFÍCIE SMD 10K 1％  100PPM POTeNCIA DE 1/8 W (REF. R04038 - COD.2010100320)</v>
          </cell>
        </row>
        <row r="1223">
          <cell r="B1223">
            <v>2010100240</v>
          </cell>
          <cell r="D1223">
            <v>20633544</v>
          </cell>
          <cell r="E1223">
            <v>85332120</v>
          </cell>
          <cell r="F1223">
            <v>85332120</v>
          </cell>
          <cell r="H1223" t="str">
            <v>RESISTOR (RESISTeNCIA ELeTRICA FIXA) PRoPRIO PARA MONTAGEM EM SUPERFÍCIE SMD 20K 1por cento   100PPM POTeNCIA DE 1/8 W (REF. R04072 - COD. 20633544)</v>
          </cell>
        </row>
        <row r="1224">
          <cell r="B1224">
            <v>2010100230</v>
          </cell>
          <cell r="D1224">
            <v>20633545</v>
          </cell>
          <cell r="E1224">
            <v>85332120</v>
          </cell>
          <cell r="F1224">
            <v>85332120</v>
          </cell>
          <cell r="H1224" t="str">
            <v>RESISTOR (RESISTeNCIA ELeTRICA FIXA) PRoPRIO PARA MONTAGEM EM SUPERFÍCIE SMD 39K 1por cento  100PPM POTeNCIA DE 1/8 W (REF. R04073 - COD. 20633545)</v>
          </cell>
        </row>
        <row r="1225">
          <cell r="B1225">
            <v>2010100330</v>
          </cell>
          <cell r="D1225">
            <v>20633546</v>
          </cell>
          <cell r="E1225">
            <v>85332120</v>
          </cell>
          <cell r="F1225">
            <v>85332120</v>
          </cell>
          <cell r="H1225" t="str">
            <v>RESISTOR (RESISTeNCIA ELeTRICA FIXA) PRoPRIO PARA MONTAGEM EM SUPERFÍCIE SMD 100K 1por cento 100PPM POTeNCIA DE 1/8 W (REF. R04037 - COD. 20633546)</v>
          </cell>
        </row>
        <row r="1226">
          <cell r="B1226">
            <v>2010100260</v>
          </cell>
          <cell r="D1226">
            <v>20633547</v>
          </cell>
          <cell r="E1226">
            <v>85332120</v>
          </cell>
          <cell r="F1226">
            <v>85332120</v>
          </cell>
          <cell r="H1226" t="str">
            <v>RESISTOR (RESISTeNCIA ELeTRICA FIXA) PRoPRIO PARA MONTAGEM EM SUPERFÍCIE SMD 150K 1por cento 100PPM POTeNCIA DE 1/8 W (REF. R04067 - COD. 20633547)</v>
          </cell>
        </row>
        <row r="1227">
          <cell r="B1227">
            <v>2010100410</v>
          </cell>
          <cell r="D1227">
            <v>20633549</v>
          </cell>
          <cell r="E1227">
            <v>85332120</v>
          </cell>
          <cell r="F1227">
            <v>85332120</v>
          </cell>
          <cell r="H1227" t="str">
            <v>RESISTOR (RESISTeNCIA ELeTRICA FIXA) PRoPRIO PARA MONTAGEM EM SUPERFÍCIE SMD 510R 1％ 100PPM POTeNCIA DE 1/8 W (REF. R04005 - COD. 20633549)</v>
          </cell>
        </row>
        <row r="1228">
          <cell r="B1228">
            <v>2010100290</v>
          </cell>
          <cell r="D1228">
            <v>20633551</v>
          </cell>
          <cell r="E1228">
            <v>85332120</v>
          </cell>
          <cell r="F1228">
            <v>85332120</v>
          </cell>
          <cell r="H1228" t="str">
            <v>RESISTOR (RESISTeNCIA ELeTRICA FIXA) PRoPRIO PARA MONTAGEM EM SUPERFÍCIE SMD 75K 1％ 100PPM POTeNCIA DE 1/8 W (REF. R04049 - COD. 20633551)</v>
          </cell>
        </row>
        <row r="1229">
          <cell r="B1229">
            <v>2010105860</v>
          </cell>
          <cell r="D1229">
            <v>20633552</v>
          </cell>
          <cell r="E1229">
            <v>85332120</v>
          </cell>
          <cell r="F1229">
            <v>85332120</v>
          </cell>
          <cell r="H1229" t="str">
            <v>RESISTOR (RESISTeNCIA ELeTRICA FIXA) PRoPRIO PARA MONTAGEM EM SUPERFÍCIE SMD 6.8R 1por cento 50PPM  POTeNCIA 1/8W (REF. R06007-2 - COD. 20633552)</v>
          </cell>
        </row>
        <row r="1230">
          <cell r="B1230">
            <v>2010100690</v>
          </cell>
          <cell r="D1230">
            <v>20633554</v>
          </cell>
          <cell r="E1230">
            <v>85332120</v>
          </cell>
          <cell r="F1230">
            <v>85332120</v>
          </cell>
          <cell r="H1230" t="str">
            <v>RESISTOR (RESISTeNCIA ELeTRICA FIXA) PRoPRIO PARA MONTAGEM EM SUPERFÍCIE SMD 1M 1％ 100PPM POTeNCIA DE 1/10W (REF. R02012 - COD. 20633554)</v>
          </cell>
        </row>
        <row r="1231">
          <cell r="B1231">
            <v>2010100630</v>
          </cell>
          <cell r="D1231">
            <v>20633555</v>
          </cell>
          <cell r="E1231">
            <v>85332120</v>
          </cell>
          <cell r="F1231">
            <v>85332120</v>
          </cell>
          <cell r="H1231" t="str">
            <v>RESISTOR (RESISTeNCIA ELeTRICA FIXA) PRoPRIO PARA MONTAGEM EM SUPERFÍCIE SMD 1.8M  1％ 100PPM POTeNCIA DE 1/10W (REF. R02028 - COD. 20633555)</v>
          </cell>
        </row>
        <row r="1232">
          <cell r="B1232">
            <v>2010100470</v>
          </cell>
          <cell r="D1232">
            <v>20633556</v>
          </cell>
          <cell r="E1232">
            <v>85332120</v>
          </cell>
          <cell r="F1232">
            <v>85332120</v>
          </cell>
          <cell r="H1232" t="str">
            <v>RESISTOR (RESISTeNCIA ELeTRICA FIXA) PRoPRIO PARA MONTAGEM EM SUPERFÍCIE SMD 820R 5％  100PPM POTeNCIA DE 1/8W (REF. R03030 - COD. 20633556)</v>
          </cell>
        </row>
        <row r="1233">
          <cell r="B1233">
            <v>2010100060</v>
          </cell>
          <cell r="D1233">
            <v>20633560</v>
          </cell>
          <cell r="E1233">
            <v>85332120</v>
          </cell>
          <cell r="F1233">
            <v>85332120</v>
          </cell>
          <cell r="H1233" t="str">
            <v>RESISTOR (RESISTeNCIA ELeTRICA FIXA) PRoPRIO PARA MONTAGEM EM SUPERFÍCIE SMD 100K 1por cento 100PPM POTeNCIA DE  1/4W (REF. R06018 - COD. 20633560)</v>
          </cell>
        </row>
        <row r="1234">
          <cell r="B1234">
            <v>2010100620</v>
          </cell>
          <cell r="D1234">
            <v>20633565</v>
          </cell>
          <cell r="E1234">
            <v>85332120</v>
          </cell>
          <cell r="F1234">
            <v>85332120</v>
          </cell>
          <cell r="H1234" t="str">
            <v>RESISTOR (RESISTeNCIA ELeTRICA FIXA) PRoPRIO PARA MONTAGEM EM SUPERFÍCIE SMD 2.2M  1％ 100PPM POTeNCIA DE 1/10 W (REF. R02029 - COD. 20633565)</v>
          </cell>
        </row>
        <row r="1235">
          <cell r="B1235">
            <v>2010100680</v>
          </cell>
          <cell r="D1235">
            <v>20633566</v>
          </cell>
          <cell r="E1235">
            <v>85332120</v>
          </cell>
          <cell r="F1235">
            <v>85332120</v>
          </cell>
          <cell r="G1235">
            <v>85332120</v>
          </cell>
          <cell r="H1235" t="str">
            <v>RESISTOR (RESISTeNCIA ELeTRICA FIXA) PRoPRIO PARA MONTAGEM EM SUPERFÍCIE SMD 2M 1％ 100PPM POTeNCIA DE 1/10 W (REF. R02013 - COD. 2010100680)</v>
          </cell>
        </row>
        <row r="1236">
          <cell r="B1236">
            <v>2010105840</v>
          </cell>
          <cell r="D1236">
            <v>20633567</v>
          </cell>
          <cell r="E1236">
            <v>85332120</v>
          </cell>
          <cell r="F1236">
            <v>85332120</v>
          </cell>
          <cell r="H1236" t="str">
            <v>RESISTOR (RESISTeNCIA ELeTRICA FIXA) PRoPRIO PARA MONTAGEM EM SUPERFÍCIE SMD 5.1R 1por cento 50PPM  POTeNCIA DE 1/8W (REF. R06009-2 - COD. 20633567)</v>
          </cell>
        </row>
        <row r="1237">
          <cell r="B1237">
            <v>2010100610</v>
          </cell>
          <cell r="D1237">
            <v>20633569</v>
          </cell>
          <cell r="E1237">
            <v>85332120</v>
          </cell>
          <cell r="F1237">
            <v>85332120</v>
          </cell>
          <cell r="H1237" t="str">
            <v>RESISTOR (RESISTeNCIA ELeTRICA FIXA) PRoPRIO PARA MONTAGEM EM SUPERFÍCIE SMD 27K 1por cento  100PPM POTeNCIA DE 1/10 W (REF. R02033 - COD. 20633569)</v>
          </cell>
        </row>
        <row r="1238">
          <cell r="B1238">
            <v>2010100670</v>
          </cell>
          <cell r="D1238">
            <v>20633571</v>
          </cell>
          <cell r="E1238">
            <v>85332120</v>
          </cell>
          <cell r="F1238">
            <v>85332120</v>
          </cell>
          <cell r="G1238">
            <v>85332120</v>
          </cell>
          <cell r="H1238" t="str">
            <v>RESISTOR (RESISTeNCIA ELeTRICA FIXA) PRoPRIO PARA MONTAGEM EM SUPERFÍCIE SMD 100K 1％ 100PPM POTeNCIA DE 1/10 W (REF. R02018 - COD. 2010100670)</v>
          </cell>
        </row>
        <row r="1239">
          <cell r="B1239">
            <v>2010100540</v>
          </cell>
          <cell r="D1239">
            <v>20633575</v>
          </cell>
          <cell r="E1239">
            <v>85332120</v>
          </cell>
          <cell r="F1239">
            <v>85332120</v>
          </cell>
          <cell r="H1239" t="str">
            <v>RESISTOR (RESISTeNCIA ELeTRICA FIXA) PRoPRIO PARA MONTAGEM EM SUPERFÍCIE SMD 0603 DE POTeNCIA 1/10W (REF. R02072 - COD. 20633575)</v>
          </cell>
        </row>
        <row r="1240">
          <cell r="B1240">
            <v>2010105820</v>
          </cell>
          <cell r="D1240">
            <v>20633576</v>
          </cell>
          <cell r="E1240">
            <v>85332120</v>
          </cell>
          <cell r="F1240">
            <v>85332120</v>
          </cell>
          <cell r="H1240" t="str">
            <v>RESISTOR (RESISTeNCIA ELeTRICA FIXA) PRoPRIO PARA MONTAGEM EM SUPERFÍCIE SMD 1.5R 1por cento 50PPM POTeNCIA DE 1/8W (REF. R06014-1 - COD. 20633576)</v>
          </cell>
        </row>
        <row r="1241">
          <cell r="B1241">
            <v>2010100720</v>
          </cell>
          <cell r="D1241">
            <v>20633578</v>
          </cell>
          <cell r="E1241">
            <v>85332120</v>
          </cell>
          <cell r="F1241">
            <v>85332120</v>
          </cell>
          <cell r="G1241">
            <v>85332120</v>
          </cell>
          <cell r="H1241" t="str">
            <v>Resistor  proprio para montagem em superfície (SMD),encapsulamento 0603, resistencia de 510 ohms, tolerAncia 1por cento,  potencia 0,1(1/10)W (2010100720)</v>
          </cell>
        </row>
        <row r="1242">
          <cell r="B1242">
            <v>2010100800</v>
          </cell>
          <cell r="D1242">
            <v>20633581</v>
          </cell>
          <cell r="E1242">
            <v>85332120</v>
          </cell>
          <cell r="F1242">
            <v>85332120</v>
          </cell>
          <cell r="H1242" t="str">
            <v>RESISTOR (RESISTeNCIA ELeTRICA FIXA) PRoPRIO PARA MONTAGEM EM SUPERFÍCIE SMD 75K 5por cento 100PPM POTeNCIA 1/10W (REF. R01045 - COD. 20633581)</v>
          </cell>
        </row>
        <row r="1243">
          <cell r="B1243">
            <v>2010100450</v>
          </cell>
          <cell r="D1243">
            <v>20633583</v>
          </cell>
          <cell r="E1243">
            <v>85332120</v>
          </cell>
          <cell r="F1243">
            <v>85332120</v>
          </cell>
          <cell r="H1243" t="str">
            <v>RESISTOR (RESISTeNCIA ELeTRICA FIXA) PRoPRIO PARA MONTAGEM EM SUPERFÍCIE SMD 300K 5por cento 100PPM POTeNCIA 1/8W (REF. R03068 - COD. 20633583)</v>
          </cell>
        </row>
        <row r="1244">
          <cell r="B1244">
            <v>2010100910</v>
          </cell>
          <cell r="D1244">
            <v>20633563</v>
          </cell>
          <cell r="E1244">
            <v>85332120</v>
          </cell>
          <cell r="F1244">
            <v>85332120</v>
          </cell>
          <cell r="H1244" t="str">
            <v>RESISTOR (RESISTeNCIA ELeTRICA FIXA) PRoPRIO PARA MONTAGEM EM SUPERFÍCIE SMD 060347K  5％ 200PPM DE POTeNCIA 1/10W (REF. R01021 - COD. 20633563)</v>
          </cell>
        </row>
        <row r="1245">
          <cell r="B1245">
            <v>2010100500</v>
          </cell>
          <cell r="D1245">
            <v>20620203</v>
          </cell>
          <cell r="E1245">
            <v>85332120</v>
          </cell>
          <cell r="F1245">
            <v>85332120</v>
          </cell>
          <cell r="H1245" t="str">
            <v>RESISTOR (RESISTeNCIA ELeTRICA FIXA) PRoPRIO PARA MONTAGEM EM SUPERFÍCIE SMD 0805100K 5％ 200PPM DE POTeNCIA 1/8W (REF. R03010 - COD. 20620203)</v>
          </cell>
        </row>
        <row r="1246">
          <cell r="B1246">
            <v>2010100300</v>
          </cell>
          <cell r="D1246">
            <v>20620400</v>
          </cell>
          <cell r="E1246">
            <v>85332120</v>
          </cell>
          <cell r="F1246">
            <v>85332120</v>
          </cell>
          <cell r="H1246" t="str">
            <v>RESISTOR (RESISTeNCIA ELeTRICA FIXA) PRoPRIO PARA MONTAGEM EM SUPERFÍCIE SMD 0805120K 1％ 100PPM  DE POTeNCIA 1/8W (REF. R04048 - COD. 20620400)</v>
          </cell>
        </row>
        <row r="1247">
          <cell r="B1247">
            <v>2010105890</v>
          </cell>
          <cell r="D1247">
            <v>20620300</v>
          </cell>
          <cell r="E1247">
            <v>85332120</v>
          </cell>
          <cell r="F1247">
            <v>85332120</v>
          </cell>
          <cell r="H1247" t="str">
            <v>RESISTOR (RESISTeNCIA ELeTRICA FIXA) PRoPRIO PARA MONTAGEM EM SUPERFÍCIE SMD DE POTeNCIA 1/8W 1por cento 100PPM (REF. R04076 - CoD. 20620300)</v>
          </cell>
        </row>
        <row r="1248">
          <cell r="B1248">
            <v>2010100180</v>
          </cell>
          <cell r="D1248">
            <v>20630108</v>
          </cell>
          <cell r="E1248">
            <v>85332120</v>
          </cell>
          <cell r="F1248">
            <v>85332120</v>
          </cell>
          <cell r="H1248" t="str">
            <v>RESISTOR (RESISTeNCIA ELeTRICA FIXA) PRoPRIO PARA MONTAGEM EM SUPERFÍCIE SMD 08053R 1por cento 50PPM DE POTeNCIA 1/8W 0805 (REF. R04135 - COD. 20630108)</v>
          </cell>
        </row>
        <row r="1249">
          <cell r="B1249">
            <v>2010102010</v>
          </cell>
          <cell r="D1249">
            <v>20624432</v>
          </cell>
          <cell r="E1249">
            <v>85332120</v>
          </cell>
          <cell r="F1249">
            <v>85332120</v>
          </cell>
          <cell r="H1249" t="str">
            <v>RESISTOR (RESISTeNCIA ELeTRICA FIXA) PRoPRIO PARA MONTAGEM EM SUPERFÍCIE SMD 1.2K 1por cento 100PPM DE POTeNCIA 1/16W 0402</v>
          </cell>
        </row>
        <row r="1250">
          <cell r="B1250">
            <v>2010103220</v>
          </cell>
          <cell r="D1250">
            <v>20624440</v>
          </cell>
          <cell r="E1250">
            <v>85332120</v>
          </cell>
          <cell r="F1250">
            <v>85332120</v>
          </cell>
          <cell r="H1250" t="str">
            <v>RESISTOR (RESISTeNCIA ELeTRICA FIXA) PRoPRIO PARA MONTAGEM EM SUPERFÍCIE SMD 8.2K 5por cento  200PPM DE POTeNCIA 1/8W 0805</v>
          </cell>
        </row>
        <row r="1251">
          <cell r="B1251">
            <v>2010101720</v>
          </cell>
          <cell r="D1251">
            <v>20660911</v>
          </cell>
          <cell r="E1251">
            <v>85332120</v>
          </cell>
          <cell r="F1251">
            <v>85332120</v>
          </cell>
          <cell r="H1251" t="str">
            <v>RESISTOR (RESISTeNCIA ELeTRICA FIXA) PRoPRIO PARA MONTAGEM EM SUPERFÍCIE SMD 16K 1por cento 100PPM DE POTeNCIA 1/16W 0402</v>
          </cell>
        </row>
        <row r="1252">
          <cell r="B1252">
            <v>2010102740</v>
          </cell>
          <cell r="D1252">
            <v>20660912</v>
          </cell>
          <cell r="E1252">
            <v>85332120</v>
          </cell>
          <cell r="F1252">
            <v>85332120</v>
          </cell>
          <cell r="H1252" t="str">
            <v>RESISTOR (RESISTeNCIA ELeTRICA FIXA) PRoPRIO PARA MONTAGEM EM SUPERFÍCIE SMD DE POTeNCIA 1/8W 510R 5por cento 200PPM</v>
          </cell>
        </row>
        <row r="1253">
          <cell r="B1253">
            <v>2010101930</v>
          </cell>
          <cell r="D1253">
            <v>20633671</v>
          </cell>
          <cell r="E1253">
            <v>85332120</v>
          </cell>
          <cell r="F1253">
            <v>85332120</v>
          </cell>
          <cell r="G1253">
            <v>85332120</v>
          </cell>
          <cell r="H1253" t="str">
            <v>RESISTOR (RESISTeNCIA ELeTRICA FIXA) PRoPRIO PARA MONTAGEM EM SUPERFÍCIE SMD 24K 1por cento 100PPM DE POTeNCIA 1/16W 0402</v>
          </cell>
        </row>
        <row r="1254">
          <cell r="B1254">
            <v>2010700021</v>
          </cell>
          <cell r="D1254">
            <v>20660601</v>
          </cell>
          <cell r="E1254">
            <v>85332190</v>
          </cell>
          <cell r="F1254">
            <v>85332190</v>
          </cell>
          <cell r="H1254" t="str">
            <v>RESISTOR (RESISTeNCIA ELeTRICA FIXA) PRoPRIO PARA MONTAGEM EM SUPERFÍCIE PTH, DE POTeNCIA 1W - 2.4K 1por cento 100PPM (REF. R07090-L - COD. 20660601)</v>
          </cell>
        </row>
        <row r="1255">
          <cell r="B1255">
            <v>2010700031</v>
          </cell>
          <cell r="D1255">
            <v>20660602</v>
          </cell>
          <cell r="E1255">
            <v>85332190</v>
          </cell>
          <cell r="F1255">
            <v>85332190</v>
          </cell>
          <cell r="H1255" t="str">
            <v>RESISTOR (RESISTeNCIA ELeTRICA FIXA) PRoPRIO PARA MONTAGEM EM SUPERFÍCIE PTH, DE POTeNCIA 3W 220R 5por cento (REF. R07088 - COD. 20660602)</v>
          </cell>
        </row>
        <row r="1256">
          <cell r="B1256">
            <v>2010500051</v>
          </cell>
          <cell r="D1256">
            <v>20660900</v>
          </cell>
          <cell r="E1256">
            <v>85332190</v>
          </cell>
          <cell r="F1256">
            <v>85332190</v>
          </cell>
          <cell r="H1256" t="str">
            <v>RESISTOR (RESISTeNCIA ELeTRICA FIXA) PRoPRIO PARA MONTAGEM EM SUPERFÍCIE PTH, DE POTeNCIA 3W 150R 5por cento (REF. R12003 - COD. 20660900)</v>
          </cell>
        </row>
        <row r="1257">
          <cell r="B1257">
            <v>2010500091</v>
          </cell>
          <cell r="D1257">
            <v>20660903</v>
          </cell>
          <cell r="E1257">
            <v>85332190</v>
          </cell>
          <cell r="F1257">
            <v>85332190</v>
          </cell>
          <cell r="H1257" t="str">
            <v>RESISTOR (RESISTeNCIA ELeTRICA FIXA) PRoPRIO PARA MONTAGEM EM SUPERFÍCIE PTH, DE POTeNCIA 3W 10R 5％ (REF. R12008 - COD. 20660903)</v>
          </cell>
        </row>
        <row r="1258">
          <cell r="B1258">
            <v>2010500032</v>
          </cell>
          <cell r="D1258">
            <v>20633669</v>
          </cell>
          <cell r="E1258">
            <v>85332190</v>
          </cell>
          <cell r="F1258">
            <v>85332190</v>
          </cell>
          <cell r="G1258">
            <v>85332190</v>
          </cell>
          <cell r="H1258" t="str">
            <v>RESISTOR (RESISTeNCIA ELeTRICA FIXA) PRoPRIO PARA MONTAGEM EM SUPERFÍCIE PTH, DE POTeNCIA 3W PTH 150R 5por cento 300PPM ?5.5*15mm</v>
          </cell>
        </row>
        <row r="1259">
          <cell r="B1259">
            <v>2010500141</v>
          </cell>
          <cell r="D1259">
            <v>20660906</v>
          </cell>
          <cell r="E1259">
            <v>85332190</v>
          </cell>
          <cell r="F1259">
            <v>85332190</v>
          </cell>
          <cell r="G1259">
            <v>85332190</v>
          </cell>
          <cell r="H1259" t="str">
            <v>RESISTOR (RESISTeNCIA ELeTRICA FIXA) PRoPRIO PARA MONTAGEM EM SUPERFÍCIE PTH, DE POTeNCIA 3W 22R 5por cento 300PPM</v>
          </cell>
        </row>
        <row r="1260">
          <cell r="B1260">
            <v>2010500071</v>
          </cell>
          <cell r="D1260">
            <v>20660907</v>
          </cell>
          <cell r="E1260">
            <v>85332190</v>
          </cell>
          <cell r="F1260">
            <v>85332190</v>
          </cell>
          <cell r="H1260" t="str">
            <v>RESISTOR (RESISTeNCIA ELeTRICA FIXA) PRoPRIO PARA MONTAGEM EM SUPERFÍCIE PTH, DE POTeNCIA 3W 10R 5％ POTeNCIA</v>
          </cell>
        </row>
        <row r="1261">
          <cell r="B1261">
            <v>2010900011</v>
          </cell>
          <cell r="D1261">
            <v>20691801</v>
          </cell>
          <cell r="E1261">
            <v>85334011</v>
          </cell>
          <cell r="F1261">
            <v>85334011</v>
          </cell>
          <cell r="G1261">
            <v>85334011</v>
          </cell>
          <cell r="H1261" t="str">
            <v>TERMISTOR (RESISTeNCIA ELeTRICA VARIaVEL NAO LINEAR SEMICONDUTORA) PTC 15R 20por cento 140mA 400mA 300V RAD-5mm (R10019)</v>
          </cell>
        </row>
        <row r="1262">
          <cell r="B1262">
            <v>2011100051</v>
          </cell>
          <cell r="D1262">
            <v>20624807</v>
          </cell>
          <cell r="E1262">
            <v>85334012</v>
          </cell>
          <cell r="F1262">
            <v>85334012</v>
          </cell>
          <cell r="H1262" t="str">
            <v>VARISTOR (RESISTeNCIA ELeTRICA VARIaVEL NAO LINEAR SEMICONDUTORA) DE TENSAO 470V 10por cento Φ14  (REF. R09014 - COD. 20624800)</v>
          </cell>
        </row>
        <row r="1263">
          <cell r="B1263">
            <v>2011100091</v>
          </cell>
          <cell r="D1263">
            <v>20624808</v>
          </cell>
          <cell r="E1263">
            <v>85334012</v>
          </cell>
          <cell r="F1263">
            <v>85334012</v>
          </cell>
          <cell r="H1263" t="str">
            <v>VARISTOR (RESISTeNCIA ELeTRICA VARIaVEL NAO LINEAR SEMICONDUTORA) DE TENSAO 680V 10por cento Φ21.5 (REF. R09012-W - COD. 20624808)</v>
          </cell>
        </row>
        <row r="1264">
          <cell r="B1264">
            <v>2011100031</v>
          </cell>
          <cell r="D1264">
            <v>20624809</v>
          </cell>
          <cell r="E1264">
            <v>85334012</v>
          </cell>
          <cell r="F1264">
            <v>85334012</v>
          </cell>
          <cell r="H1264" t="str">
            <v>VARISTOR (RESISTeNCIA ELeTRICA VARIaVEL NAO LINEAR SEMICONDUTORA) DE TENSAO 470V M21.5 10por cento (REF. R09022-W - COD. 20624809)</v>
          </cell>
        </row>
        <row r="1265">
          <cell r="B1265">
            <v>2011100121</v>
          </cell>
          <cell r="D1265">
            <v>20680102</v>
          </cell>
          <cell r="E1265">
            <v>85334012</v>
          </cell>
          <cell r="F1265">
            <v>85334012</v>
          </cell>
          <cell r="G1265">
            <v>85334012</v>
          </cell>
          <cell r="H1265" t="str">
            <v>VARISTOR (RESISTeNCIA ELeTRICA VARIaVEL NAO LINEAR SEMICONDUTORA) DE TENSAO 820V 10por cento 6500A 460pF F21  10mm (R09009-W)</v>
          </cell>
        </row>
        <row r="1266">
          <cell r="B1266">
            <v>2011100141</v>
          </cell>
          <cell r="D1266">
            <v>20624903</v>
          </cell>
          <cell r="E1266">
            <v>85334012</v>
          </cell>
          <cell r="F1266">
            <v>85334012</v>
          </cell>
          <cell r="H1266" t="str">
            <v>VARISTOR (RESISTeNCIA ELeTRICA VARIaVEL NAO LINEAR SEMICONDUTORA) DE TENSAO 680V 10por cento 8500A 910pF F24 RAD-10mm PTH</v>
          </cell>
        </row>
        <row r="1267">
          <cell r="B1267">
            <v>2011100191</v>
          </cell>
          <cell r="D1267">
            <v>20680110</v>
          </cell>
          <cell r="E1267">
            <v>85334012</v>
          </cell>
          <cell r="F1267">
            <v>85334012</v>
          </cell>
          <cell r="H1267" t="str">
            <v>VARISTOR (RESISTeNCIA ELeTRICA VARIaVEL NAO LINEAR SEMICONDUTORA) DE TENSAO 820V PTH</v>
          </cell>
        </row>
        <row r="1268">
          <cell r="B1268">
            <v>2150100130</v>
          </cell>
          <cell r="D1268">
            <v>20610102</v>
          </cell>
          <cell r="E1268">
            <v>85340033</v>
          </cell>
          <cell r="F1268" t="str">
            <v>Not applicable</v>
          </cell>
          <cell r="G1268">
            <v>85340033</v>
          </cell>
          <cell r="H1268" t="str">
            <v>PLACA DE CIRCUITO IMPRESSO DE NATUREZA DO MATERIAL BASE RÍGIDO, COMPOSIcAO DA PLACA COM ISOLANTE DE RESINA EPoXIDA E TECIDO DE FIBRA DE VIDRO, ESTRUTURA DE DUPLA FACE, E INTERLIGAcAO ENTRE FACES COM FUROS METALIZADOS, 2 105.5*267.2*1.6mm/8 (REF. J18734 - COD. 20610102)</v>
          </cell>
        </row>
        <row r="1269">
          <cell r="B1269">
            <v>2150100090</v>
          </cell>
          <cell r="D1269">
            <v>20610103</v>
          </cell>
          <cell r="E1269">
            <v>85340033</v>
          </cell>
          <cell r="F1269" t="str">
            <v>Not applicable</v>
          </cell>
          <cell r="G1269">
            <v>85340033</v>
          </cell>
          <cell r="H1269" t="str">
            <v>PLACA DE CIRCUITO IMPRESSO DE NATUREZA DO MATERIAL BASE RÍGIDO, COMPOSIcAO DA PLACA COM ISOLANTE DE RESINA EPoXIDA E TECIDO DE FIBRA DE VIDRO, ESTRUTURA DE DUPLA FACE, E INTERLIGAcAO ENTRE FACES COM FUROS METALIZADOS, 2 146*306.86*1.6mm/2 (REF.  J18900 - CoD. 20610103)</v>
          </cell>
        </row>
        <row r="1270">
          <cell r="B1270">
            <v>2150100100</v>
          </cell>
          <cell r="D1270">
            <v>20610106</v>
          </cell>
          <cell r="E1270">
            <v>85340033</v>
          </cell>
          <cell r="F1270" t="str">
            <v>Not applicable</v>
          </cell>
          <cell r="G1270">
            <v>85340033</v>
          </cell>
          <cell r="H1270" t="str">
            <v>PLACA DE CIRCUITO IMPRESSO DE NATUREZA DO MATERIAL BASE RÍGIDO, COMPOSIcAO DA PLACA COM ISOLANTE DE RESINA EPoXIDA E TECIDO DE FIBRA DE VIDRO, ESTRUTURA DE DUPLA FACE, E INTERLIGAcAO ENTRE FACES COM FUROS METALIZADOS, 144*173.68*1.6mm/1 (REF. J18873 - COD. 20610106)</v>
          </cell>
        </row>
        <row r="1271">
          <cell r="B1271">
            <v>2150100170</v>
          </cell>
          <cell r="D1271">
            <v>20610111</v>
          </cell>
          <cell r="E1271">
            <v>85340033</v>
          </cell>
          <cell r="F1271" t="str">
            <v>Not applicable</v>
          </cell>
          <cell r="G1271">
            <v>85340033</v>
          </cell>
          <cell r="H1271" t="str">
            <v>PLACA DE CIRCUITO IMPRESSO DE NATUREZA DO MATERIAL BASE RÍGIDO, COMPOSIcAO DA PLACA COM ISOLANTE DE RESINA EPoXIDA E TECIDO DE FIBRA DE VIDRO, ESTRUTURA DE DUPLA FACE, E INTERLIGAcAO ENTRE FACES COM FUROS METALIZADOS, 97.98*270.9*1.6MM/4 (REF. J18718 - COD. 20660111)</v>
          </cell>
        </row>
        <row r="1272">
          <cell r="B1272">
            <v>2150100040</v>
          </cell>
          <cell r="D1272">
            <v>20610113</v>
          </cell>
          <cell r="E1272">
            <v>85340033</v>
          </cell>
          <cell r="F1272" t="str">
            <v>Not applicable</v>
          </cell>
          <cell r="G1272">
            <v>85340033</v>
          </cell>
          <cell r="H1272" t="str">
            <v>PLACA DE CIRCUITO IMPRESSO DE NATUREZA DO MATERIAL BASE RÍGIDO, COMPOSIcAO DA PLACA COM ISOLANTE DE RESINA EPoXIDA E TECIDO DE FIBRA DE VIDRO, ESTRUTURA DE DUPLA FACE, E INTERLIGAcAO ENTRE FACES COM FUROS METALIZADOS, 2 97.0*219.0*1.6mm/3 (REF. J19083 - COD. 20610113)</v>
          </cell>
        </row>
        <row r="1273">
          <cell r="B1273">
            <v>2150100060</v>
          </cell>
          <cell r="D1273">
            <v>20610124</v>
          </cell>
          <cell r="E1273">
            <v>85340033</v>
          </cell>
          <cell r="F1273" t="str">
            <v>Not applicable</v>
          </cell>
          <cell r="G1273">
            <v>85340033</v>
          </cell>
          <cell r="H1273" t="str">
            <v>PLACA DE CIRCUITO IMPRESSO DE NATUREZA DO MATERIAL BASE RÍGIDO, COMPOSIcAO DA PLACA COM ISOLANTE DE RESINA EPoXIDA E TECIDO DE FIBRA DE VIDRO, ESTRUTURA DE DUPLA FACE, E INTERLIGAcAO ENTRE FACES COM FUROS METALIZADOS, 2 92.0*216.0*1.6mm/8 (REF. J19066 - COD. 20610124)</v>
          </cell>
        </row>
        <row r="1274">
          <cell r="B1274">
            <v>2150100070</v>
          </cell>
          <cell r="D1274">
            <v>20610112</v>
          </cell>
          <cell r="E1274">
            <v>85340033</v>
          </cell>
          <cell r="F1274" t="str">
            <v>Not applicable</v>
          </cell>
          <cell r="G1274">
            <v>85340033</v>
          </cell>
          <cell r="H1274" t="str">
            <v>PLACA DE CIRCUITO IMPRESSO DE NATUREZA DO MATERIAL BASE RÍGIDO, COMPOSIcAO DA PLACA COM ISOLANTE DE RESINA EPoXIDA E TECIDO DE FIBRA DE VIDRO, ESTRUTURA DE DUPLA FACE, E INTERLIGAcAO ENTRE FACES COM FUROS METALIZADOS, 2 92.0*216.0*1.6mm/8 (REF. J19052 - COD. 20610112)</v>
          </cell>
        </row>
        <row r="1275">
          <cell r="B1275">
            <v>2150109970</v>
          </cell>
          <cell r="D1275">
            <v>20610123</v>
          </cell>
          <cell r="E1275">
            <v>85340033</v>
          </cell>
          <cell r="F1275" t="str">
            <v>Not applicable</v>
          </cell>
          <cell r="G1275">
            <v>85340033</v>
          </cell>
          <cell r="H1275" t="str">
            <v>PLACA DE CIRCUITO IMPRESSO DE NATUREZA DO MATERIAL BASE RÍGIDO, COMPOSIcAO DA PLACA COM ISOLANTE DE RESINA EPoXIDA E TECIDO DE FIBRA DE VIDRO, ESTRUTURA DE DUPLA FACE, E INTERLIGAcAO ENTRE FACES COM FUROS METALIZADOS, 2 105.5*267.2*1.6mm/8 (REF. J19067 - COD. 20610123)</v>
          </cell>
        </row>
        <row r="1276">
          <cell r="B1276">
            <v>2150100050</v>
          </cell>
          <cell r="D1276">
            <v>20610108</v>
          </cell>
          <cell r="E1276">
            <v>85340033</v>
          </cell>
          <cell r="F1276" t="str">
            <v>Not applicable</v>
          </cell>
          <cell r="G1276">
            <v>85340033</v>
          </cell>
          <cell r="H1276" t="str">
            <v>PLACA DE CIRCUITO IMPRESSO DE NATUREZA DO MATERIAL BASE RÍGIDO, COMPOSIcAO DA PLACA COM ISOLANTE DE RESINA EPoXIDA E TECIDO DE FIBRA DE VIDRO, ESTRUTURA DE DUPLA FACE, E INTERLIGAcAO ENTRE FACES COM FUROS METALIZADOS, 2 99.0mm*232.5*1.6mm/3 (REF. J19082 - COD. 20610108)</v>
          </cell>
        </row>
        <row r="1277">
          <cell r="B1277">
            <v>2150100010</v>
          </cell>
          <cell r="D1277">
            <v>20610104</v>
          </cell>
          <cell r="E1277">
            <v>85340033</v>
          </cell>
          <cell r="F1277" t="str">
            <v>Not applicable</v>
          </cell>
          <cell r="G1277">
            <v>85340033</v>
          </cell>
          <cell r="H1277" t="str">
            <v>PLACA DE CIRCUITO IMPRESSO DE NATUREZA DO MATERIAL BASE RÍGIDO, COMPOSIcAO DA PLACA COM ISOLANTE DE RESINA EPoXIDA E TECIDO DE FIBRA DE VIDRO, ESTRUTURA DE DUPLA FACE, E INTERLIGAcAO ENTRE FACES COM FUROS METALIZADOS, 230.62*144*1.6mm/3 (REF. J19100 - COD. 20610104)</v>
          </cell>
        </row>
        <row r="1278">
          <cell r="B1278">
            <v>2150110110</v>
          </cell>
          <cell r="D1278">
            <v>20610122</v>
          </cell>
          <cell r="E1278">
            <v>85340033</v>
          </cell>
          <cell r="F1278" t="str">
            <v>Not applicable</v>
          </cell>
          <cell r="G1278">
            <v>85340033</v>
          </cell>
          <cell r="H1278" t="str">
            <v>PLACA DE CIRCUITO IMPRESSO DE NATUREZA DO MATERIAL BASE RÍGIDO, COMPOSIcAO DA PLACA COM ISOLANTE DE RESINA EPoXIDA E TECIDO DE FIBRA DE VIDRO, ESTRUTURA DE DUPLA FACE, E INTERLIGAcAO ENTRE FACES COM FUROS METALIZADOS, 92.5*270.9*1.6mm/4 SMD (REF. J19081 - CoD. 20610122)</v>
          </cell>
        </row>
        <row r="1279">
          <cell r="B1279">
            <v>2150100020</v>
          </cell>
          <cell r="D1279">
            <v>20610116</v>
          </cell>
          <cell r="E1279">
            <v>85340033</v>
          </cell>
          <cell r="F1279" t="str">
            <v>Not applicable</v>
          </cell>
          <cell r="G1279">
            <v>85340033</v>
          </cell>
          <cell r="H1279" t="str">
            <v>PLACA DE CIRCUITO IMPRESSO DE NATUREZA DO MATERIAL BASE RÍGIDO, COMPOSIcAO DA PLACA COM ISOLANTE DE RESINA EPoXIDA E TECIDO DE FIBRA DE VIDRO, ESTRUTURA DE DUPLA FACE, E INTERLIGAcAO ENTRE FACES COM FUROS METALIZADOS, 2 146*306.92*1.6mm/2  SMD (REF. J19094 - COD. 20610116)</v>
          </cell>
        </row>
        <row r="1280">
          <cell r="B1280">
            <v>2150100030</v>
          </cell>
          <cell r="D1280">
            <v>20610121</v>
          </cell>
          <cell r="E1280">
            <v>85340033</v>
          </cell>
          <cell r="F1280" t="str">
            <v>Not applicable</v>
          </cell>
          <cell r="G1280">
            <v>85340033</v>
          </cell>
          <cell r="H1280" t="str">
            <v>PLACA DE CIRCUITO IMPRESSO DE NATUREZA DO MATERIAL BASE RÍGIDO, COMPOSIcAO DA PLACA COM ISOLANTE DE RESINA EPoXIDA E TECIDO DE FIBRA DE VIDRO, ESTRUTURA DE DUPLA FACE, E INTERLIGAcAO ENTRE FACES COM FUROS METALIZADOS, 88.0*200.7*1.6mm/4 (REF. J19088 - COD. 20610121)</v>
          </cell>
        </row>
        <row r="1281">
          <cell r="B1281">
            <v>2150119110</v>
          </cell>
          <cell r="D1281">
            <v>20610131</v>
          </cell>
          <cell r="E1281">
            <v>85340033</v>
          </cell>
          <cell r="F1281" t="str">
            <v>Not applicable</v>
          </cell>
          <cell r="G1281">
            <v>85340033</v>
          </cell>
          <cell r="H1281" t="str">
            <v>PLACA DE CIRCUITO IMPRESSO DE NATUREZA DO MATERIAL BASE RÍGIDO, COMPOSIcAO DA PLACA COM ISOLANTE DE RESINA EPoXIDA E TECIDO DE FIBRA DE VIDRO, ESTRUTURA DE DUPLA FACE, E INTERLIGAcAO ENTRE FACES COM FUROS METALIZADOS, 2 144*249*1.6mm/3 (REF. 2150119110 - COD. 20610131)</v>
          </cell>
        </row>
        <row r="1282">
          <cell r="B1282">
            <v>2150119170</v>
          </cell>
          <cell r="D1282">
            <v>20610130</v>
          </cell>
          <cell r="E1282">
            <v>85340033</v>
          </cell>
          <cell r="F1282" t="str">
            <v>Not applicable</v>
          </cell>
          <cell r="G1282">
            <v>85340033</v>
          </cell>
          <cell r="H1282" t="str">
            <v>PLACA DE CIRCUITO IMPRESSO DE NATUREZA DO MATERIAL BASE RÍGIDO, COMPOSIcAO DA PLACA COM ISOLANTE DE RESINA EPoXIDA E TECIDO DE FIBRA DE VIDRO, ESTRUTURA DE DUPLA FACE, E INTERLIGAcAO ENTRE FACES COM FUROS METALIZADOS, 105.5*267.9*1.6mm/8 (REF. 2150119170 - COD. 20610130)</v>
          </cell>
        </row>
        <row r="1283">
          <cell r="B1283">
            <v>2150118490</v>
          </cell>
          <cell r="D1283">
            <v>20610132</v>
          </cell>
          <cell r="E1283">
            <v>85340033</v>
          </cell>
          <cell r="F1283" t="str">
            <v>Not applicable</v>
          </cell>
          <cell r="G1283">
            <v>85340033</v>
          </cell>
          <cell r="H1283" t="str">
            <v>PLACA DE CIRCUITO IMPRESSO DE NATUREZA DO MATERIAL BASE RÍGIDO, COMPOSIcAO DA PLACA COM ISOLANTE DE RESINA EPoXIDA E TECIDO DE FIBRA DE VIDRO, ESTRUTURA DE DUPLA FACE, E INTERLIGAcAO ENTRE FACES COM FUROS METALIZADOS,  2 88.0*200.7*1.6mm/4 PTH (REF. 2150118490 - COD. 20610132)</v>
          </cell>
        </row>
        <row r="1284">
          <cell r="B1284">
            <v>2150118790</v>
          </cell>
          <cell r="D1284">
            <v>20610129</v>
          </cell>
          <cell r="E1284">
            <v>85340033</v>
          </cell>
          <cell r="F1284" t="str">
            <v>Not applicable</v>
          </cell>
          <cell r="G1284">
            <v>85340033</v>
          </cell>
          <cell r="H1284" t="str">
            <v>PLACA DE CIRCUITO IMPRESSO DE NATUREZA DO MATERIAL BASE RÍGIDO, COMPOSIcAO DA PLACA COM ISOLANTE DE RESINA EPoXIDA E TECIDO DE FIBRA DE VIDRO, ESTRUTURA DE DUPLA FACE, E INTERLIGAcAO ENTRE FACES COM FUROS METALIZADOS, 2 230.62*144*1.6mm/3 PTH (REF. 2150118790 - COD. 20610129)</v>
          </cell>
        </row>
        <row r="1285">
          <cell r="B1285">
            <v>2150119160</v>
          </cell>
          <cell r="D1285">
            <v>20610133</v>
          </cell>
          <cell r="E1285">
            <v>85340033</v>
          </cell>
          <cell r="F1285" t="str">
            <v>Not applicable</v>
          </cell>
          <cell r="G1285">
            <v>85340033</v>
          </cell>
          <cell r="H1285" t="str">
            <v>PLACA DE CIRCUITO IMPRESSO DE NATUREZA DO MATERIAL BASE RÍGIDO, COMPOSIcAO DA PLACA COM ISOLANTE DE RESINA EPoXIDA E TECIDO DE FIBRA DE VIDRO, ESTRUTURA DE DUPLA FACE, E INTERLIGAcAO ENTRE FACES COM FUROS METALIZADOS, 2 92.0*216.0*1.6mm/8 SMD (REF. 2150119160 - COD. 20610133)</v>
          </cell>
        </row>
        <row r="1286">
          <cell r="B1286">
            <v>2150120510</v>
          </cell>
          <cell r="D1286">
            <v>20610135</v>
          </cell>
          <cell r="E1286">
            <v>85340033</v>
          </cell>
          <cell r="F1286" t="str">
            <v>Not applicable</v>
          </cell>
          <cell r="G1286">
            <v>85340033</v>
          </cell>
          <cell r="H1286" t="str">
            <v>PLACA DE CIRCUITO IMPRESSO DE NATUREZA DO MATERIAL BASE RÍGIDO, COMPOSIcAO DA PLACA COM ISOLANTE DE RESINA EPoXIDA E TECIDO DE FIBRA DE VIDRO, ESTRUTURA DE DUPLA FACE, E INTERLIGAcAO ENTRE FACES COM FUROS METALIZADOS, 2 88.0*200.7*1.6mm/4 SMD</v>
          </cell>
        </row>
        <row r="1287">
          <cell r="B1287">
            <v>2150118510</v>
          </cell>
          <cell r="D1287">
            <v>20610137</v>
          </cell>
          <cell r="E1287">
            <v>85340033</v>
          </cell>
          <cell r="F1287" t="str">
            <v>Not applicable</v>
          </cell>
          <cell r="G1287">
            <v>85340033</v>
          </cell>
          <cell r="H1287" t="str">
            <v>PLACA DE CIRCUITO IMPRESSO DE NATUREZA DO MATERIAL BASE RÍGIDO, COMPOSIcAO DA PLACA COM ISOLANTE DE RESINA EPoXIDA E TECIDO DE FIBRA DE VIDRO, ESTRUTURA DE DUPLA FACE, E INTERLIGAcAO ENTRE FACES COM FUROS METALIZADOS, 2pin PS34DGBLTNOC001-0V08 2015.12.28 V03 SMD</v>
          </cell>
        </row>
        <row r="1288">
          <cell r="B1288">
            <v>2150122720</v>
          </cell>
          <cell r="D1288">
            <v>20610138</v>
          </cell>
          <cell r="E1288">
            <v>85340033</v>
          </cell>
          <cell r="F1288" t="str">
            <v>Not applicable</v>
          </cell>
          <cell r="G1288">
            <v>85340033</v>
          </cell>
          <cell r="H1288" t="str">
            <v>PLACA DE CIRCUITO IMPRESSO DE NATUREZA DO MATERIAL BASE RÍGIDO, COMPOSIcAO DA PLACA COM ISOLANTE DE RESINA EPoXIDA E TECIDO DE FIBRA DE VIDRO, ESTRUTURA DE DUPLA FACE, E INTERLIGAcAO ENTRE FACES COM FUROS METALIZADOS, 2 146*306.92*1.6mm/2 SMD</v>
          </cell>
        </row>
        <row r="1289">
          <cell r="B1289">
            <v>2150103670</v>
          </cell>
          <cell r="D1289">
            <v>20661703</v>
          </cell>
          <cell r="E1289">
            <v>85340033</v>
          </cell>
          <cell r="F1289" t="str">
            <v>Not applicable</v>
          </cell>
          <cell r="G1289">
            <v>85340033</v>
          </cell>
          <cell r="H1289" t="str">
            <v>PLACA DE CIRCUITO IMPRESSO DE NATUREZA DO MATERIAL BASE RÍGIDO, COMPOSIcAO DA PLACA COM ISOLANTE DE RESINA EPoXIDA E TECIDO DE FIBRA DE VIDRO, ESTRUTURA DE DUPLA FACE, E INTERLIGAcAO ENTRE FACES COM FUROS METALIZADOS, 2 99.0*232.5*1.6mm/3 SMD</v>
          </cell>
        </row>
        <row r="1290">
          <cell r="B1290">
            <v>2150104100</v>
          </cell>
          <cell r="D1290">
            <v>20661706</v>
          </cell>
          <cell r="E1290">
            <v>85340033</v>
          </cell>
          <cell r="F1290" t="str">
            <v>Not applicable</v>
          </cell>
          <cell r="G1290">
            <v>85340033</v>
          </cell>
          <cell r="H1290" t="str">
            <v>PLACA DE CIRCUITO IMPRESSO DE NATUREZA DO MATERIAL BASE RÍGIDO, COMPOSIcAO DA PLACA COM ISOLANTE DE RESINA EPoXIDA E TECIDO DE FIBRA DE VIDRO, ESTRUTURA DE DUPLA FACE, E INTERLIGAcAO ENTRE FACES COM FUROS METALIZADOS, 2 105.5*267.2*1.6mm/8 SMD</v>
          </cell>
        </row>
        <row r="1291">
          <cell r="B1291">
            <v>2150103680</v>
          </cell>
          <cell r="D1291">
            <v>20661702</v>
          </cell>
          <cell r="E1291">
            <v>85340033</v>
          </cell>
          <cell r="F1291" t="str">
            <v>Not applicable</v>
          </cell>
          <cell r="G1291">
            <v>85340033</v>
          </cell>
          <cell r="H1291" t="str">
            <v>PLACA DE CIRCUITO IMPRESSO DE NATUREZA DO MATERIAL BASE RÍGIDO, COMPOSIcAO DA PLACA COM ISOLANTE DE RESINA EPoXIDA E TECIDO DE FIBRA DE VIDRO, ESTRUTURA DE DUPLA FACE, E INTERLIGAcAO ENTRE FACES COM FUROS METALIZADOS, 2 97.0*219.0*1.6mm/3</v>
          </cell>
        </row>
        <row r="1292">
          <cell r="B1292">
            <v>2150100190</v>
          </cell>
          <cell r="D1292">
            <v>20661705</v>
          </cell>
          <cell r="E1292">
            <v>85340033</v>
          </cell>
          <cell r="F1292" t="str">
            <v>Not applicable</v>
          </cell>
          <cell r="G1292">
            <v>85340033</v>
          </cell>
          <cell r="H1292" t="str">
            <v>PLACA DE CIRCUITO IMPRESSO DE NATUREZA DO MATERIAL BASE RÍGIDO, COMPOSIcAO DA PLACA COM ISOLANTE DE RESINA EPoXIDA E TECIDO DE FIBRA DE VIDRO, ESTRUTURA DE DUPLA FACE, E INTERLIGAcAO ENTRE FACES COM FUROS METALIZADOS, 2 146*306.86*1.6mm/2</v>
          </cell>
        </row>
        <row r="1293">
          <cell r="B1293">
            <v>2150110380</v>
          </cell>
          <cell r="D1293">
            <v>20610126</v>
          </cell>
          <cell r="E1293">
            <v>85340033</v>
          </cell>
          <cell r="F1293" t="str">
            <v>Not applicable</v>
          </cell>
          <cell r="G1293">
            <v>85340033</v>
          </cell>
          <cell r="H1293" t="str">
            <v>PLACA DE CIRCUITO IMPRESSO DE NATUREZA DO MATERIAL BASE RÍGIDO, COMPOSIcAO DA PLACA COM ISOLANTE DE RESINA EPoXIDA E TECIDO DE FIBRA DE VIDRO, ESTRUTURA DE DUPLA FACE, E INTERLIGAcAO ENTRE FACES COM FUROS METALIZADOS,  2 311.07*169*1.6mm/2</v>
          </cell>
        </row>
        <row r="1294">
          <cell r="B1294">
            <v>2150109770</v>
          </cell>
          <cell r="D1294">
            <v>20610127</v>
          </cell>
          <cell r="E1294">
            <v>85340033</v>
          </cell>
          <cell r="F1294" t="str">
            <v>Not applicable</v>
          </cell>
          <cell r="G1294">
            <v>85340033</v>
          </cell>
          <cell r="H1294" t="str">
            <v>PLACA DE CIRCUITO IMPRESSO DE NATUREZA DO MATERIAL BASE RÍGIDO, COMPOSIcAO DA PLACA COM ISOLANTE DE RESINA EPoXIDA E TECIDO DE FIBRA DE VIDRO, ESTRUTURA DE DUPLA FACE, E INTERLIGAcAO ENTRE FACES COM FUROS METALIZADOS, 2 144*173.68*1.6mm/1  SMD</v>
          </cell>
        </row>
        <row r="1295">
          <cell r="B1295">
            <v>2150119020</v>
          </cell>
          <cell r="D1295">
            <v>20610141</v>
          </cell>
          <cell r="E1295">
            <v>85340033</v>
          </cell>
          <cell r="F1295" t="str">
            <v>Not applicable</v>
          </cell>
          <cell r="G1295">
            <v>85340033</v>
          </cell>
          <cell r="H1295" t="str">
            <v>PLACA DE CIRCUITO IMPRESSO DE NATUREZA DO MATERIAL BASE RÍGIDO, COMPOSIcAO DA PLACA COM ISOLANTE DE RESINA EPoXIDA E TECIDO DE FIBRA DE VIDRO, ESTRUTURA DE DUPLA FACE, E INTERLIGAcAO ENTRE FACES COM FUROS METALIZADOS, 2 311.07*169*1.6mm/2 SMD</v>
          </cell>
        </row>
        <row r="1296">
          <cell r="B1296">
            <v>2090100031</v>
          </cell>
          <cell r="D1296">
            <v>20691301</v>
          </cell>
          <cell r="E1296">
            <v>85369090</v>
          </cell>
          <cell r="F1296">
            <v>85369090</v>
          </cell>
          <cell r="G1296">
            <v>85369090</v>
          </cell>
          <cell r="H1296" t="str">
            <v>CONECTOR DE COMUNICAcAO DUPLO PARA CONEXAO DE CIRCUITO ELeTRICO COM TENSAO ATe 320V - PH2.54 2/2*4P L37.0  Z (REF. G04028 - COD. 2090100031)</v>
          </cell>
        </row>
        <row r="1297">
          <cell r="B1297">
            <v>2090300911</v>
          </cell>
          <cell r="D1297">
            <v>20691504</v>
          </cell>
          <cell r="E1297">
            <v>85369090</v>
          </cell>
          <cell r="F1297">
            <v>85369090</v>
          </cell>
          <cell r="H1297" t="str">
            <v>CONECTOR DE COMUNICAcAO DUPLO PARA CONEXAO DE CIRCUITO ELeTRICO COM TENSAO ATe 320V - PH2.54 2/2*2P L37.0  Z (REF. G06171 - COD. 20691504)</v>
          </cell>
        </row>
        <row r="1298">
          <cell r="B1298">
            <v>2090300901</v>
          </cell>
          <cell r="D1298">
            <v>20691505</v>
          </cell>
          <cell r="E1298">
            <v>85369040</v>
          </cell>
          <cell r="F1298">
            <v>85369040</v>
          </cell>
          <cell r="G1298">
            <v>85369040</v>
          </cell>
          <cell r="H1298" t="str">
            <v xml:space="preserve">Conector para circuito impresso, de tensAo ate 320V, de quatro vias, femea, para montagem por insercAo (PTH), 2/2*4P com espacamento de  2.54mm entre os terminais (2090300901)
</v>
          </cell>
        </row>
        <row r="1299">
          <cell r="B1299">
            <v>2090101821</v>
          </cell>
          <cell r="D1299">
            <v>20661921</v>
          </cell>
          <cell r="E1299">
            <v>85369090</v>
          </cell>
          <cell r="F1299">
            <v>85369090</v>
          </cell>
          <cell r="G1299">
            <v>85369090</v>
          </cell>
          <cell r="H1299" t="str">
            <v>CONECTOR FLAT FEMEA PARA CONEXAO DE CIRCUITO ELeTRICO COM TENSAO ATe 320V - 2*5Pin 2.54mm 19.4mm PTH</v>
          </cell>
        </row>
        <row r="1300">
          <cell r="B1300">
            <v>2090101321</v>
          </cell>
          <cell r="D1300">
            <v>20661922</v>
          </cell>
          <cell r="E1300">
            <v>85369040</v>
          </cell>
          <cell r="F1300">
            <v>85369040</v>
          </cell>
          <cell r="G1300">
            <v>85369040</v>
          </cell>
          <cell r="H1300" t="str">
            <v xml:space="preserve">Conector para circuito impresso, de tensAo ate 320V, de duas vias, macho, para montagem por insercAo (PTH), 1*2Pin 2.5mm de dimensoes 7.40*4.90*5.9mm (2090101321)
</v>
          </cell>
        </row>
        <row r="1301">
          <cell r="B1301">
            <v>2090101811</v>
          </cell>
          <cell r="D1301">
            <v>20661924</v>
          </cell>
          <cell r="E1301">
            <v>85369090</v>
          </cell>
          <cell r="F1301">
            <v>85369090</v>
          </cell>
          <cell r="G1301">
            <v>85369090</v>
          </cell>
          <cell r="H1301" t="str">
            <v>CONECTOR FEMEA PARA CONEXAO DE CIRCUITO ELeTRICO COM TENSAO ATe 320V - 2*7Pin 2.54mm 19.4mm PTH</v>
          </cell>
        </row>
        <row r="1302">
          <cell r="B1302">
            <v>3090500440</v>
          </cell>
          <cell r="D1302">
            <v>20691306</v>
          </cell>
          <cell r="E1302">
            <v>85369090</v>
          </cell>
          <cell r="F1302">
            <v>85369090</v>
          </cell>
          <cell r="G1302">
            <v>85369090</v>
          </cell>
          <cell r="H1302" t="str">
            <v>CONECTOR FLAT PARA CONEXAO DE CIRCUITO ELeTRICO COM TENSAO ATe 320V - 10  L=80mm PTH</v>
          </cell>
        </row>
        <row r="1303">
          <cell r="B1303">
            <v>2090302901</v>
          </cell>
          <cell r="D1303">
            <v>20691310</v>
          </cell>
          <cell r="E1303">
            <v>85369040</v>
          </cell>
          <cell r="F1303">
            <v>85369040</v>
          </cell>
          <cell r="G1303">
            <v>85369040</v>
          </cell>
          <cell r="H1303" t="str">
            <v xml:space="preserve">Conector para circuito impresso, de tensAo ate 320V, de 12 vias, femea, para montagem por insercAo (PTH), 2/6*12P com espacamento de  2.54mm entre os terminais (2090302901)
</v>
          </cell>
        </row>
        <row r="1304">
          <cell r="B1304">
            <v>2090302891</v>
          </cell>
          <cell r="D1304">
            <v>20691311</v>
          </cell>
          <cell r="E1304">
            <v>85369090</v>
          </cell>
          <cell r="F1304">
            <v>85369090</v>
          </cell>
          <cell r="G1304">
            <v>85369090</v>
          </cell>
          <cell r="H1304" t="str">
            <v>CONECTOR MACHO PARA CONEXAO DE CIRCUITO ELeTRICO COM TENSAO ATe 320V - 2.54mm FC 14P 28AWG 125mm  PTH</v>
          </cell>
        </row>
        <row r="1305">
          <cell r="B1305">
            <v>2090102170</v>
          </cell>
          <cell r="D1305">
            <v>20691313</v>
          </cell>
          <cell r="E1305">
            <v>85369090</v>
          </cell>
          <cell r="F1305">
            <v>85369090</v>
          </cell>
          <cell r="G1305">
            <v>85369090</v>
          </cell>
          <cell r="H1305" t="str">
            <v>CONECTOR FEMEA PARA CONEXAO DE CIRCUITO ELeTRICO COM TENSAO ATe 320V - 2*6PIN 2.54mm 15.71*5*8.5mm PTH</v>
          </cell>
        </row>
        <row r="1306">
          <cell r="B1306">
            <v>2060500091</v>
          </cell>
          <cell r="D1306">
            <v>20630106</v>
          </cell>
          <cell r="E1306">
            <v>85411011</v>
          </cell>
          <cell r="F1306">
            <v>85411011</v>
          </cell>
          <cell r="H1306" t="str">
            <v>DISPOSITIVO SEMICONDUTOR TIPO DIODO ZENER, NAO MONTADO, DE INTENSIDADE DE CORRENTE 0,2A - 15V 1W 5por cento DO-41 (REF. A01005-W - CoD. 20630106)</v>
          </cell>
        </row>
        <row r="1307">
          <cell r="B1307">
            <v>2060500061</v>
          </cell>
          <cell r="D1307">
            <v>20630801</v>
          </cell>
          <cell r="E1307">
            <v>85411011</v>
          </cell>
          <cell r="F1307">
            <v>85411011</v>
          </cell>
          <cell r="H1307" t="str">
            <v>DISPOSITIVO SEMICONDUTOR TIPO DIODO ZENER, NAO MONTADO, DE INTENSIDADE DE CORRENTE 2A - 10V,1W,5por cento,DO-41</v>
          </cell>
        </row>
        <row r="1308">
          <cell r="B1308">
            <v>2060500011</v>
          </cell>
          <cell r="D1308">
            <v>20633728</v>
          </cell>
          <cell r="E1308">
            <v>85411011</v>
          </cell>
          <cell r="F1308">
            <v>85411011</v>
          </cell>
          <cell r="G1308">
            <v>85411011</v>
          </cell>
          <cell r="H1308" t="str">
            <v>DISPOSITIVO SEMICONDUTOR TIPO DIODO ZENER, NAO MONTADO, DE INTENSIDADE DE CORRENTE 0,05A - 20V 1W 5por cento LL-41</v>
          </cell>
        </row>
        <row r="1309">
          <cell r="B1309">
            <v>2060100081</v>
          </cell>
          <cell r="D1309">
            <v>20630102</v>
          </cell>
          <cell r="E1309">
            <v>85411012</v>
          </cell>
          <cell r="F1309">
            <v>85411012</v>
          </cell>
          <cell r="H1309" t="str">
            <v>DISPOSITIVO SEMICONDUTOR TIPO DIODO RETIFICADOR, NAO MONTADO, DE INTENSIDADE DE CORRENTE 1A (REF. A01038 - COD. 20630102)</v>
          </cell>
        </row>
        <row r="1310">
          <cell r="B1310">
            <v>2060100071</v>
          </cell>
          <cell r="D1310">
            <v>20630107</v>
          </cell>
          <cell r="E1310">
            <v>85411012</v>
          </cell>
          <cell r="F1310">
            <v>85411012</v>
          </cell>
          <cell r="H1310" t="str">
            <v>DISPOSITIVO SEMICONDUTOR TIPO DIODO RETIFICADOR, NAO MONTADO, DE INTENSIDADE DE CORRENTE 1A - 200nS DO-41 (REF. A01038-W - CoD. 20630107)</v>
          </cell>
        </row>
        <row r="1311">
          <cell r="B1311">
            <v>2061100023</v>
          </cell>
          <cell r="D1311">
            <v>20630701</v>
          </cell>
          <cell r="E1311">
            <v>85411012</v>
          </cell>
          <cell r="F1311">
            <v>85411012</v>
          </cell>
          <cell r="H1311" t="str">
            <v>DISPOSITIVO SEMICONDUTOR TIPO DIODO RETIFICADOR, NAO MONTADO, DE INTENSIDADE DE CORRENTE DE 0,8A (REF. A01702-2 - COD. 20630701)</v>
          </cell>
        </row>
        <row r="1312">
          <cell r="B1312">
            <v>2060100231</v>
          </cell>
          <cell r="D1312">
            <v>20630702</v>
          </cell>
          <cell r="E1312">
            <v>85411012</v>
          </cell>
          <cell r="F1312">
            <v>85411012</v>
          </cell>
          <cell r="H1312" t="str">
            <v>DISPOSITIVO SEMICONDUTOR TIPO DIODO RETIFICADOR, NAO MONTADO, DE INTENSIDADE DE CORRENTE 1A (REF. A01794 - COD. 20630702)</v>
          </cell>
        </row>
        <row r="1313">
          <cell r="B1313">
            <v>2060100161</v>
          </cell>
          <cell r="D1313">
            <v>20630805</v>
          </cell>
          <cell r="E1313">
            <v>85411012</v>
          </cell>
          <cell r="F1313">
            <v>85411012</v>
          </cell>
          <cell r="H1313" t="str">
            <v>DISPOSITIVO SEMICONDUTOR TIPO DIODO RETIFICADOR, NAO MONTADO, DE INTENSIDADE DE CORRENTE 0.2A (REF. A01760-W - CoD. 20630805)</v>
          </cell>
        </row>
        <row r="1314">
          <cell r="B1314">
            <v>2060300010</v>
          </cell>
          <cell r="D1314">
            <v>20630203</v>
          </cell>
          <cell r="E1314">
            <v>85411012</v>
          </cell>
          <cell r="F1314">
            <v>85411012</v>
          </cell>
          <cell r="H1314" t="str">
            <v>DISPOSITIVO SEMICONDUTOR TIPO DIODO RETIFICADOR, NAO MONTADO, DE INTENSIDADE DE CORRENTE 1A (REF. A01822-L - COD. 2060300010)</v>
          </cell>
        </row>
        <row r="1315">
          <cell r="B1315">
            <v>2060100671</v>
          </cell>
          <cell r="D1315">
            <v>20633712</v>
          </cell>
          <cell r="E1315">
            <v>85411022</v>
          </cell>
          <cell r="F1315">
            <v>85411022</v>
          </cell>
          <cell r="G1315">
            <v>85411022</v>
          </cell>
          <cell r="H1315" t="str">
            <v>DISPOSITIVO SEMICONDUTOR TIPO DIODO retificador, montado, proprio para montagem em superfície SMD DE INTENSIDADE DE CORRENTE  1A (2060100671)</v>
          </cell>
        </row>
        <row r="1316">
          <cell r="B1316">
            <v>2060100552</v>
          </cell>
          <cell r="D1316">
            <v>20633714</v>
          </cell>
          <cell r="E1316">
            <v>85411012</v>
          </cell>
          <cell r="F1316">
            <v>85411012</v>
          </cell>
          <cell r="G1316">
            <v>85411012</v>
          </cell>
          <cell r="H1316" t="str">
            <v>DISPOSITIVO SEMICONDUTOR TIPO DIODO RETIFICADOR, NAO MONTADO, DE INTENSIDADE DE CORRENTE 3A</v>
          </cell>
        </row>
        <row r="1317">
          <cell r="B1317">
            <v>2060100041</v>
          </cell>
          <cell r="D1317">
            <v>20633721</v>
          </cell>
          <cell r="E1317">
            <v>85411012</v>
          </cell>
          <cell r="F1317">
            <v>85411012</v>
          </cell>
          <cell r="G1317">
            <v>85411012</v>
          </cell>
          <cell r="H1317" t="str">
            <v>DISPOSITIVO SEMICONDUTOR TIPO DIODO REGULADOR DE TENSAO, NAO MONTADO, DE INTENSIDADE DE CORRENTE 3A</v>
          </cell>
        </row>
        <row r="1318">
          <cell r="B1318">
            <v>2060100022</v>
          </cell>
          <cell r="D1318">
            <v>20633723</v>
          </cell>
          <cell r="E1318">
            <v>85411012</v>
          </cell>
          <cell r="F1318">
            <v>85411012</v>
          </cell>
          <cell r="H1318" t="str">
            <v>DISPOSITIVO SEMICONDUTOR TIPO DIODO REGULADOR DE TENSAO, NAO MONTADO, DE INTENSIDADE DE CORRENTE 0,2A - 0.715V,70V, 6nS, SOT-23</v>
          </cell>
        </row>
        <row r="1319">
          <cell r="B1319">
            <v>2060500021</v>
          </cell>
          <cell r="D1319">
            <v>20630109</v>
          </cell>
          <cell r="E1319">
            <v>85411021</v>
          </cell>
          <cell r="F1319">
            <v>85411021</v>
          </cell>
          <cell r="G1319">
            <v>85411021</v>
          </cell>
          <cell r="H1319" t="str">
            <v xml:space="preserve">DISPOSITIVO SEMICONDUTOR TIPO DIODO ZENER, MONTADO, PRoPRIO PARA MONTAGEM EM SUPERFÍCIE SMD DE INTENSIDADE DE CORRENTE 0,085A (2060500021)
</v>
          </cell>
        </row>
        <row r="1320">
          <cell r="B1320">
            <v>2060100281</v>
          </cell>
          <cell r="D1320">
            <v>20630706</v>
          </cell>
          <cell r="E1320">
            <v>85411021</v>
          </cell>
          <cell r="F1320">
            <v>85411021</v>
          </cell>
          <cell r="G1320">
            <v>85411021</v>
          </cell>
          <cell r="H1320" t="str">
            <v>DISPOSITIVO SEMICONDUTOR TIPO DIODO ZENER, MONTADO, PRoPRIO PARA MONTAGEM EM SUPERFÍCIE SMD DE INTENSIDADE DE CORRENTE 1A</v>
          </cell>
        </row>
        <row r="1321">
          <cell r="B1321">
            <v>2060500101</v>
          </cell>
          <cell r="D1321">
            <v>20630803</v>
          </cell>
          <cell r="E1321">
            <v>85411031</v>
          </cell>
          <cell r="F1321">
            <v>85411031</v>
          </cell>
          <cell r="G1321">
            <v>85411031</v>
          </cell>
          <cell r="H1321" t="str">
            <v>Dispositivo semicondutor tipo Diodo ZENER, montado, proprio para montagem por insercAo (PTH) de intensidade de corrente de 0,061A (2060500101)</v>
          </cell>
        </row>
        <row r="1322">
          <cell r="B1322">
            <v>2060300050</v>
          </cell>
          <cell r="D1322">
            <v>20630101</v>
          </cell>
          <cell r="E1322">
            <v>85411022</v>
          </cell>
          <cell r="F1322">
            <v>85411022</v>
          </cell>
          <cell r="G1322">
            <v>85411022</v>
          </cell>
          <cell r="H1322" t="str">
            <v>DISPOSITIVO SEMICONDUTOR TIPO DIODO TVS MONTADO, PRoPRIO PARA MONTAGEM EM SUPERFÍCIE SMD, DE INTENSIDADE DE CORRENTE DE 3A (REF. A01721 - COD. 2060300050)</v>
          </cell>
        </row>
        <row r="1323">
          <cell r="B1323">
            <v>2060300040</v>
          </cell>
          <cell r="D1323">
            <v>20630103</v>
          </cell>
          <cell r="E1323">
            <v>85411039</v>
          </cell>
          <cell r="F1323">
            <v>85411039</v>
          </cell>
          <cell r="G1323">
            <v>85411039</v>
          </cell>
          <cell r="H1323" t="str">
            <v>Dispositivo semicondutor tipo Diodo TVS, montado, proprio para montagem por insercAo PTH, de intensidade de corrente 5A (2060300040)</v>
          </cell>
        </row>
        <row r="1324">
          <cell r="B1324">
            <v>2060300061</v>
          </cell>
          <cell r="D1324">
            <v>20630104</v>
          </cell>
          <cell r="E1324">
            <v>85411039</v>
          </cell>
          <cell r="F1324">
            <v>85411039</v>
          </cell>
          <cell r="G1324">
            <v>85411039</v>
          </cell>
          <cell r="H1324" t="str">
            <v>Dispositivo semicondutor tipo Diodo TVS, montado, proprio para montagem por insercAo PTH, de intensidade de corrente 5A (2060300061)</v>
          </cell>
        </row>
        <row r="1325">
          <cell r="B1325">
            <v>2060100021</v>
          </cell>
          <cell r="D1325">
            <v>20680300</v>
          </cell>
          <cell r="E1325">
            <v>85411022</v>
          </cell>
          <cell r="F1325">
            <v>85411022</v>
          </cell>
          <cell r="G1325">
            <v>85411022</v>
          </cell>
          <cell r="H1325" t="str">
            <v>DISPOSITIVO SEMICONDUTOR TIPO DIODO TVS DE COMUTAcAO DUPLA, MONTADO, PRoPRIO PARA MONTAGEM EM SUPERFÍCIE SMD, DE INTENSIDADE DE CORRENTE 0,215A (REF. A01007 - COD. 20680300)</v>
          </cell>
        </row>
        <row r="1326">
          <cell r="B1326">
            <v>2060100492</v>
          </cell>
          <cell r="D1326">
            <v>20630202</v>
          </cell>
          <cell r="E1326">
            <v>85411022</v>
          </cell>
          <cell r="F1326">
            <v>85411022</v>
          </cell>
          <cell r="G1326">
            <v>85411022</v>
          </cell>
          <cell r="H1326" t="str">
            <v>DISPOSITIVO SEMICONDUTOR TIPO DIODO retificador, montado, proprio para montagem em superfície SMD, DE INTENSIDADE DE CORRENTE 1A (2060100492).</v>
          </cell>
        </row>
        <row r="1327">
          <cell r="B1327">
            <v>2060300030</v>
          </cell>
          <cell r="D1327">
            <v>20630204</v>
          </cell>
          <cell r="E1327">
            <v>85411022</v>
          </cell>
          <cell r="F1327">
            <v>85411022</v>
          </cell>
          <cell r="H1327" t="str">
            <v>DISPOSITIVO SEMICONDUTOR TIPO DIODO TVS, MONTADO, PRoPRIO PARA MONTAGEM EM SUPERFÍCIE SMD, DE INTENSIDADE DE CORRENTE 1A (REF. A01817 - COD. 20630204)</v>
          </cell>
        </row>
        <row r="1328">
          <cell r="B1328">
            <v>2060300310</v>
          </cell>
          <cell r="D1328">
            <v>20633719</v>
          </cell>
          <cell r="E1328">
            <v>85411022</v>
          </cell>
          <cell r="F1328">
            <v>85411022</v>
          </cell>
          <cell r="G1328">
            <v>85411022</v>
          </cell>
          <cell r="H1328" t="str">
            <v>DISPOSITIVO SEMICONDUTOR TIPO DIODO TVS, MONTADO, PRoPRIO PARA MONTAGEM EM SUPERFÍCIE SMD, DE INTENSIDADE DE CORRENTE DE 1A</v>
          </cell>
        </row>
        <row r="1329">
          <cell r="B1329">
            <v>2060300471</v>
          </cell>
          <cell r="D1329">
            <v>20633726</v>
          </cell>
          <cell r="E1329">
            <v>85411022</v>
          </cell>
          <cell r="F1329">
            <v>85411022</v>
          </cell>
          <cell r="G1329">
            <v>85411022</v>
          </cell>
          <cell r="H1329" t="str">
            <v>DISPOSITIVO SEMICONDUTOR TIPO DIODO TVS, montado, proprio para montagem em superfície SMD, DE INTENSIDADE DE CORRENTE 1.5A (2060300471)</v>
          </cell>
        </row>
        <row r="1330">
          <cell r="B1330">
            <v>2060300081</v>
          </cell>
          <cell r="D1330">
            <v>20633717</v>
          </cell>
          <cell r="E1330">
            <v>85411022</v>
          </cell>
          <cell r="F1330">
            <v>85411022</v>
          </cell>
          <cell r="G1330">
            <v>85411022</v>
          </cell>
          <cell r="H1330" t="str">
            <v>DISPOSITIVO SEMICONDUTOR TIPO DIODO RETIFICADOR TVS, MONTADO, PRoPRIO PARA MONTAGEM EM SUPERFÍCIE SMD, DE INTENSIDADE DE CORRENTE 1,5A</v>
          </cell>
        </row>
        <row r="1331">
          <cell r="B1331">
            <v>2060300070</v>
          </cell>
          <cell r="D1331">
            <v>20633725</v>
          </cell>
          <cell r="E1331">
            <v>85411029</v>
          </cell>
          <cell r="F1331">
            <v>85411029</v>
          </cell>
          <cell r="G1331">
            <v>85411029</v>
          </cell>
          <cell r="H1331" t="str">
            <v>DISPOSITIVO SEMICONDUTOR DO TIPO DIODO RETIFICADOR TVS, MONTADO, PRoPRIO PARA MONTAGEM EM SUPERFÍCIE SMD, DE INTENSIDADE DE CORRENTE 3,3A</v>
          </cell>
        </row>
        <row r="1332">
          <cell r="B1332">
            <v>2040300071</v>
          </cell>
          <cell r="D1332">
            <v>20630807</v>
          </cell>
          <cell r="E1332">
            <v>85412120</v>
          </cell>
          <cell r="F1332">
            <v>85412120</v>
          </cell>
          <cell r="G1332">
            <v>85412120</v>
          </cell>
          <cell r="H1332" t="str">
            <v>DISPOSITIVO SEMICONDUTOR TIPO TRANSISTOR, MONTADO, PRoPRIO PARA MONTAGEM EM SUPERFÍCIE SMD, DE CAPACIDADE DE DISSIPAcAO 0,2 W</v>
          </cell>
        </row>
        <row r="1333">
          <cell r="B1333">
            <v>2060900521</v>
          </cell>
          <cell r="D1333">
            <v>20680211</v>
          </cell>
          <cell r="E1333">
            <v>85412120</v>
          </cell>
          <cell r="F1333">
            <v>85412120</v>
          </cell>
          <cell r="G1333">
            <v>85412120</v>
          </cell>
          <cell r="H1333" t="str">
            <v>DISPOSITIVO SEMICONDUTOR TIPO TRANSISTOR, MONTADO, PRoPRIO PARA MONTAGEM EM SUPERFÍCIE SMD, DE CAPACIDADE DE DISSIPAcAO 0,35W</v>
          </cell>
        </row>
        <row r="1334">
          <cell r="B1334">
            <v>2060900511</v>
          </cell>
          <cell r="D1334">
            <v>20680210</v>
          </cell>
          <cell r="E1334">
            <v>85412920</v>
          </cell>
          <cell r="F1334">
            <v>85412920</v>
          </cell>
          <cell r="G1334">
            <v>85412920</v>
          </cell>
          <cell r="H1334" t="str">
            <v>TRANSISTOR PNP, DE CAPACIDADE DE DISSIPAcAO 35 W, MONTADO, PRoPRIO PARA MONTAGEM EM SUPERFÍCIE SMD - Vceo=-50V Vces=-0.3V Vebo=-6V Ic=1A Hfe=135-270 SOT-23</v>
          </cell>
        </row>
        <row r="1335">
          <cell r="B1335">
            <v>2060900031</v>
          </cell>
          <cell r="D1335">
            <v>20680200</v>
          </cell>
          <cell r="E1335">
            <v>85413011</v>
          </cell>
          <cell r="F1335">
            <v>85413011</v>
          </cell>
          <cell r="G1335">
            <v>85413011</v>
          </cell>
          <cell r="H1335" t="str">
            <v>TIRISTOR NAO MONTADO INTENSIDADE DE CORRENTE DE 0,5 A (REF. A02012 - COD. 2060900031)</v>
          </cell>
        </row>
        <row r="1336">
          <cell r="B1336">
            <v>2060900051</v>
          </cell>
          <cell r="D1336">
            <v>20680201</v>
          </cell>
          <cell r="E1336">
            <v>85413011</v>
          </cell>
          <cell r="F1336">
            <v>85413011</v>
          </cell>
          <cell r="G1336">
            <v>85413011</v>
          </cell>
          <cell r="H1336" t="str">
            <v>TIRISTOR,  NAO MONTADO, DE INTENSIDADE DE CORRENTE 0.5A - 45V 250~600,225mW,SOT-23 (REF. A02032 - COD.2060900051)</v>
          </cell>
        </row>
        <row r="1337">
          <cell r="B1337">
            <v>2060900302</v>
          </cell>
          <cell r="D1337">
            <v>20680202</v>
          </cell>
          <cell r="E1337">
            <v>85413011</v>
          </cell>
          <cell r="F1337">
            <v>85413011</v>
          </cell>
          <cell r="H1337" t="str">
            <v>TIRISTOR NAO MONTADO DE INTENSIDADE DE CORRENTE DE 0,5A (REF. A02161-1 - COD. 20680202)</v>
          </cell>
        </row>
        <row r="1338">
          <cell r="B1338">
            <v>2010900081</v>
          </cell>
          <cell r="D1338">
            <v>20680209</v>
          </cell>
          <cell r="E1338">
            <v>85413011</v>
          </cell>
          <cell r="F1338">
            <v>85413011</v>
          </cell>
          <cell r="G1338">
            <v>85413011</v>
          </cell>
          <cell r="H1338" t="str">
            <v>TIRISTOR NAO MONTADO DE INTENSIDADE DE CORRENTE 3A, 10R</v>
          </cell>
        </row>
        <row r="1339">
          <cell r="B1339">
            <v>2060700021</v>
          </cell>
          <cell r="D1339">
            <v>20630804</v>
          </cell>
          <cell r="E1339">
            <v>85413019</v>
          </cell>
          <cell r="F1339">
            <v>85413019</v>
          </cell>
          <cell r="G1339">
            <v>85413019</v>
          </cell>
          <cell r="H1339" t="str">
            <v>DISPOSITIVO SEMICONDUTOR TIPO TIRISTOR, NAO MONTADO, DE INTENSIDADE DE CORRENTE 4A (REF. A02114 - COD. 20630804)</v>
          </cell>
        </row>
        <row r="1340">
          <cell r="B1340">
            <v>2060700011</v>
          </cell>
          <cell r="D1340">
            <v>20680207</v>
          </cell>
          <cell r="E1340">
            <v>85413021</v>
          </cell>
          <cell r="F1340">
            <v>85413021</v>
          </cell>
          <cell r="G1340">
            <v>85413021</v>
          </cell>
          <cell r="H1340" t="str">
            <v>DISPOSITIVO SEMICONDUTOR TIPO TIRISTOR, MONTADO, DE INTENSIDADE DE CORRENTE 0,5A (REF. A02114-W - CoD. 20680207)</v>
          </cell>
        </row>
        <row r="1341">
          <cell r="B1341">
            <v>2110300072</v>
          </cell>
          <cell r="D1341">
            <v>20630900</v>
          </cell>
          <cell r="E1341">
            <v>85416010</v>
          </cell>
          <cell r="F1341">
            <v>85416010</v>
          </cell>
          <cell r="G1341">
            <v>85416010</v>
          </cell>
          <cell r="H1341" t="str">
            <v>CRISTAL PIEZELeTRICO MONTADO, DE FREQUENCIA 3.579545MHZ (REF. D01018-2 - COD. 20630900)</v>
          </cell>
        </row>
        <row r="1342">
          <cell r="B1342">
            <v>2110100091</v>
          </cell>
          <cell r="D1342">
            <v>20691518</v>
          </cell>
          <cell r="E1342">
            <v>85416010</v>
          </cell>
          <cell r="F1342">
            <v>85416010</v>
          </cell>
          <cell r="H1342" t="str">
            <v>CRISTAL PIEZELeTRICO MONTADO, DE FREQUeNCIA 32,768MHz - REF: 2110100091</v>
          </cell>
        </row>
        <row r="1343">
          <cell r="B1343">
            <v>2050901271</v>
          </cell>
          <cell r="D1343">
            <v>20660302</v>
          </cell>
          <cell r="E1343">
            <v>85423920</v>
          </cell>
          <cell r="F1343">
            <v>85423920</v>
          </cell>
          <cell r="G1343">
            <v>85423110</v>
          </cell>
          <cell r="H1343" t="str">
            <v>CIRCUITO INTEGRADO ELETRoNICO TIPO REGULADOR DE TENSAO, NAO MONTADO - 3.6V 30MA 24V (REF. A02111 - COD. 20660302)</v>
          </cell>
        </row>
        <row r="1344">
          <cell r="B1344">
            <v>2050900101</v>
          </cell>
          <cell r="D1344">
            <v>20660304</v>
          </cell>
          <cell r="E1344">
            <v>85423920</v>
          </cell>
          <cell r="F1344">
            <v>85423920</v>
          </cell>
          <cell r="H1344" t="str">
            <v>CIRCUITO INTEGRADO ELETRoNICO TIPO DETECTOR DE TENSAO, NAO MONTADO 2.7V 1UA 10V 2por cento N (REF. E02957 - COD. 20660304)</v>
          </cell>
        </row>
        <row r="1345">
          <cell r="B1345">
            <v>2050901261</v>
          </cell>
          <cell r="D1345">
            <v>20660305</v>
          </cell>
          <cell r="E1345">
            <v>85423920</v>
          </cell>
          <cell r="F1345">
            <v>85423920</v>
          </cell>
          <cell r="H1345" t="str">
            <v>CIRCUITO INTEGRADO ELETRoNICO TIPO DETECTOR DE TENSAO, NAO MONTADO 4.5V 1UA 10V 2por cento N (REF A02031-1 - COD 20660305)</v>
          </cell>
        </row>
        <row r="1346">
          <cell r="B1346">
            <v>2050900021</v>
          </cell>
          <cell r="D1346">
            <v>20660315</v>
          </cell>
          <cell r="E1346">
            <v>85423939</v>
          </cell>
          <cell r="F1346">
            <v>85423939</v>
          </cell>
          <cell r="H1346" t="str">
            <v>CIRCUITO INTEGRADO ELETRoNICO TIPO REGULADOR DE TENSAO, MONTADO, PRoPRIO PARA MONTAGEM EM SUPERFÍCIE SMD - 6.8~30V 5V 5por cento 100mA SOT-89 (REF. E02885 - COD. 20660315)</v>
          </cell>
        </row>
        <row r="1347">
          <cell r="B1347">
            <v>2050700041</v>
          </cell>
          <cell r="D1347">
            <v>20691602</v>
          </cell>
          <cell r="E1347">
            <v>85423920</v>
          </cell>
          <cell r="F1347">
            <v>85423920</v>
          </cell>
          <cell r="H1347" t="str">
            <v>CIRCUITO INTEGRADO ELETRoNICO TIPO REGULADOR DE TENSAO, NAO MONTADO 3V5V (REF. E01211 - CoD. 20691602)</v>
          </cell>
        </row>
        <row r="1348">
          <cell r="B1348">
            <v>2050900131</v>
          </cell>
          <cell r="D1348">
            <v>20691604</v>
          </cell>
          <cell r="E1348">
            <v>85423920</v>
          </cell>
          <cell r="F1348">
            <v>85423920</v>
          </cell>
          <cell r="H1348" t="str">
            <v>CIRCUITO INTEGRADO ELETRoNICO TIPO REGULADOR DE TENSAO, NAO MONTADO, 1.24/30V  SOT23-3 (REF. E01606 - COD. 20691604)</v>
          </cell>
        </row>
        <row r="1349">
          <cell r="B1349">
            <v>2050900071</v>
          </cell>
          <cell r="D1349">
            <v>20691605</v>
          </cell>
          <cell r="E1349">
            <v>85423920</v>
          </cell>
          <cell r="F1349">
            <v>85423920</v>
          </cell>
          <cell r="H1349" t="str">
            <v>CIRCUITO INTEGRADO ELETRoNICO TIPO REGULADOR DE TENSAO, NAO MONTADO, 2.5V-36V 0.2R SOT23-3  (REF. E02950 - COD. 20691605)</v>
          </cell>
        </row>
        <row r="1350">
          <cell r="B1350">
            <v>2050900041</v>
          </cell>
          <cell r="D1350">
            <v>20691606</v>
          </cell>
          <cell r="E1350">
            <v>85423920</v>
          </cell>
          <cell r="F1350">
            <v>85423920</v>
          </cell>
          <cell r="H1350" t="str">
            <v>CIRCUITO INTEGRADO ELETRoNICO TIPO REGULADOR DE TENSAO, NAO MONTADO LDO 5.5~24V 3.3V 3por cento 30mA SOT-89 (REF. E01176 - COD. 20691606)</v>
          </cell>
        </row>
        <row r="1351">
          <cell r="B1351">
            <v>2050901201</v>
          </cell>
          <cell r="D1351">
            <v>20633724</v>
          </cell>
          <cell r="E1351">
            <v>85423920</v>
          </cell>
          <cell r="F1351">
            <v>85423920</v>
          </cell>
          <cell r="G1351">
            <v>85423920</v>
          </cell>
          <cell r="H1351" t="str">
            <v>CIRCUITO INTEGRADO ELETRoNICO TIPO REGULADOR DE TENSAO, NAO MONTADO LDO 4~30V 100mA 2.5uA ±3por cento SOT89</v>
          </cell>
        </row>
        <row r="1352">
          <cell r="B1352">
            <v>2050901221</v>
          </cell>
          <cell r="D1352">
            <v>20660301</v>
          </cell>
          <cell r="E1352">
            <v>85423920</v>
          </cell>
          <cell r="F1352">
            <v>85423920</v>
          </cell>
          <cell r="H1352" t="str">
            <v>CIRCUITO INTEGRADO ELETRoNICO TIPO REGULADOR  DE TENSAO, NAO MONTADO (10V)LDO 5.36~36V 5.0V 2por cento 150mA SOT-89</v>
          </cell>
        </row>
        <row r="1353">
          <cell r="B1353">
            <v>2050901161</v>
          </cell>
          <cell r="D1353">
            <v>20691612</v>
          </cell>
          <cell r="E1353">
            <v>85423920</v>
          </cell>
          <cell r="F1353">
            <v>85423920</v>
          </cell>
          <cell r="H1353" t="str">
            <v>CIRCUITO INTEGRADO ELETRoNICO TIPO REGULADOR DE TENSAO, NAO MONTADO 5V</v>
          </cell>
        </row>
        <row r="1354">
          <cell r="B1354">
            <v>2050100011</v>
          </cell>
          <cell r="D1354">
            <v>20660303</v>
          </cell>
          <cell r="E1354">
            <v>85423120</v>
          </cell>
          <cell r="F1354">
            <v>85423120</v>
          </cell>
          <cell r="H1354" t="str">
            <v>CIRCUITO INTEGRADO ELETRoNICO CONTROLADOR, MONTADO, PRoPRIO PARA MONTAGEM EM SUPERFÍCIE SMD, MICROCONTROLADOR, MODELO DE PROCESSADOR RISC DE 16 BITS, FREQUeNCIA DE CLOCK 8 MHZ (REF. E01083-1 - COD. 20660303)</v>
          </cell>
        </row>
        <row r="1355">
          <cell r="B1355">
            <v>2050700051</v>
          </cell>
          <cell r="D1355">
            <v>20660311</v>
          </cell>
          <cell r="E1355">
            <v>85423939</v>
          </cell>
          <cell r="F1355">
            <v>85423939</v>
          </cell>
          <cell r="G1355">
            <v>85423120</v>
          </cell>
          <cell r="H1355" t="str">
            <v>CIRCUITO INTEGRADO ELETRoNICO TIPO COMUNICAcAO PADRAO RS-485, MONTADO, PRoPRIO PARA PARA MONTAGEM EM SUPERFÍCIE SMD (REF. E01203 - COD.2050700051)</v>
          </cell>
        </row>
        <row r="1356">
          <cell r="B1356">
            <v>2050900151</v>
          </cell>
          <cell r="D1356">
            <v>20660325</v>
          </cell>
          <cell r="E1356">
            <v>85423120</v>
          </cell>
          <cell r="F1356">
            <v>85423120</v>
          </cell>
          <cell r="H1356" t="str">
            <v>CIRCUITO INTEGRADO ELETRoNICO CONTROLADOR, MONTADO, PRoPRIO PARA MONTAGEM EM SUPERFÍCIE SMD, MICROCONTROLADOR, DE MODELO DE PROCESSADOR DE 8 BITS, DE FREQUeNCIA DE CLOCK 1.1MHz (REF. E01600 - COD. 20660325)</v>
          </cell>
        </row>
        <row r="1357">
          <cell r="B1357">
            <v>2050100041</v>
          </cell>
          <cell r="D1357">
            <v>20660324</v>
          </cell>
          <cell r="E1357">
            <v>85423120</v>
          </cell>
          <cell r="F1357">
            <v>85423120</v>
          </cell>
          <cell r="H1357" t="str">
            <v>CIRCUITO INTEGRADO ELETRoNICO CONTROLADOR, MONTADO, PRoPRIO PARA MONTAGEM EM SUPERFÍCIE SMD, MICROCONTROLADOR, DE MODELO DE PROCESSADOR RISC DE 16 BITS, DE FREQUeNCIA DE CLOCK 16MHZ - 1.8V~3.6V 128kBFLASH 8kB SRAM (REF. E02930 - COD. 20660324)</v>
          </cell>
        </row>
        <row r="1358">
          <cell r="B1358">
            <v>2050100051</v>
          </cell>
          <cell r="D1358">
            <v>20660323</v>
          </cell>
          <cell r="E1358">
            <v>85423120</v>
          </cell>
          <cell r="F1358">
            <v>85423120</v>
          </cell>
          <cell r="H1358" t="str">
            <v>CIRCUITO INTEGRADO ELETRoNICO CONTROLADOR, MONTADO, PRoPRIO PARA MONTAGEM EM SUPERFÍCIE SMD, MICROCONTROLADOR, DE MODELO DE PROCESSADOR RISC DE 16 BITS, DE FREQUeNCIA DE CLOCK 5,6 MHZ - 2.7V-3.6V 32KB Flash 1KB RAM LQFP48 (REF. E02952 - COD. 20660323)</v>
          </cell>
        </row>
        <row r="1359">
          <cell r="B1359">
            <v>2050100891</v>
          </cell>
          <cell r="D1359">
            <v>20660326</v>
          </cell>
          <cell r="E1359">
            <v>85423120</v>
          </cell>
          <cell r="F1359">
            <v>85423120</v>
          </cell>
          <cell r="H1359" t="str">
            <v>CIRCUITO INTEGRADO ELETRoNICO CONTROLADOR, MONTADO, PRoPRIO PARA MONTAGEM EM SUPERFÍCIE SMD, MICROCONTROLADOR, DE MODELO DE PROCESSADOR DE 32 BITS, DE FREQUeNCIA DE CLOCK 80 MHZ</v>
          </cell>
        </row>
        <row r="1360">
          <cell r="B1360">
            <v>2051700031</v>
          </cell>
          <cell r="D1360">
            <v>20660334</v>
          </cell>
          <cell r="E1360">
            <v>85423939</v>
          </cell>
          <cell r="F1360">
            <v>85423939</v>
          </cell>
          <cell r="G1360">
            <v>85423939</v>
          </cell>
          <cell r="H1360" t="str">
            <v>Circuito integrado eletronico tipo conversor analogico/digital de um canal isolado, montado, prorio para montagem em superfície SMD - SOIC-8 (2051700031)</v>
          </cell>
        </row>
        <row r="1361">
          <cell r="B1361">
            <v>2052100071</v>
          </cell>
          <cell r="D1361">
            <v>20660335</v>
          </cell>
          <cell r="E1361">
            <v>85423120</v>
          </cell>
          <cell r="F1361">
            <v>85423120</v>
          </cell>
          <cell r="H1361" t="str">
            <v>CIRCUITO INTEGRADO ELETRoNICO, MONTADO, PRoPRIO PARA MONTAGEM EM SUPERFÍCIE SMD, MICROCONTROLADOR, DE MODELO DE PROCESSADOR DE 8 BITS, DE FREQUeNCIA DE CLOCK 8MHZ</v>
          </cell>
        </row>
        <row r="1362">
          <cell r="B1362">
            <v>2050300021</v>
          </cell>
          <cell r="D1362">
            <v>20660300</v>
          </cell>
          <cell r="E1362">
            <v>85423221</v>
          </cell>
          <cell r="F1362">
            <v>85423221</v>
          </cell>
          <cell r="G1362">
            <v>85423221</v>
          </cell>
          <cell r="H1362" t="str">
            <v>CIRCUITO INTEGRADO ELETRoNICO DE MEMoRIA TIPO EEPROM, MONTADO, PRoPRIO PARA MONTAGEM EM SUPERFÍCIE SMD, DE CAPACIDADE DE MEMoRIA DE 16 Kbytes E TEMPO DE ACESSO 25nS (REF. E01336 - COD. 20660300)</v>
          </cell>
        </row>
        <row r="1363">
          <cell r="B1363">
            <v>2050300011</v>
          </cell>
          <cell r="D1363">
            <v>20660306</v>
          </cell>
          <cell r="E1363">
            <v>85423221</v>
          </cell>
          <cell r="F1363">
            <v>85423221</v>
          </cell>
          <cell r="H1363" t="str">
            <v>CIRCUITO INTEGRADO ELETRoNICO DE MEMoRIA FLASH, MONTADO, PRoPRIO PARA MONTAGEM EM SUPERFÍCIE SMD, DE CAPACIDADE DE MEMoRIA DE 32 Kbytes E DE TEMPO DE ACESSO 25nS (REF. E01365 - COD. 20660306)</v>
          </cell>
        </row>
        <row r="1364">
          <cell r="B1364">
            <v>2050100021</v>
          </cell>
          <cell r="D1364">
            <v>20660308</v>
          </cell>
          <cell r="E1364">
            <v>85423221</v>
          </cell>
          <cell r="F1364">
            <v>85423221</v>
          </cell>
          <cell r="H1364" t="str">
            <v>CIRCUITO INTEGRADO ELETRoNICO DE MEMoRIA FLASH, MONTADO, PRoPRIO PARA MONTAGEM EM SUPERFÍCIE SMD, DE CAPACIDADE DE MEMoRIA DE 32 Kbytes E DE TEMPO DE ACESSO 25nS (REF. E01396 - COD. 20660308)</v>
          </cell>
        </row>
        <row r="1365">
          <cell r="B1365">
            <v>2050500061</v>
          </cell>
          <cell r="D1365">
            <v>20660321</v>
          </cell>
          <cell r="E1365">
            <v>85423221</v>
          </cell>
          <cell r="F1365">
            <v>85423221</v>
          </cell>
          <cell r="H1365" t="str">
            <v>CIRCUITO INTEGRADO ELETRoNICO DE MEMoRIA TIPO EEPROM, MONTADO, PRoPRIO PARA MONTAGEM EM SUPERFÍCIE SMD, DE CAPACIDADE DE MEMoRIA 16KBytes (128 Kbits), DE TEMPO DE ACESSO DE 25nSS (REF. E01133 - CoD. 20660321)</v>
          </cell>
        </row>
        <row r="1366">
          <cell r="B1366">
            <v>2050500021</v>
          </cell>
          <cell r="D1366">
            <v>20660327</v>
          </cell>
          <cell r="E1366">
            <v>85423221</v>
          </cell>
          <cell r="F1366">
            <v>85423221</v>
          </cell>
          <cell r="G1366">
            <v>85423221</v>
          </cell>
          <cell r="H1366" t="str">
            <v>CIRCUITO INTEGRADO ELETRoNICO DE MEMoRIA TIPO FLASH DE CAPACIDADE DE MEMoRIA 16Mbytes, MONTADO, PRoPRIO PARA MONTAGEM EM SUPERFÍCIE SMD, DE TEMPO DE ACESSO 25nS - 3V,SPI,86MHz (REF. E01458 - CoD. 20660327)</v>
          </cell>
        </row>
        <row r="1367">
          <cell r="B1367">
            <v>2050500031</v>
          </cell>
          <cell r="D1367">
            <v>20680100</v>
          </cell>
          <cell r="E1367">
            <v>85423221</v>
          </cell>
          <cell r="F1367">
            <v>85423221</v>
          </cell>
          <cell r="H1367" t="str">
            <v>CIRCUITO INTEGRADO ELETRoNICO DE MEMoRIA TIPO EEPROM, MONTADO, PRoPRIO PARA MONTAGEM EM SUPERFÍCIE SMD, DE CAPACIDADE DE MEMoRIA 8 Kbytes (64 Kbits) E TEMPO DE ACESSO 10 nS( (REF. E02926)</v>
          </cell>
        </row>
        <row r="1368">
          <cell r="B1368">
            <v>2050500041</v>
          </cell>
          <cell r="D1368">
            <v>20680101</v>
          </cell>
          <cell r="E1368">
            <v>85423221</v>
          </cell>
          <cell r="F1368">
            <v>85423221</v>
          </cell>
          <cell r="G1368">
            <v>85423221</v>
          </cell>
          <cell r="H1368" t="str">
            <v>Circuito integrado eletronico de memoria tipo EEPROM 1.8 a 5.5V, com capacidade de memoria de 8Kbytes (64Kbits) e tempo de acesso de 25ns,  montado, proprio para montagem em superfície (SMD SO8) (2050500041)</v>
          </cell>
        </row>
        <row r="1369">
          <cell r="B1369">
            <v>2050100841</v>
          </cell>
          <cell r="D1369">
            <v>20660336</v>
          </cell>
          <cell r="E1369">
            <v>85423221</v>
          </cell>
          <cell r="F1369">
            <v>85423221</v>
          </cell>
          <cell r="H1369" t="str">
            <v>CIRCUITO INTEGRADO ELETRoNICO DE MEMoRIA FLASH, MONTADO, PRoPRIO PARA MONTAGEM EM SUPERFÍCIE SMD, DE CAPACIDADE DE MEMoRIA DE 64 Kbytes E DE TEMPO DE ACESSO 25nS</v>
          </cell>
        </row>
        <row r="1370">
          <cell r="B1370">
            <v>2050500451</v>
          </cell>
          <cell r="D1370">
            <v>20660332</v>
          </cell>
          <cell r="E1370">
            <v>85423221</v>
          </cell>
          <cell r="F1370">
            <v>85423221</v>
          </cell>
          <cell r="H1370" t="str">
            <v>CIRCUITO INTEGRADO ELETRoNICO DE MEMoRIA TIPO FLASH, DE CAPACIDADE DE MEMoRIA 0,5MBYTES (4MBITS), MONTADO, PRoPRIO PARA MONTAGEM EM SUPERFÍCIE SMD, DE TEMPO DE ACESSO 90nS - Nor Flash,4MB,3V,SPI,86MHz,SOP8</v>
          </cell>
        </row>
        <row r="1371">
          <cell r="B1371">
            <v>3090300320</v>
          </cell>
          <cell r="D1371">
            <v>40271000</v>
          </cell>
          <cell r="E1371">
            <v>85441100</v>
          </cell>
          <cell r="F1371">
            <v>85441100</v>
          </cell>
          <cell r="H1371" t="str">
            <v>Fio para bobinar, de cobre, condutor eletrico, isolado para uso eletrico, para alimentacAo Fase A (Amarelo) de medidor eletrico Ares 30/200</v>
          </cell>
        </row>
        <row r="1372">
          <cell r="B1372">
            <v>3090300340</v>
          </cell>
          <cell r="D1372">
            <v>40271001</v>
          </cell>
          <cell r="E1372">
            <v>85441100</v>
          </cell>
          <cell r="F1372">
            <v>85441100</v>
          </cell>
          <cell r="H1372" t="str">
            <v>Fio para bobinar, de cobre, condutor eletrico, isolado para uso eletrico, para alimentacAo Fase B (Verde) de medidor eletrico Ares 30/200</v>
          </cell>
        </row>
        <row r="1373">
          <cell r="B1373">
            <v>3090300330</v>
          </cell>
          <cell r="D1373">
            <v>40271002</v>
          </cell>
          <cell r="E1373">
            <v>85441100</v>
          </cell>
          <cell r="F1373">
            <v>85441100</v>
          </cell>
          <cell r="H1373" t="str">
            <v>Fio para bobinar, de cobre, condutor eletrico, isolado para uso eletrico, para alimentacAo Fase C (Vermelho) de medidor eletrico Ares 30/200</v>
          </cell>
        </row>
        <row r="1374">
          <cell r="B1374">
            <v>3090300350</v>
          </cell>
          <cell r="D1374">
            <v>40271003</v>
          </cell>
          <cell r="E1374">
            <v>85441100</v>
          </cell>
          <cell r="F1374">
            <v>85441100</v>
          </cell>
          <cell r="H1374" t="str">
            <v>Fio para bobinar, de cobre, condutor eletrico, isolado para uso eletrico, para alimentacAo Neutro (Preto) de medidor eletrico Ares 30/200</v>
          </cell>
        </row>
        <row r="1375">
          <cell r="B1375">
            <v>3090300030</v>
          </cell>
          <cell r="D1375">
            <v>40270200</v>
          </cell>
          <cell r="E1375">
            <v>85444200</v>
          </cell>
          <cell r="F1375">
            <v>85444200</v>
          </cell>
          <cell r="H1375" t="str">
            <v>CABO MUNIDO DE TERMINAL DE SAÍDA DE COMUNICAcAO PARA CONEXAO, DE TENSAO 40 V, PARA USO ELeTRICO - LATAO ESTANHADO, FIO VERMELHO, L=80MM, MONOFaSICO) (REF. 5.510.61-02-2 - COD. 40270200)</v>
          </cell>
        </row>
        <row r="1376">
          <cell r="B1376">
            <v>3090300010</v>
          </cell>
          <cell r="D1376">
            <v>40270400</v>
          </cell>
          <cell r="E1376">
            <v>85444200</v>
          </cell>
          <cell r="F1376">
            <v>85444200</v>
          </cell>
          <cell r="G1376">
            <v>85444200</v>
          </cell>
          <cell r="H1376" t="str">
            <v>Cabo condutor eletrico branco de comprimento de 100mm, para medidor polifasico para tensAo de 40 V, munido de peca de conexAo de latAo como terminal de saída de comunicacAo (3090300010)</v>
          </cell>
        </row>
        <row r="1377">
          <cell r="B1377">
            <v>3090300050</v>
          </cell>
          <cell r="D1377">
            <v>40270401</v>
          </cell>
          <cell r="E1377">
            <v>85444200</v>
          </cell>
          <cell r="F1377">
            <v>85444200</v>
          </cell>
          <cell r="H1377" t="str">
            <v>CABO MUNIDO DE TERMINAL DE SAÍDA DE COMUNICAcAO PARA CONEXAO, DE TENSAO 40 V, PARA USO ELeTRICO - (LATAO, FIO BRANCO, L=80MM, POLIFaSICO) (REF. 5.510.AP-02-5 - COD. 40270401)</v>
          </cell>
        </row>
        <row r="1378">
          <cell r="B1378">
            <v>3090300090</v>
          </cell>
          <cell r="D1378">
            <v>40270402</v>
          </cell>
          <cell r="E1378">
            <v>85444200</v>
          </cell>
          <cell r="F1378">
            <v>85444200</v>
          </cell>
          <cell r="H1378" t="str">
            <v>CABO MUNIDO DE TERMINAL DE SAÍDA DE COMUNICAcAO PARA CONEXAO, DE TENSAO 40 V, PARA USO ELeTRICO - (LATAO, FIO PRETO, L=100MM, POLIFaSICO) (REF. 5.510.AP-03-4 - COD. 40270402)</v>
          </cell>
        </row>
        <row r="1379">
          <cell r="B1379">
            <v>3090300020</v>
          </cell>
          <cell r="D1379">
            <v>40270404</v>
          </cell>
          <cell r="E1379">
            <v>85444200</v>
          </cell>
          <cell r="F1379">
            <v>85444200</v>
          </cell>
          <cell r="G1379">
            <v>85444200</v>
          </cell>
          <cell r="H1379" t="str">
            <v>CABO MUNIDO DE TERMINAL DE SAÍDA DE COMUNICAcAO PARA CONEXAO, DE TENSAO 40 V, PARA USO ELeTRICO -  (LATAO, FIO VERMELHO, L= 140MM, POLIFaSICO) (REF. 5.510.AP-05-2 - COD. 40270404)</v>
          </cell>
        </row>
        <row r="1380">
          <cell r="B1380">
            <v>3090300070</v>
          </cell>
          <cell r="D1380">
            <v>40270405</v>
          </cell>
          <cell r="E1380">
            <v>85444200</v>
          </cell>
          <cell r="F1380">
            <v>85444200</v>
          </cell>
          <cell r="H1380" t="str">
            <v>CABO MUNIDO DE TERMINAL DE SAÍDA DE COMUNICAcAO PARA CONEXAO, DE TENSAO 40 V, PARA USO ELeTRICO -  (LATAO, FIO VERMELHO, L= 80MM, POLIFaSICO) (REF. 5.510.AP-02-2 - COD. 40270405)</v>
          </cell>
        </row>
        <row r="1381">
          <cell r="B1381">
            <v>3090300100</v>
          </cell>
          <cell r="D1381">
            <v>40270406</v>
          </cell>
          <cell r="E1381">
            <v>85444200</v>
          </cell>
          <cell r="F1381">
            <v>85444200</v>
          </cell>
          <cell r="G1381">
            <v>85444200</v>
          </cell>
          <cell r="H1381" t="str">
            <v>Cabo condutor eletrico preto de comprimento de 120mm, para medidor polifasico para tensAo de 40 V, munido de peca de conexAo de latAo como terminal de saída de comunicacAo (3090300100)</v>
          </cell>
        </row>
        <row r="1382">
          <cell r="B1382">
            <v>3090300060</v>
          </cell>
          <cell r="D1382">
            <v>40270407</v>
          </cell>
          <cell r="E1382">
            <v>85444200</v>
          </cell>
          <cell r="F1382">
            <v>85444200</v>
          </cell>
          <cell r="G1382">
            <v>85444200</v>
          </cell>
          <cell r="H1382" t="str">
            <v>Cabo condutor eletrico branco de comprimento de 120mm, para medidor polifasico para tensAo de 40 V, munido de peca de conexAo de latAo como terminal de saída de comunicacAo (3090300060)</v>
          </cell>
        </row>
        <row r="1383">
          <cell r="B1383">
            <v>3090100060</v>
          </cell>
          <cell r="D1383">
            <v>40270500</v>
          </cell>
          <cell r="E1383">
            <v>85444200</v>
          </cell>
          <cell r="F1383">
            <v>85444200</v>
          </cell>
          <cell r="H1383" t="str">
            <v>CABO MUNIDO DE TERMINAL DE CORRENTE (FASE A) PARA CONEXAO, DE TENSAO 220V, PARA USO ELeTRICO - FIO VERMELHO E PRETO (100MM), LATAO (REF. 5.522.3BH03 - COD. 40270500)</v>
          </cell>
        </row>
        <row r="1384">
          <cell r="B1384">
            <v>3090100080</v>
          </cell>
          <cell r="D1384">
            <v>40270501</v>
          </cell>
          <cell r="E1384">
            <v>85444200</v>
          </cell>
          <cell r="F1384">
            <v>85444200</v>
          </cell>
          <cell r="H1384" t="str">
            <v>CABO MUNIDO DE TERMINAL DE CORRENTE (FASE B), PARA CONEXAO, DE TENSAO 220 V, PARA USO ELeTRICO - FIO VERMELHO E PRETO (100MM), LATAO (REF. 5.522.3BH04 - COD. 40270501)</v>
          </cell>
        </row>
        <row r="1385">
          <cell r="B1385">
            <v>3090100100</v>
          </cell>
          <cell r="D1385">
            <v>40270502</v>
          </cell>
          <cell r="E1385">
            <v>85444200</v>
          </cell>
          <cell r="F1385">
            <v>85444200</v>
          </cell>
          <cell r="H1385" t="str">
            <v>CABO MUNIDO DE TERMINAL DE CORRENTE (FASE C) PARA CONEXAO, DE TENSAO 220 V, PARA USO ELeTRICO - FIO VERMELHO E PRETO (100MM), LATAO (REF. 5.522.3BH05 - COD. 40270502)</v>
          </cell>
        </row>
        <row r="1386">
          <cell r="B1386">
            <v>3090100120</v>
          </cell>
          <cell r="D1386">
            <v>40270503</v>
          </cell>
          <cell r="E1386">
            <v>85444200</v>
          </cell>
          <cell r="F1386">
            <v>85444200</v>
          </cell>
          <cell r="G1386">
            <v>85444200</v>
          </cell>
          <cell r="H1386" t="str">
            <v>CABO MUNIDO DE TERMINAL DE CORRENTE (FASE A), PARA CONEXAO, DE TENSAO 220V, PARA USO ELeTRICO - FIO VERMELHO E PRETO (100MM), LATAO ESTANHADO (REF. 5.522.3BH10 - COD. 40270503)</v>
          </cell>
        </row>
        <row r="1387">
          <cell r="B1387">
            <v>3090100140</v>
          </cell>
          <cell r="D1387">
            <v>40270504</v>
          </cell>
          <cell r="E1387">
            <v>85444200</v>
          </cell>
          <cell r="F1387">
            <v>85444200</v>
          </cell>
          <cell r="G1387">
            <v>85444200</v>
          </cell>
          <cell r="H1387" t="str">
            <v>CABO MUNIDO DE TERMINAL DE CORRENTE (FASE B) PARA CONEXAO, DE TENSAO 220 V, PARA USO ELeTRICO - FIO VERMELHO E PRETO (100MM), LATAO ESTANHADO (REF. 5.522.3BH11 - COD. 40270504)</v>
          </cell>
        </row>
        <row r="1388">
          <cell r="B1388">
            <v>3090100160</v>
          </cell>
          <cell r="D1388">
            <v>40270505</v>
          </cell>
          <cell r="E1388">
            <v>85444200</v>
          </cell>
          <cell r="F1388">
            <v>85444200</v>
          </cell>
          <cell r="G1388">
            <v>85444200</v>
          </cell>
          <cell r="H1388" t="str">
            <v>CABO MUNIDO DE TERMINAL DE CORRENTE (FASE C) PARA CONEXAO, DE TENSAO 220 V, PARA USO ELeTRICO - FIO VERMELHO E PRETO (100MM), LATAO ESTANHADO (REF. 5.522.3BH12 - COD. 40270505)</v>
          </cell>
        </row>
        <row r="1389">
          <cell r="B1389">
            <v>3090300120</v>
          </cell>
          <cell r="D1389">
            <v>40270600</v>
          </cell>
          <cell r="E1389">
            <v>85444200</v>
          </cell>
          <cell r="F1389">
            <v>85444200</v>
          </cell>
          <cell r="H1389" t="str">
            <v>CABO MUNIDO DE TERMINAL (FASE A) PARA CONEXAO, DE TENSAO 40V, PARA USO ELeTRICO - AMARELO L=140MM LATAO (REF. 5.510.50-05-1 - COD. 40270600)</v>
          </cell>
        </row>
        <row r="1390">
          <cell r="B1390">
            <v>3090300130</v>
          </cell>
          <cell r="D1390">
            <v>40270601</v>
          </cell>
          <cell r="E1390">
            <v>85444200</v>
          </cell>
          <cell r="F1390">
            <v>85444200</v>
          </cell>
          <cell r="H1390" t="str">
            <v>CABO MUNIDO DE TERMINAL (FASE B) PARA CONEXAO, DE TENSAO 40V, PARA USO ELeTRICO - VERDE L=140MM LATAO (REF. 5.510.50-05-3 - COD. 40270601)</v>
          </cell>
        </row>
        <row r="1391">
          <cell r="B1391">
            <v>3090300140</v>
          </cell>
          <cell r="D1391">
            <v>40270602</v>
          </cell>
          <cell r="E1391">
            <v>85444200</v>
          </cell>
          <cell r="F1391">
            <v>85444200</v>
          </cell>
          <cell r="H1391" t="str">
            <v>CABO MUNIDO DE TERMINAL (NEUTRO) PARA CONEXAO, DE TENSAO 40V, PARA USO ELeTRICO - PRETO L=140MM LATAO (REF. 5.510.50-05-4 - COD. 40270602)</v>
          </cell>
        </row>
        <row r="1392">
          <cell r="B1392">
            <v>3090300150</v>
          </cell>
          <cell r="D1392">
            <v>40270603</v>
          </cell>
          <cell r="E1392">
            <v>85444200</v>
          </cell>
          <cell r="F1392">
            <v>85444200</v>
          </cell>
          <cell r="H1392" t="str">
            <v>CABO MUNIDO DE TERMINAL (FASE C) PARA CONEXAO, DE TENSAO 40V, PARA USO ELeTRICO - VERMELHO L=160MM LATAO (REF. 5.510.50-06-2 - COD. 40270603)</v>
          </cell>
        </row>
        <row r="1393">
          <cell r="B1393">
            <v>3090300170</v>
          </cell>
          <cell r="D1393">
            <v>40270604</v>
          </cell>
          <cell r="E1393">
            <v>85444200</v>
          </cell>
          <cell r="F1393">
            <v>85444200</v>
          </cell>
          <cell r="H1393" t="str">
            <v>CABO MUNIDO DE TERMINAL (FASE A) PARA CONEXAO, DE TENSAO 40V, PARA USO ELeTRICO - AMARELO L=140MM LATAO ESTANHADO (REF. 5.510.BR-05-1 - COD. 40270604)</v>
          </cell>
        </row>
        <row r="1394">
          <cell r="B1394">
            <v>3090300180</v>
          </cell>
          <cell r="D1394">
            <v>40270605</v>
          </cell>
          <cell r="E1394">
            <v>85444200</v>
          </cell>
          <cell r="F1394">
            <v>85444200</v>
          </cell>
          <cell r="H1394" t="str">
            <v>CABO MUNIDO DE TERMINAL (FASE B) PARA CONEXAO, DE TENSAO 40 V, PARA USO ELeTRICO - VERDE L=140MM LATAO ESTANHADO (REF. 5.510.BR-05-3 - COD. 40270605)</v>
          </cell>
        </row>
        <row r="1395">
          <cell r="B1395">
            <v>3090300190</v>
          </cell>
          <cell r="D1395">
            <v>40270606</v>
          </cell>
          <cell r="E1395">
            <v>85444200</v>
          </cell>
          <cell r="F1395">
            <v>85444200</v>
          </cell>
          <cell r="H1395" t="str">
            <v>CABO MUNIDO DE TERMINAL (NEUTRO) PARA CONEXAO, DE TENSAO 40V, PARA USO ELeTRICO -  PRETO L=140MM LATAO ESTANHADO (REF. 5.510.BR-05-4 - COD. 40270606)</v>
          </cell>
        </row>
        <row r="1396">
          <cell r="B1396">
            <v>3090300200</v>
          </cell>
          <cell r="D1396">
            <v>40270607</v>
          </cell>
          <cell r="E1396">
            <v>85444200</v>
          </cell>
          <cell r="F1396">
            <v>85444200</v>
          </cell>
          <cell r="H1396" t="str">
            <v>CABO MUNIDO DE TERMINAL (FASE C) PARA CONEXAO, DE TENSAO 40V, PARA USO ELeTRICO - VERMELHO L=160MM LATAO ESTANHADO (REF. 5.510.BR-06-2 - COD. 40270607)</v>
          </cell>
        </row>
        <row r="1397">
          <cell r="B1397">
            <v>3090300160</v>
          </cell>
          <cell r="D1397">
            <v>40270408</v>
          </cell>
          <cell r="E1397">
            <v>85444200</v>
          </cell>
          <cell r="F1397">
            <v>85444200</v>
          </cell>
          <cell r="H1397" t="str">
            <v>CABO MUNIDO DE TERMINAL PARA CONEXAO DE SAÍDA DE COMUNICAcAO, DE TENSAO 40 V, PARA USO ELeTRICO (LATAO, FIO PRETO, L= 80MM, POLIFaSICO) (REF. 5.510.AP-02-4 - CoD. 40270408)</v>
          </cell>
        </row>
        <row r="1398">
          <cell r="B1398">
            <v>3040700910</v>
          </cell>
          <cell r="D1398">
            <v>20580601</v>
          </cell>
          <cell r="E1398">
            <v>85444200</v>
          </cell>
          <cell r="F1398">
            <v>85444200</v>
          </cell>
          <cell r="H1398" t="str">
            <v>Cabo Munido de Terminal de Corrente Reduzido para conexAo, de TensAo 40V, para uso eletrico - Medidor Poli - Aco Zincado Branco</v>
          </cell>
        </row>
        <row r="1399">
          <cell r="B1399">
            <v>3090305670</v>
          </cell>
          <cell r="D1399">
            <v>20661925</v>
          </cell>
          <cell r="E1399">
            <v>85444200</v>
          </cell>
          <cell r="F1399">
            <v>85444200</v>
          </cell>
          <cell r="G1399">
            <v>85444200</v>
          </cell>
          <cell r="H1399" t="str">
            <v>Cabo condutor eletrico de alimentacAo para  para tensAo de 220V,munido de pecas de conexAo (3090305670)</v>
          </cell>
        </row>
        <row r="1400">
          <cell r="B1400">
            <v>2140100781</v>
          </cell>
          <cell r="D1400">
            <v>20692502</v>
          </cell>
          <cell r="E1400">
            <v>85444200</v>
          </cell>
          <cell r="F1400">
            <v>85444200</v>
          </cell>
          <cell r="H1400" t="str">
            <v>CABO DE EXTENSAO MUNIDO DE PEcA DE CONEXAO PARA ANTENA DE RF, DE TENSAO 220V, PARA USO ELeTRICO</v>
          </cell>
        </row>
        <row r="1401">
          <cell r="B1401">
            <v>3090305400</v>
          </cell>
          <cell r="D1401">
            <v>40272000</v>
          </cell>
          <cell r="E1401">
            <v>85444200</v>
          </cell>
          <cell r="F1401">
            <v>85444200</v>
          </cell>
          <cell r="H1401" t="str">
            <v>Cabo munido de Terminal de ComunicacAo para conexAo, de tensAo 40V, para uso eletrico - LatAo Estanhado - Vermelho - L=60mm</v>
          </cell>
        </row>
        <row r="1402">
          <cell r="B1402">
            <v>3090303450</v>
          </cell>
          <cell r="D1402">
            <v>40272001</v>
          </cell>
          <cell r="E1402">
            <v>85444200</v>
          </cell>
          <cell r="F1402">
            <v>85444200</v>
          </cell>
          <cell r="H1402" t="str">
            <v>Cabo munido de Terminal de ComunicacAo para conexAo, de tensAo 40V, para uso eletrico - LatAo Estanhado - Branco - L=100mm</v>
          </cell>
        </row>
        <row r="1403">
          <cell r="B1403">
            <v>3090305410</v>
          </cell>
          <cell r="D1403">
            <v>40272002</v>
          </cell>
          <cell r="E1403">
            <v>85444200</v>
          </cell>
          <cell r="F1403">
            <v>85444200</v>
          </cell>
          <cell r="H1403" t="str">
            <v>Cabo munido de Terminal de ComunicacAo para conexAo, de tensAo 40V, para uso eletrico - LatAo Estanhado - Preto - L=60mm</v>
          </cell>
        </row>
        <row r="1404">
          <cell r="B1404">
            <v>3090303670</v>
          </cell>
          <cell r="D1404">
            <v>40272200</v>
          </cell>
          <cell r="E1404">
            <v>85444200</v>
          </cell>
          <cell r="F1404">
            <v>85444200</v>
          </cell>
          <cell r="H1404" t="str">
            <v>Cabo munido de Terminal de ComunicacAo para conexAo, de tensAo 40V, para uso eletrico - LatAo Estanhado - Vermelho - L=120mm</v>
          </cell>
        </row>
        <row r="1405">
          <cell r="B1405">
            <v>3090303700</v>
          </cell>
          <cell r="D1405">
            <v>40272201</v>
          </cell>
          <cell r="E1405">
            <v>85444200</v>
          </cell>
          <cell r="F1405">
            <v>85444200</v>
          </cell>
          <cell r="H1405" t="str">
            <v>Cabo munido de Terminal de ComunicacAo para conexAo, de tensAo 40V, para uso eletrico - LatAo Estanhado - Preto - L=120mm</v>
          </cell>
        </row>
        <row r="1406">
          <cell r="B1406">
            <v>3090303710</v>
          </cell>
          <cell r="D1406">
            <v>40272202</v>
          </cell>
          <cell r="E1406">
            <v>85444200</v>
          </cell>
          <cell r="F1406">
            <v>85444200</v>
          </cell>
          <cell r="H1406" t="str">
            <v>Cabo munido de Terminal de ComunicacAo para conexAo, de tensAo 40V, para uso eletrico - LatAo Estanhado - Branco - L=120mm</v>
          </cell>
        </row>
        <row r="1407">
          <cell r="B1407">
            <v>3040500080</v>
          </cell>
          <cell r="D1407">
            <v>40272300</v>
          </cell>
          <cell r="E1407">
            <v>85444200</v>
          </cell>
          <cell r="F1407">
            <v>85444200</v>
          </cell>
          <cell r="G1407">
            <v>85444200</v>
          </cell>
          <cell r="H1407" t="str">
            <v>Cabo condutor eletrico  para tensAo de 40 V, munido de pecas de conexAo rígida, Medidor High End (3040500080)</v>
          </cell>
        </row>
        <row r="1408">
          <cell r="B1408">
            <v>3040500090</v>
          </cell>
          <cell r="D1408">
            <v>40272301</v>
          </cell>
          <cell r="E1408">
            <v>85444200</v>
          </cell>
          <cell r="F1408">
            <v>85444200</v>
          </cell>
          <cell r="H1408" t="str">
            <v>Cabo munido de Terminal de ComunicacAo Rígido para conexAo, de tensAo 40V, para uso eletrico - Medidor High End</v>
          </cell>
        </row>
        <row r="1409">
          <cell r="B1409">
            <v>3090300110</v>
          </cell>
          <cell r="D1409">
            <v>20692503</v>
          </cell>
          <cell r="E1409">
            <v>85444200</v>
          </cell>
          <cell r="F1409">
            <v>85444200</v>
          </cell>
          <cell r="G1409">
            <v>85444200</v>
          </cell>
          <cell r="H1409" t="str">
            <v>Cabo condutor eletrico para alimentacAo de circuito de comunicacAo para  medidor de 220 V, munido de pecas de conexAo (3090300110)</v>
          </cell>
        </row>
        <row r="1410">
          <cell r="B1410">
            <v>3040102090</v>
          </cell>
          <cell r="D1410">
            <v>40273101</v>
          </cell>
          <cell r="E1410">
            <v>85444200</v>
          </cell>
          <cell r="F1410">
            <v>85444200</v>
          </cell>
          <cell r="H1410" t="str">
            <v>Cabo munido de Terminal do Neutro 30N.m para conexAo, de tensAo 40V, para uso eletrico - LatAo Estanhado - Medidor Ares 30/200 - Rebitado</v>
          </cell>
        </row>
        <row r="1411">
          <cell r="B1411">
            <v>3040900010</v>
          </cell>
          <cell r="D1411">
            <v>20290802</v>
          </cell>
          <cell r="E1411">
            <v>90289010</v>
          </cell>
          <cell r="F1411">
            <v>90289010</v>
          </cell>
          <cell r="G1411">
            <v>90289010</v>
          </cell>
          <cell r="H1411" t="str">
            <v>CONECTOR METaLICO PARA PORTA DE COMUNICAcAO oPTICA DO MEDIDOR ELeTRICO POLIFaSICO ARES 30/200, parte para montagem de contadores de eletricidade (REF. 8.160.IHDC00-00-1-7 - CoD. 3040900010)</v>
          </cell>
        </row>
        <row r="1412">
          <cell r="B1412">
            <v>3022700019</v>
          </cell>
          <cell r="D1412">
            <v>20471901</v>
          </cell>
          <cell r="E1412">
            <v>90289010</v>
          </cell>
          <cell r="F1412">
            <v>90289010</v>
          </cell>
          <cell r="H1412" t="str">
            <v>VISOR DA PORTA DE COMUNICAcAO oPTICA DO MEDIDOR ELeTRICO POLIFaSICO ARES 30/200, parte para montagem de contadores de eletricidade (REF. 8.040.IHDC01-00-11 - CoD. 20471901)</v>
          </cell>
        </row>
        <row r="1413">
          <cell r="B1413">
            <v>3020300019</v>
          </cell>
          <cell r="D1413">
            <v>20497900</v>
          </cell>
          <cell r="E1413">
            <v>90289010</v>
          </cell>
          <cell r="F1413">
            <v>90289010</v>
          </cell>
          <cell r="H1413" t="str">
            <v>TAMPA PRINCIPAL PARA MEDIDOR ELeTRICO POLIFaSICO ARES 8023 15, parte para montagem de contadores de eletricidade (REF. 8.300.3CS00-00-11 - CoD. 20497900)</v>
          </cell>
        </row>
        <row r="1414">
          <cell r="B1414">
            <v>3010700020</v>
          </cell>
          <cell r="D1414">
            <v>40119813</v>
          </cell>
          <cell r="E1414">
            <v>90289010</v>
          </cell>
          <cell r="F1414">
            <v>90289010</v>
          </cell>
          <cell r="H1414" t="str">
            <v>CONJUNTO REGISTRADOR PARA MEDIDORES ELeTRICOS 7+040:1, parte para montagem de contadores de eletricidade (REF.JDW-A11-0-120-COD.40119813)</v>
          </cell>
        </row>
        <row r="1415">
          <cell r="B1415">
            <v>3010700030</v>
          </cell>
          <cell r="D1415">
            <v>40119814</v>
          </cell>
          <cell r="E1415">
            <v>90289010</v>
          </cell>
          <cell r="F1415">
            <v>90289010</v>
          </cell>
          <cell r="H1415" t="str">
            <v>CONJUNTO REGISTRADOR PARA MEDIDOR DE ENERGIA ELeTRICA MONOFaSICO 7+0 40:1 COM MOTOR LATERAL , parte para montagem de contadores de eletricidade(REF. JDW-D01-2-120 - COD. 40119814)</v>
          </cell>
        </row>
        <row r="1416">
          <cell r="B1416">
            <v>3010700040</v>
          </cell>
          <cell r="D1416">
            <v>40119815</v>
          </cell>
          <cell r="E1416">
            <v>90289010</v>
          </cell>
          <cell r="F1416">
            <v>90289010</v>
          </cell>
          <cell r="H1416" t="str">
            <v>CONJUNTO REGISTRADOR PARA MEDIDOR DE ENERGIA ELeTRICA POLIFaSICO 7+0 40:1 COM MOTOR LATERAL, parte para montagem de contadores de eletricidade (REF. JDW-D02-0-120 - COD. 40119815)</v>
          </cell>
        </row>
        <row r="1417">
          <cell r="B1417">
            <v>5050300050</v>
          </cell>
          <cell r="D1417">
            <v>40271700</v>
          </cell>
          <cell r="E1417">
            <v>90289010</v>
          </cell>
          <cell r="F1417">
            <v>90289010</v>
          </cell>
          <cell r="H1417" t="str">
            <v>PLACA DE IDENTIFICAcAO DE CLIENTE, SEM IMPRESSAO, PARA MEDIDOR ELeTRICO POLIFaSICO ARES 8023, parte para montagem de contadores de eletricidade (REF. 5.310.3CS00-00-1C - CoD. 40271700)</v>
          </cell>
        </row>
        <row r="1418">
          <cell r="B1418">
            <v>3010700010</v>
          </cell>
          <cell r="D1418">
            <v>40119812</v>
          </cell>
          <cell r="E1418">
            <v>90289010</v>
          </cell>
          <cell r="F1418">
            <v>90289010</v>
          </cell>
          <cell r="H1418" t="str">
            <v>CONJUNTO REGISTRADOR PARA MEDIDOR DE ENERGIA ELeTRICA MONOFaSICO 7+0 40:1 COM MOTOR LATERAL, parte para montagem de contadores de eletricidade (REF. JDW-A08-2-120 - COD. 40119812)</v>
          </cell>
        </row>
        <row r="1419">
          <cell r="B1419">
            <v>3020300149</v>
          </cell>
          <cell r="D1419">
            <v>20457200</v>
          </cell>
          <cell r="E1419">
            <v>90289010</v>
          </cell>
          <cell r="F1419">
            <v>90289010</v>
          </cell>
          <cell r="H1419" t="str">
            <v>Tampa principal para medidor eletrico Monofasico High End, parte para montagem de contadores de eletricidade</v>
          </cell>
        </row>
        <row r="1420">
          <cell r="B1420">
            <v>3023300309</v>
          </cell>
          <cell r="D1420">
            <v>20457801</v>
          </cell>
          <cell r="E1420">
            <v>90289010</v>
          </cell>
          <cell r="F1420">
            <v>90289010</v>
          </cell>
          <cell r="H1420" t="str">
            <v>Suporte para LCD para medidor eletrico monofasico High End, parte para montagem de contadores de eletricidade</v>
          </cell>
        </row>
        <row r="1421">
          <cell r="B1421">
            <v>3020300409</v>
          </cell>
          <cell r="D1421">
            <v>20458200</v>
          </cell>
          <cell r="E1421">
            <v>90289010</v>
          </cell>
          <cell r="F1421">
            <v>90289010</v>
          </cell>
          <cell r="H1421" t="str">
            <v>Tampa principal para medidor eletrico trifasico High End, parte para montagem de contadores de eletricidade</v>
          </cell>
        </row>
        <row r="1422">
          <cell r="B1422">
            <v>3020302779</v>
          </cell>
          <cell r="D1422">
            <v>20458201</v>
          </cell>
          <cell r="E1422">
            <v>90289010</v>
          </cell>
          <cell r="F1422">
            <v>90289010</v>
          </cell>
          <cell r="H1422" t="str">
            <v>Tampa principal para medidor eletrico bifasico High End, parte para montagem de contadores de eletricidade</v>
          </cell>
        </row>
        <row r="1423">
          <cell r="B1423">
            <v>3021300999</v>
          </cell>
          <cell r="D1423">
            <v>20458601</v>
          </cell>
          <cell r="E1423">
            <v>90289010</v>
          </cell>
          <cell r="F1423">
            <v>90289010</v>
          </cell>
          <cell r="H1423" t="str">
            <v>Bloco superior SU para medidor eletrico Polifasico High End, parte para montagem de contadores de eletricidade</v>
          </cell>
        </row>
        <row r="1424">
          <cell r="B1424">
            <v>3021300909</v>
          </cell>
          <cell r="D1424">
            <v>20464000</v>
          </cell>
          <cell r="E1424">
            <v>90289010</v>
          </cell>
          <cell r="F1424">
            <v>90289010</v>
          </cell>
          <cell r="H1424" t="str">
            <v>Bloco superior para medidor de energia eletrica polifasico Smart Meter, parte para montagem de contadores de eletricidade</v>
          </cell>
        </row>
        <row r="1425">
          <cell r="B1425">
            <v>3021500809</v>
          </cell>
          <cell r="D1425">
            <v>20464100</v>
          </cell>
          <cell r="E1425">
            <v>90289010</v>
          </cell>
          <cell r="F1425">
            <v>90289010</v>
          </cell>
          <cell r="H1425" t="str">
            <v>Bloco inferior para medidor de energia eletrica polifasica Smart Meter, parte para montagem de contadores de eletricidade</v>
          </cell>
        </row>
        <row r="1426">
          <cell r="B1426">
            <v>3020102209</v>
          </cell>
          <cell r="D1426">
            <v>20464200</v>
          </cell>
          <cell r="E1426">
            <v>90289010</v>
          </cell>
          <cell r="F1426">
            <v>90289010</v>
          </cell>
          <cell r="H1426" t="str">
            <v>Base para medidor de energia eletrica trifasico Smart Meter, parte para montagem de contadores de eletricidade</v>
          </cell>
        </row>
        <row r="1427">
          <cell r="B1427">
            <v>3020102219</v>
          </cell>
          <cell r="D1427">
            <v>20464201</v>
          </cell>
          <cell r="E1427">
            <v>90289010</v>
          </cell>
          <cell r="F1427">
            <v>90289010</v>
          </cell>
          <cell r="H1427" t="str">
            <v>Base para medidor de energia eletrica bifasico Smart Meter, parte para montagem de contadores de eletricidade</v>
          </cell>
        </row>
        <row r="1428">
          <cell r="B1428">
            <v>3022100409</v>
          </cell>
          <cell r="D1428">
            <v>20464300</v>
          </cell>
          <cell r="E1428">
            <v>90289010</v>
          </cell>
          <cell r="F1428">
            <v>90289010</v>
          </cell>
          <cell r="H1428" t="str">
            <v>Visor do LCD para medidor de energia eletrica polifasico Smart Meter, parte para montagem de contadores de eletricidade</v>
          </cell>
        </row>
        <row r="1429">
          <cell r="B1429">
            <v>3021701079</v>
          </cell>
          <cell r="D1429">
            <v>20464400</v>
          </cell>
          <cell r="E1429">
            <v>90289010</v>
          </cell>
          <cell r="F1429">
            <v>90289010</v>
          </cell>
          <cell r="H1429" t="str">
            <v>Tampa superior para medidor de energia eletrica polifasica Smart Meter, parte para montagem de contadores de eletricidade</v>
          </cell>
        </row>
        <row r="1430">
          <cell r="B1430">
            <v>3021701319</v>
          </cell>
          <cell r="D1430">
            <v>20464500</v>
          </cell>
          <cell r="E1430">
            <v>90289010</v>
          </cell>
          <cell r="F1430">
            <v>90289010</v>
          </cell>
          <cell r="H1430" t="str">
            <v>Tampa inferior para medidor de energia eletrica polifasico Smart Meter, parte para montagem de contadores de eletricidade</v>
          </cell>
        </row>
        <row r="1431">
          <cell r="B1431">
            <v>3020903019</v>
          </cell>
          <cell r="D1431">
            <v>20464700</v>
          </cell>
          <cell r="E1431">
            <v>90289010</v>
          </cell>
          <cell r="F1431">
            <v>90289010</v>
          </cell>
          <cell r="H1431" t="str">
            <v>Tampa do bloco para medidor de energia eletrica polifasico Smart Meter, parte para montagem de contadores de eletricidade</v>
          </cell>
        </row>
        <row r="1432">
          <cell r="B1432">
            <v>3022300519</v>
          </cell>
          <cell r="D1432">
            <v>20467000</v>
          </cell>
          <cell r="E1432">
            <v>90289010</v>
          </cell>
          <cell r="F1432">
            <v>90289010</v>
          </cell>
          <cell r="H1432" t="str">
            <v>Tampa de modulo para medidor de energia eletrica Smart Meter, parte para montagem de contadores de eletricidade</v>
          </cell>
        </row>
        <row r="1433">
          <cell r="B1433">
            <v>3022500339</v>
          </cell>
          <cell r="D1433">
            <v>20467100</v>
          </cell>
          <cell r="E1433">
            <v>90289010</v>
          </cell>
          <cell r="F1433">
            <v>90289010</v>
          </cell>
          <cell r="H1433" t="str">
            <v>Base de modulo para medidor de eletrica Smart Meter, parte para montagem de contadores de eletricidade</v>
          </cell>
        </row>
        <row r="1434">
          <cell r="B1434">
            <v>3022700279</v>
          </cell>
          <cell r="D1434">
            <v>20467200</v>
          </cell>
          <cell r="E1434">
            <v>90289010</v>
          </cell>
          <cell r="F1434">
            <v>90289010</v>
          </cell>
          <cell r="H1434" t="str">
            <v>Visor do LED para medidor de energia eletrica Smart Meter, parte para montagem de contadores de eletricidade</v>
          </cell>
        </row>
        <row r="1435">
          <cell r="B1435">
            <v>3024100779</v>
          </cell>
          <cell r="D1435">
            <v>20467300</v>
          </cell>
          <cell r="E1435">
            <v>90289010</v>
          </cell>
          <cell r="F1435">
            <v>90289010</v>
          </cell>
          <cell r="H1435" t="str">
            <v>BotAo de demanda para medidor de energia eletrica Smart Meter, parte para montagem de contadores de eletricidade</v>
          </cell>
        </row>
        <row r="1436">
          <cell r="B1436">
            <v>3024100759</v>
          </cell>
          <cell r="D1436">
            <v>20467400</v>
          </cell>
          <cell r="E1436">
            <v>90289010</v>
          </cell>
          <cell r="F1436">
            <v>90289010</v>
          </cell>
          <cell r="H1436" t="str">
            <v>BotAo mostrador para medidor de energia eletrica Smart Meter, parte para montagem de contadores de eletricidade</v>
          </cell>
        </row>
        <row r="1437">
          <cell r="B1437">
            <v>3021500609</v>
          </cell>
          <cell r="D1437">
            <v>20469001</v>
          </cell>
          <cell r="E1437">
            <v>90289010</v>
          </cell>
          <cell r="F1437">
            <v>90289010</v>
          </cell>
          <cell r="H1437" t="str">
            <v>Bloco de terminais (parte superior) para medidor de energia eletrica monofasico Smart Meter, parte para montagem de contadores de eletricidade</v>
          </cell>
        </row>
        <row r="1438">
          <cell r="B1438">
            <v>3021300479</v>
          </cell>
          <cell r="D1438">
            <v>20469100</v>
          </cell>
          <cell r="E1438">
            <v>90289010</v>
          </cell>
          <cell r="F1438">
            <v>90289010</v>
          </cell>
          <cell r="H1438" t="str">
            <v>Bloco de terminais (parte inferior) para medidor de energia eletrica monofasico Smart Meter, parte para montagem de contadores de eletricidade</v>
          </cell>
        </row>
        <row r="1439">
          <cell r="B1439">
            <v>3020101899</v>
          </cell>
          <cell r="D1439">
            <v>20469200</v>
          </cell>
          <cell r="E1439">
            <v>90289010</v>
          </cell>
          <cell r="F1439">
            <v>90289010</v>
          </cell>
          <cell r="H1439" t="str">
            <v>Base para medidor de energia eletrica monofasico Smart Meter, parte para montagem de contadores de eletricidade</v>
          </cell>
        </row>
        <row r="1440">
          <cell r="B1440">
            <v>3022100039</v>
          </cell>
          <cell r="D1440">
            <v>20469300</v>
          </cell>
          <cell r="E1440">
            <v>90289010</v>
          </cell>
          <cell r="F1440">
            <v>90289010</v>
          </cell>
          <cell r="H1440" t="str">
            <v>Visor do LCD para medidor de energia eletrica monofasico Smart Meter, parte para montagem de contadores de eletricidade</v>
          </cell>
        </row>
        <row r="1441">
          <cell r="B1441">
            <v>3021701289</v>
          </cell>
          <cell r="D1441">
            <v>20469400</v>
          </cell>
          <cell r="E1441">
            <v>90289010</v>
          </cell>
          <cell r="F1441">
            <v>90289010</v>
          </cell>
          <cell r="H1441" t="str">
            <v>Tampa superior para medidor de energia eletrica monofasica Smart Meter, parte para montagem de contadores de eletricidade</v>
          </cell>
        </row>
        <row r="1442">
          <cell r="B1442">
            <v>3021701309</v>
          </cell>
          <cell r="D1442">
            <v>20469500</v>
          </cell>
          <cell r="E1442">
            <v>90289010</v>
          </cell>
          <cell r="F1442">
            <v>90289010</v>
          </cell>
          <cell r="H1442" t="str">
            <v>Tampa inferior para medidor de energia eletrica monofasico Smart Meter, parte para montagem de contadores de eletricidade</v>
          </cell>
        </row>
        <row r="1443">
          <cell r="B1443">
            <v>3020903229</v>
          </cell>
          <cell r="D1443">
            <v>20469700</v>
          </cell>
          <cell r="E1443">
            <v>90289010</v>
          </cell>
          <cell r="F1443">
            <v>90289010</v>
          </cell>
          <cell r="H1443" t="str">
            <v>Tampa do bloco para medidor de energia eletrica monofasico Smart Meter, parte para montagem de contadores de eletricidade</v>
          </cell>
        </row>
        <row r="1444">
          <cell r="B1444">
            <v>3020902879</v>
          </cell>
          <cell r="D1444">
            <v>20471704</v>
          </cell>
          <cell r="E1444">
            <v>90289010</v>
          </cell>
          <cell r="F1444">
            <v>90289010</v>
          </cell>
          <cell r="H1444" t="str">
            <v>TAMPA DO BLOCO DE TERMINAIS DE CORRENTE PARA MEDIDOR ELeTRICO POLIFaSICO, parte para montagem de contadores de eletricidade</v>
          </cell>
        </row>
        <row r="1445">
          <cell r="B1445">
            <v>3020303329</v>
          </cell>
          <cell r="D1445">
            <v>20471716</v>
          </cell>
          <cell r="E1445">
            <v>90289010</v>
          </cell>
          <cell r="F1445">
            <v>90289010</v>
          </cell>
          <cell r="H1445" t="str">
            <v>Tampa do bloco modulo de comunicacAo, parte para montagem de contadores de eletricidade</v>
          </cell>
        </row>
        <row r="1446">
          <cell r="B1446">
            <v>3020300169</v>
          </cell>
          <cell r="D1446">
            <v>40256000</v>
          </cell>
          <cell r="E1446">
            <v>90289010</v>
          </cell>
          <cell r="F1446">
            <v>90289010</v>
          </cell>
          <cell r="H1446" t="str">
            <v>Placa de identificacAo para medidor de energia eletrica monofasico Smart Meter, parte para montagem de contadores de eletricidade</v>
          </cell>
        </row>
        <row r="1447">
          <cell r="B1447">
            <v>3020302839</v>
          </cell>
          <cell r="D1447">
            <v>40256100</v>
          </cell>
          <cell r="E1447">
            <v>90289010</v>
          </cell>
          <cell r="F1447">
            <v>90289010</v>
          </cell>
          <cell r="H1447" t="str">
            <v>Placa de identificacAo para medidor de energia eletrica trifasico Smart Meter, parte para montagem de contadores de eletricidade</v>
          </cell>
        </row>
        <row r="1448">
          <cell r="B1448">
            <v>3020302849</v>
          </cell>
          <cell r="D1448">
            <v>40256200</v>
          </cell>
          <cell r="E1448">
            <v>90289010</v>
          </cell>
          <cell r="F1448">
            <v>90289010</v>
          </cell>
          <cell r="H1448" t="str">
            <v>Placa de identificacAo para medidor de energia eletrica bifasico Smart Meter, parte para montagem de contadores de eletricidade</v>
          </cell>
        </row>
        <row r="1449">
          <cell r="B1449">
            <v>5050300060</v>
          </cell>
          <cell r="D1449">
            <v>40271100</v>
          </cell>
          <cell r="E1449">
            <v>90289010</v>
          </cell>
          <cell r="F1449">
            <v>90289010</v>
          </cell>
          <cell r="H1449" t="str">
            <v>PLACA DE IDENTIFICAcAO DE CLIENTE, SEM IMPRESSAO, PARA MEDIDOR ELeTRICO POLIFaSICO ARES 8023, parte para montagem de contadores de eletricidade</v>
          </cell>
        </row>
        <row r="1450">
          <cell r="B1450">
            <v>5050100330</v>
          </cell>
          <cell r="D1450">
            <v>40271200</v>
          </cell>
          <cell r="E1450">
            <v>90289010</v>
          </cell>
          <cell r="F1450">
            <v>90289010</v>
          </cell>
          <cell r="H1450" t="str">
            <v>Tampa Principal para Medidor eletrico Ares 30/200, parte para montagem de contadores de eletricidade</v>
          </cell>
        </row>
        <row r="1451">
          <cell r="B1451">
            <v>5050600380</v>
          </cell>
          <cell r="D1451">
            <v>40271300</v>
          </cell>
          <cell r="E1451">
            <v>90289010</v>
          </cell>
          <cell r="F1451">
            <v>90289010</v>
          </cell>
          <cell r="H1451" t="str">
            <v>Base para Medidor eletrico Ares 30/200, parte para montagem de contadores de eletricidade</v>
          </cell>
        </row>
        <row r="1452">
          <cell r="B1452">
            <v>3020901099</v>
          </cell>
          <cell r="D1452">
            <v>40271701</v>
          </cell>
          <cell r="E1452">
            <v>90289010</v>
          </cell>
          <cell r="F1452">
            <v>90289010</v>
          </cell>
          <cell r="H1452" t="str">
            <v>Subconjunto Placa de identificacAo modulo de comunicacAo, parte para montagem de contadores de eletricidade</v>
          </cell>
        </row>
        <row r="1453">
          <cell r="B1453">
            <v>3021900609</v>
          </cell>
          <cell r="D1453">
            <v>40271705</v>
          </cell>
          <cell r="E1453">
            <v>90289010</v>
          </cell>
          <cell r="F1453">
            <v>90289010</v>
          </cell>
          <cell r="H1453" t="str">
            <v>TAMPA INTERNA DO MEDIDOR ELeTRICO POLIFaSICO ARES 8023, parte para montagem de contadores de eletricidade</v>
          </cell>
        </row>
        <row r="1454">
          <cell r="B1454" t="str">
            <v>HXB6021.R210</v>
          </cell>
          <cell r="D1454">
            <v>40500400</v>
          </cell>
          <cell r="E1454">
            <v>90289010</v>
          </cell>
          <cell r="F1454" t="str">
            <v>Not applicable</v>
          </cell>
          <cell r="G1454">
            <v>90289010</v>
          </cell>
          <cell r="H1454" t="str">
            <v>Placa de circuito impresso montada para caixa automatizada de controle de medidores de energia eletrica, parte para montagem de contadores de eletricidade</v>
          </cell>
        </row>
        <row r="1455">
          <cell r="B1455">
            <v>3020302619</v>
          </cell>
          <cell r="D1455">
            <v>20471705</v>
          </cell>
          <cell r="E1455">
            <v>90289010</v>
          </cell>
          <cell r="F1455">
            <v>90289010</v>
          </cell>
          <cell r="H1455" t="str">
            <v>TAMPA PRINCIPAL PARA MEDIDOR DE ENERGIA ELeTRICA POLIFaSICO ARES 30/200, parte para montagem de contadores de eletricidade</v>
          </cell>
        </row>
        <row r="1456">
          <cell r="B1456">
            <v>3020102169</v>
          </cell>
          <cell r="D1456">
            <v>20497015</v>
          </cell>
          <cell r="E1456">
            <v>90289010</v>
          </cell>
          <cell r="F1456">
            <v>90289010</v>
          </cell>
          <cell r="H1456" t="str">
            <v>Base para medidor de energia eletrica polifasico Ares 30/200, parte para montagem de contadores de eletricidade</v>
          </cell>
        </row>
        <row r="1457">
          <cell r="B1457">
            <v>3021100429</v>
          </cell>
          <cell r="D1457">
            <v>20497115</v>
          </cell>
          <cell r="E1457">
            <v>90289010</v>
          </cell>
          <cell r="F1457">
            <v>90289010</v>
          </cell>
          <cell r="H1457" t="str">
            <v>Bloco de terminais de corrente para medidor eletrico polifasico, parte para montagem de contadores de eletricidade</v>
          </cell>
        </row>
        <row r="1458">
          <cell r="B1458">
            <v>3023300789</v>
          </cell>
          <cell r="D1458">
            <v>20471710</v>
          </cell>
          <cell r="E1458">
            <v>90289010</v>
          </cell>
          <cell r="F1458">
            <v>90289010</v>
          </cell>
          <cell r="H1458" t="str">
            <v>Fixador de pontes para medidor eletrico polifasico, parte para montagem de contadores de eletricidade</v>
          </cell>
        </row>
        <row r="1459">
          <cell r="B1459">
            <v>3021900619</v>
          </cell>
          <cell r="D1459">
            <v>40271103</v>
          </cell>
          <cell r="E1459">
            <v>90289010</v>
          </cell>
          <cell r="F1459">
            <v>90289010</v>
          </cell>
          <cell r="H1459" t="str">
            <v>PLACA DE IDENTIFICAcAO DE CLIENTE, SEM IMPRESSAO, P/ MEDIDOR DE ENERGIA ELeTRICA ARES 30/200, parte para montagem de contadores de eletricidade</v>
          </cell>
        </row>
        <row r="1460">
          <cell r="B1460">
            <v>3021101679</v>
          </cell>
          <cell r="D1460">
            <v>20497116</v>
          </cell>
          <cell r="E1460">
            <v>90289010</v>
          </cell>
          <cell r="F1460">
            <v>90289010</v>
          </cell>
          <cell r="H1460" t="str">
            <v>Bloco do terminal para medidor de energia eletrica Ares 30/200, parte para montagem de contadores de eletricidade</v>
          </cell>
        </row>
        <row r="1461">
          <cell r="B1461">
            <v>3020127909</v>
          </cell>
          <cell r="D1461">
            <v>20445905</v>
          </cell>
          <cell r="E1461">
            <v>90289010</v>
          </cell>
          <cell r="F1461">
            <v>90289010</v>
          </cell>
          <cell r="G1461">
            <v>90289010</v>
          </cell>
          <cell r="H1461" t="str">
            <v>Tampa do RC Pantheon Hexnet (3020127909), parte para montagem de contadores de eletricidade</v>
          </cell>
        </row>
        <row r="1462">
          <cell r="B1462">
            <v>3020305999</v>
          </cell>
          <cell r="D1462">
            <v>20446001</v>
          </cell>
          <cell r="E1462">
            <v>90289010</v>
          </cell>
          <cell r="F1462">
            <v>90289010</v>
          </cell>
          <cell r="G1462">
            <v>90289010</v>
          </cell>
          <cell r="H1462" t="str">
            <v>Base do RC Hexnet Pantheon (3020305999), parte para montagem de contadores de eletricidade</v>
          </cell>
        </row>
        <row r="1463">
          <cell r="B1463">
            <v>2020300632</v>
          </cell>
          <cell r="D1463">
            <v>20672674</v>
          </cell>
          <cell r="E1463">
            <v>85322200</v>
          </cell>
          <cell r="F1463">
            <v>85322200</v>
          </cell>
          <cell r="G1463">
            <v>85322200</v>
          </cell>
          <cell r="H1463" t="str">
            <v>CAPACITOR (CONDENSADOR ELeTRICO FIXO) ELETROLÍTICO DE ALUMÍNIO 100uF 20por cento 10V YXF 4000h RAD-2mm/F5*11mm PTH (2020300632)</v>
          </cell>
        </row>
        <row r="1464">
          <cell r="B1464">
            <v>2020301122</v>
          </cell>
          <cell r="D1464">
            <v>20672673</v>
          </cell>
          <cell r="E1464">
            <v>85322200</v>
          </cell>
          <cell r="F1464">
            <v>85322200</v>
          </cell>
          <cell r="H1464" t="str">
            <v>CAPACITOR (CONDENSADOR ELeTRICO FIXO) ELETROLÍTICO DE ALUMÍNIO 220uF 20por cento 25V YXF 7000h RAD-3.5mm/F8*11.5mm (2020301122) PTH</v>
          </cell>
        </row>
        <row r="1465">
          <cell r="B1465">
            <v>2050700042</v>
          </cell>
          <cell r="D1465">
            <v>20660382</v>
          </cell>
          <cell r="E1465">
            <v>85423939</v>
          </cell>
          <cell r="F1465">
            <v>85423939</v>
          </cell>
          <cell r="G1465">
            <v>85423939</v>
          </cell>
          <cell r="H1465" t="str">
            <v>Circuito integrado eletronico tipo comunicacAo RS-232, montado, proprio para montagem em superfície SMD - 250Kbps SOP16 (2050700042)</v>
          </cell>
        </row>
        <row r="1466">
          <cell r="B1466">
            <v>2051700015</v>
          </cell>
          <cell r="D1466">
            <v>20691704</v>
          </cell>
          <cell r="E1466">
            <v>85423939</v>
          </cell>
          <cell r="F1466">
            <v>85423939</v>
          </cell>
          <cell r="G1466">
            <v>85423939</v>
          </cell>
          <cell r="H1466" t="str">
            <v>Circuito integrado eletronico tipo sensor de Efeito Hall, para deteccAo de campos magneticos, montado, proprio para montagem em superfície SMD - SOT 23-3 (2051700015)</v>
          </cell>
        </row>
        <row r="1467">
          <cell r="B1467">
            <v>2060100312</v>
          </cell>
          <cell r="D1467">
            <v>20690634</v>
          </cell>
          <cell r="E1467">
            <v>85411021</v>
          </cell>
          <cell r="F1467">
            <v>85411021</v>
          </cell>
          <cell r="G1467">
            <v>85411021</v>
          </cell>
          <cell r="H1467" t="str">
            <v>DISPOSITIVO SEMICONDUTOR TIPO DIODO ZENER, MONTADO, PRoPRIO PARA MONTAGEM EM SUPERFÍCIE SMD DE INTENSIDADE DE CORREENTE 1A (2060100312) SMD</v>
          </cell>
        </row>
        <row r="1468">
          <cell r="B1468">
            <v>2060100613</v>
          </cell>
          <cell r="D1468">
            <v>20690629</v>
          </cell>
          <cell r="E1468">
            <v>85411022</v>
          </cell>
          <cell r="F1468">
            <v>85411022</v>
          </cell>
          <cell r="G1468">
            <v>85411022</v>
          </cell>
          <cell r="H1468" t="str">
            <v>DISPOSITIVO SEMICONDUTOR TIPO DIODO DE RECUPERAcAO RaPIDA, MONTADO, PRoPRIO PARA MONTAGEM EM SUPERFÍCIE SMD, DE INTENSIDADE DE CORRENTE 1A  (2060100613) SMD</v>
          </cell>
        </row>
        <row r="1469">
          <cell r="B1469">
            <v>2060101702</v>
          </cell>
          <cell r="D1469">
            <v>20690631</v>
          </cell>
          <cell r="E1469">
            <v>85411022</v>
          </cell>
          <cell r="F1469">
            <v>85411022</v>
          </cell>
          <cell r="G1469">
            <v>85411022</v>
          </cell>
          <cell r="H1469" t="str">
            <v>DISPOSITIVO SEMICONDUTOR TIPO DIODO DE RECUPERAcAO RaPIDA, MONTADO, PRoPRIO PARA MONTAGEM EM SUPERFÍCIE SMD, DE INTENSIDADE DE CORRENTE 3A (2060101702)</v>
          </cell>
        </row>
        <row r="1470">
          <cell r="B1470">
            <v>2060101821</v>
          </cell>
          <cell r="D1470">
            <v>20690624</v>
          </cell>
          <cell r="E1470">
            <v>85411022</v>
          </cell>
          <cell r="F1470">
            <v>85411022</v>
          </cell>
          <cell r="G1470">
            <v>85411022</v>
          </cell>
          <cell r="H1470" t="str">
            <v>DISPOSITIVO SEMICONDUTOR TIPO DIODO DE RECUPERAcAO RaPIDA, MONTADO, PRoPRIO PARA MONTAGEM EM SUPERFÍCIE SMD, DE INTENSIDADE DE CORRENTE 2A (2060101821)</v>
          </cell>
        </row>
        <row r="1471">
          <cell r="B1471">
            <v>2060100222</v>
          </cell>
          <cell r="D1471">
            <v>20690635</v>
          </cell>
          <cell r="E1471">
            <v>85411022</v>
          </cell>
          <cell r="F1471">
            <v>85411022</v>
          </cell>
          <cell r="G1471">
            <v>85411022</v>
          </cell>
          <cell r="H1471" t="str">
            <v>DISPOSITIVO SEMICONDUTOR TIPO DIODO retificador de rapida comutacAo, montado, proprio para montagem em superfície SMD, de intensidade de corrente 1,5A (2060100222)</v>
          </cell>
        </row>
        <row r="1472">
          <cell r="B1472">
            <v>2091101221</v>
          </cell>
          <cell r="D1472">
            <v>20600200</v>
          </cell>
          <cell r="E1472">
            <v>73261900</v>
          </cell>
          <cell r="F1472">
            <v>73261900</v>
          </cell>
          <cell r="G1472">
            <v>73261900</v>
          </cell>
          <cell r="H1472" t="str">
            <v>ESCUDO METALICO 18*18*5,6 mm, em aco, estampado (2091101221) PTH</v>
          </cell>
        </row>
        <row r="1473">
          <cell r="B1473">
            <v>2150145660</v>
          </cell>
          <cell r="D1473">
            <v>20661732</v>
          </cell>
          <cell r="E1473">
            <v>85340033</v>
          </cell>
          <cell r="F1473" t="str">
            <v>Not applicable</v>
          </cell>
          <cell r="G1473">
            <v>85340033</v>
          </cell>
          <cell r="H1473" t="str">
            <v>PLACA DE CIRCUITO IMPRESSO DE NATUREZA DO MATERIAL BASE RÍGIDO, COMPOSIcAO DA PLACA COM ISOLANTE DE RESINA EPoXIDA E TECIDO DE FIBRA DE VIDRO, ESTRUTURA DE DUPLA FACE, E INTERLIGAcAO ENTRE FACES COM FUROS METALIZADOS, 2 205.98mm*117.0mm*1.6mm/1 nAo-RoHS (2150145660) SMD</v>
          </cell>
        </row>
        <row r="1474">
          <cell r="B1474">
            <v>2150145670</v>
          </cell>
          <cell r="D1474">
            <v>20661734</v>
          </cell>
          <cell r="E1474">
            <v>85340033</v>
          </cell>
          <cell r="F1474" t="str">
            <v>Not applicable</v>
          </cell>
          <cell r="G1474">
            <v>85340033</v>
          </cell>
          <cell r="H1474" t="str">
            <v>PLACA DE CIRCUITO IMPRESSO DE NATUREZA DO MATERIAL BASE RÍGIDO, COMPOSIcAO DA PLACA COM ISOLANTE DE RESINA EPoXIDA E TECIDO DE FIBRA DE VIDRO, ESTRUTURA DE DUPLA FACE, E INTERLIGAcAO ENTRE FACES COM FUROS METALIZADOS, 2 237.53mm*117.0mm*1.6mm/1 nAo-RoHS (2150145670) SMD</v>
          </cell>
        </row>
        <row r="1475">
          <cell r="B1475">
            <v>2040300201</v>
          </cell>
          <cell r="D1475">
            <v>20691901</v>
          </cell>
          <cell r="E1475">
            <v>85423939</v>
          </cell>
          <cell r="F1475">
            <v>85423939</v>
          </cell>
          <cell r="H1475" t="str">
            <v>CIRCUITO INTEGRADO ELETRoNICO TIPO OPTOACOPLADOR, MONTADO, PRoPRIO PARA MONTAGEM EM SUPERFÍCIE SMD - 50mA CTR300-600 (IF=5mA Vce=5V) VCEO=80V 1 DIP4</v>
          </cell>
        </row>
        <row r="1476">
          <cell r="B1476">
            <v>2150146200</v>
          </cell>
          <cell r="D1476">
            <v>20661731</v>
          </cell>
          <cell r="E1476">
            <v>85340033</v>
          </cell>
          <cell r="F1476" t="str">
            <v>Not applicable</v>
          </cell>
          <cell r="G1476">
            <v>85340033</v>
          </cell>
          <cell r="H1476" t="str">
            <v>PLACA DE CIRCUITO IMPRESSO DE NATUREZA DO MATERIAL BASE RÍGIDO, COMPOSIcAO DA PLACA COM ISOLANTE DE RESINA EPoXIDA E TECIDO DE FIBRA DE VIDRO, ESTRUTURA DE DUPLA FACE, E INTERLIGAcAO ENTRE FACES COM FUROS METALIZADOS, 2 233.0mm*160.0mm*1.6mm/4 nAo-RoHS (2150146200) SMD</v>
          </cell>
        </row>
        <row r="1477">
          <cell r="B1477">
            <v>3040501470</v>
          </cell>
          <cell r="D1477">
            <v>40272305</v>
          </cell>
          <cell r="E1477">
            <v>85444200</v>
          </cell>
          <cell r="F1477">
            <v>85444200</v>
          </cell>
          <cell r="H1477" t="str">
            <v>Subconjunto de Terminal de ComunicacAo Rígido para conexAo, de tensAo ate 320V, para uso eletrico - LatAo HPb59-1 4.1*5.1*11 Estanhado 1.5g 30405-DX70-01(3040501470) PTH</v>
          </cell>
        </row>
        <row r="1478">
          <cell r="B1478" t="str">
            <v>SLK-040610-000</v>
          </cell>
          <cell r="D1478">
            <v>54474</v>
          </cell>
          <cell r="E1478">
            <v>90318099</v>
          </cell>
          <cell r="F1478">
            <v>90318099</v>
          </cell>
          <cell r="H1478" t="str">
            <v>Instrumento para analise e medida de perfil termico</v>
          </cell>
        </row>
        <row r="1479">
          <cell r="B1479">
            <v>3030110040</v>
          </cell>
          <cell r="D1479">
            <v>21161504</v>
          </cell>
          <cell r="E1479">
            <v>73181500</v>
          </cell>
          <cell r="F1479">
            <v>73181500</v>
          </cell>
          <cell r="G1479">
            <v>73181500</v>
          </cell>
          <cell r="H1479" t="str">
            <v>Parafuso Terminal de Corrente Medidor Indireto M4*9 Fenda Cruzada, de materia-prima base de aco baixo carbono, de processo de fabricacAo por usinagem, acabamento superficial de Zinco Níquel THS (3030110040)</v>
          </cell>
        </row>
        <row r="1480">
          <cell r="B1480">
            <v>5041201000</v>
          </cell>
          <cell r="D1480">
            <v>40272331</v>
          </cell>
          <cell r="E1480">
            <v>85369090</v>
          </cell>
          <cell r="F1480">
            <v>85369090</v>
          </cell>
          <cell r="G1480">
            <v>85369090</v>
          </cell>
          <cell r="H1480" t="str">
            <v>SUBCONJUNTO DE TERMINAL DE COMUNICAcAO RÍGIDO PARA CONEXAO DE CIRCUITO ELeTRICO COM TENSAO ATe 40V, EM LATAO COM TRATAMENTO NIQUELADO COM PARAFUSO ACOPLADO, DIMENSoES 19,8x10,4x4,1mm (5041201000)</v>
          </cell>
        </row>
        <row r="1481">
          <cell r="B1481">
            <v>2150146950</v>
          </cell>
          <cell r="D1481">
            <v>20661739</v>
          </cell>
          <cell r="E1481">
            <v>85340033</v>
          </cell>
          <cell r="F1481" t="str">
            <v>Not applicable</v>
          </cell>
          <cell r="G1481">
            <v>85340033</v>
          </cell>
          <cell r="H1481" t="str">
            <v>PLACA DE CIRCUITO IMPRESSO, DE NATUREZA DO MATERIAL BASE RÍGIDO, COMPOSIcAO DA PLACA DE ISOLANTE DE RESINA EPoXIDA E TECIDO DE FIBRA DE VIDRO, ESTRUTURA DE DUPLA-FACE E INTERLIGAcAO ENTRE FACES POR FUROS METALIZADOS,  180mm x 300mm x 1.6mm; (2150146950)</v>
          </cell>
        </row>
        <row r="1482">
          <cell r="B1482">
            <v>2020302771</v>
          </cell>
          <cell r="D1482">
            <v>20660664</v>
          </cell>
          <cell r="E1482">
            <v>85322200</v>
          </cell>
          <cell r="F1482">
            <v>85322200</v>
          </cell>
          <cell r="G1482">
            <v>85322200</v>
          </cell>
          <cell r="H1482" t="str">
            <v>Capacitor (condensador eletrico fixo) 220uF 20por cento 35V YXJ RAD-3.5mm com dimensoes de 8*11.5mm, para montagem por insercAo (PTH),  eletrolítico de alumínio (2020302771)</v>
          </cell>
        </row>
        <row r="1483">
          <cell r="B1483">
            <v>2150147000</v>
          </cell>
          <cell r="D1483">
            <v>20610153</v>
          </cell>
          <cell r="E1483">
            <v>85340033</v>
          </cell>
          <cell r="F1483" t="str">
            <v>Not applicable</v>
          </cell>
          <cell r="G1483">
            <v>85340033</v>
          </cell>
          <cell r="H1483" t="str">
            <v>PLACA DE CIRCUITO IMPRESSO DE NATUREZA DO MATERIAL BASE RÍGIDO, COMPOSIcAO DA PLACA COM ISOLANTE DE RESINA EPoXIDA E TECIDO DE FIBRA DE VIDRO, ESTRUTURA DE DUPLA FACE, E INTERLIGAcAO ENTRE FACES COM FUROS METALIZADOS, 2 208mm*234mm*1.6mm/8 nAo-RoHS SMD (2150147000)</v>
          </cell>
        </row>
        <row r="1484">
          <cell r="B1484">
            <v>2150146990</v>
          </cell>
          <cell r="D1484">
            <v>20661737</v>
          </cell>
          <cell r="E1484">
            <v>85340033</v>
          </cell>
          <cell r="F1484" t="str">
            <v>Not applicable</v>
          </cell>
          <cell r="G1484">
            <v>85340033</v>
          </cell>
          <cell r="H1484" t="str">
            <v>PLACA DE CIRCUITO IMPRESSO, DE NATUREZA DO MATERIAL BASE RÍGIDO, COMPOSIcAO DA PLACA DE ISOLANTE DE RESINA EPoXIDA E TECIDO DE FIBRA DE VIDRO, ESTRUTURA DE DUPLA-FACE E INTERLIGAcAO ENTRE FACES POR FUROS METALIZADOS,  208mm x 234mm x 1.6mm; (2150146990)</v>
          </cell>
        </row>
        <row r="1485">
          <cell r="B1485">
            <v>2150147010</v>
          </cell>
          <cell r="D1485">
            <v>20661740</v>
          </cell>
          <cell r="E1485">
            <v>85340033</v>
          </cell>
          <cell r="F1485" t="str">
            <v>Not applicable</v>
          </cell>
          <cell r="G1485">
            <v>85340033</v>
          </cell>
          <cell r="H1485" t="str">
            <v>PLACA DE CIRCUITO IMPRESSO, DE NATUREZA DO MATERIAL BASE RÍGIDO, COMPOSIcAO DA PLACA DE ISOLANTE DE RESINA EPoXIDA E TECIDO DE FIBRA DE VIDRO, ESTRUTURA DE DUPLA-FACE E INTERLIGAcAO ENTRE FACES POR FUROS METALIZADOS, 212mm x 322mm x 1.6mm; (2150147010)</v>
          </cell>
        </row>
        <row r="1486">
          <cell r="B1486">
            <v>2150149920</v>
          </cell>
          <cell r="D1486">
            <v>20661745</v>
          </cell>
          <cell r="E1486">
            <v>85340033</v>
          </cell>
          <cell r="F1486" t="str">
            <v>Not applicable</v>
          </cell>
          <cell r="G1486">
            <v>85340033</v>
          </cell>
          <cell r="H1486" t="str">
            <v>PLACA DE CIRCUITO IMPRESSO DE NATUREZA DO MATERIAL BASE RÍGIDO, COMPOSIcAO DA PLACA COM ISOLANTE DE RESINA EPoXIDA E TECIDO DE FIBRA DE VIDRO, ESTRUTURA DE DUPLA FACE, E INTERLIGAcAO ENTRE FACES COM FUROS METALIZADOS, 2 300,0mm*180,0mm*1,6mm/8 nAo-RoHS (2150149920) SMD</v>
          </cell>
        </row>
        <row r="1487">
          <cell r="B1487">
            <v>2150149910</v>
          </cell>
          <cell r="D1487">
            <v>20661744</v>
          </cell>
          <cell r="E1487">
            <v>85340033</v>
          </cell>
          <cell r="F1487" t="str">
            <v>Not applicable</v>
          </cell>
          <cell r="G1487">
            <v>85340033</v>
          </cell>
          <cell r="H1487" t="str">
            <v>PLACA DE CIRCUITO IMPRESSO DE NATUREZA DO MATERIAL BASE RÍGIDO, COMPOSIcAO DA PLACA COM ISOLANTE DE RESINA EPoXIDA E TECIDO DE FIBRA DE VIDRO, ESTRUTURA DE DUPLA FACE, E INTERLIGAcAO ENTRE FACES COM FUROS METALIZADOS, 2 300.0mm*190.0mm*1.6mm/8 nAo-RoHS (2150149910) SMD</v>
          </cell>
        </row>
        <row r="1488">
          <cell r="B1488">
            <v>2020302661</v>
          </cell>
          <cell r="D1488">
            <v>20672681</v>
          </cell>
          <cell r="E1488">
            <v>85322200</v>
          </cell>
          <cell r="F1488">
            <v>85322200</v>
          </cell>
          <cell r="G1488">
            <v>85322200</v>
          </cell>
          <cell r="H1488" t="str">
            <v>CAPACITOR (CONDENSADOR ELeTRICO FIXO) eletrolítico de alumínio PTH 2200uF 10V 20por cento YXJ 8000h RAD-5mm/F10*20mm (2020302661)</v>
          </cell>
        </row>
        <row r="1489">
          <cell r="B1489">
            <v>2050100821</v>
          </cell>
          <cell r="D1489">
            <v>20660386</v>
          </cell>
          <cell r="E1489">
            <v>85423120</v>
          </cell>
          <cell r="F1489">
            <v>85423120</v>
          </cell>
          <cell r="G1489">
            <v>85423120</v>
          </cell>
          <cell r="H1489" t="str">
            <v>Circuito integrado eletronico do tipo microcontrolador montado, proprio para montagem em superfície SMD, modelo de microprocessador 8 bits; Frequencia de clock 40MHz; Tamanho da memoria Flash 64KB;  Encapsulamento LQFP-64; TensAo de operacAo 2.3V~3.6V; Tamanho da memoria EEPROM 2kB</v>
          </cell>
        </row>
        <row r="1490">
          <cell r="B1490">
            <v>2090104061</v>
          </cell>
          <cell r="D1490">
            <v>20661937</v>
          </cell>
          <cell r="E1490">
            <v>85369090</v>
          </cell>
          <cell r="F1490">
            <v>85369090</v>
          </cell>
          <cell r="G1490">
            <v>85369090</v>
          </cell>
          <cell r="H1490" t="str">
            <v>Conector header femea para conexAo de circuito eletrico, de tensAo aproximada entre 0V e 20V - para montagem PTH 2x6; espacamento 2,54mm; PTH (2090104061)</v>
          </cell>
        </row>
        <row r="1491">
          <cell r="B1491">
            <v>2150150450</v>
          </cell>
          <cell r="D1491">
            <v>20661747</v>
          </cell>
          <cell r="E1491">
            <v>85340033</v>
          </cell>
          <cell r="F1491" t="str">
            <v>Not applicable</v>
          </cell>
          <cell r="G1491">
            <v>85340033</v>
          </cell>
          <cell r="H1491" t="str">
            <v>PLACA DE CIRCUITO IMPRESSO DE NATUREZA DO MATERIAL BASE RÍGIDO, COMPOSIcAO DA PLACA COM ISOLANTE DE RESINA EPoXIDA E TECIDO DE FIBRA DE VIDRO, ESTRUTURA DE DUPLA FACE, E INTERLIGAcAO ENTRE FACES COM FUROS METALIZADOS, 2 150.0mm*360.0mm*1.6mm/8 nAo-RoHS (2150150450) SMD</v>
          </cell>
        </row>
        <row r="1492">
          <cell r="B1492">
            <v>2010107120</v>
          </cell>
          <cell r="D1492">
            <v>20660934</v>
          </cell>
          <cell r="E1492">
            <v>85332120</v>
          </cell>
          <cell r="F1492">
            <v>85332120</v>
          </cell>
          <cell r="G1492">
            <v>85332120</v>
          </cell>
          <cell r="H1492" t="str">
            <v>RESISTOR (RESISTENCIA ELETRICA FIXA) PROPRIO PARA MONTAGEM EM SUPERFÍCIE SMD 10KO 1POR CENTO 100PPM POTENCIA DE 1/16W 0402 (2010107120) SMD</v>
          </cell>
        </row>
        <row r="1493">
          <cell r="B1493">
            <v>2010107020</v>
          </cell>
          <cell r="D1493">
            <v>20660932</v>
          </cell>
          <cell r="E1493">
            <v>85332120</v>
          </cell>
          <cell r="F1493">
            <v>85332120</v>
          </cell>
          <cell r="G1493">
            <v>85332120</v>
          </cell>
          <cell r="H1493" t="str">
            <v>RESISTOR (RESISTENCIA ELETRICA FIXA) PROPRIO PARA MONTAGEM EM SUPERFICIE SMD  47KO 1POR CENTO 100PPM POTENCIA DE 1/16W 0402 (2010107020) SMD</v>
          </cell>
        </row>
        <row r="1494">
          <cell r="B1494">
            <v>3110308646</v>
          </cell>
          <cell r="D1494">
            <v>91257901</v>
          </cell>
          <cell r="E1494">
            <v>90289010</v>
          </cell>
          <cell r="F1494">
            <v>90289010</v>
          </cell>
          <cell r="G1494">
            <v>90289010</v>
          </cell>
          <cell r="H1494" t="str">
            <v>Caixa Master de PapelAo com Calcos Laterais - Concentrador Secundario - Pantheon, parte para montagem de contadores de eletricidade</v>
          </cell>
        </row>
        <row r="1495">
          <cell r="B1495">
            <v>2050102701</v>
          </cell>
          <cell r="D1495">
            <v>20660379</v>
          </cell>
          <cell r="E1495">
            <v>85423120</v>
          </cell>
          <cell r="F1495">
            <v>85423120</v>
          </cell>
          <cell r="G1495">
            <v>85423120</v>
          </cell>
          <cell r="H1495" t="str">
            <v>Circuito Integrado eletronico microcontrolador, modelo de microprocessador de 32 bits montado, proprio para montagem em superfície (SMD) LQFP-80, com Frequencia de trabalho de ate 64MHz, memoria Flash 256.0KB e memoria RAM 48kB.TensAo de operacAo 2.3V~5.5V. (2050102701)</v>
          </cell>
        </row>
        <row r="1496">
          <cell r="B1496">
            <v>2051100044</v>
          </cell>
          <cell r="D1496">
            <v>20600301</v>
          </cell>
          <cell r="E1496">
            <v>85423939</v>
          </cell>
          <cell r="F1496">
            <v>85423939</v>
          </cell>
          <cell r="G1496">
            <v>85423939</v>
          </cell>
          <cell r="H1496" t="str">
            <v>Circuito Integrado eletronico tipo relogio de tempo real (RTC),  montado, proprio para montagem em superfície SMD - SOP-14 - 1.8 a 5.5V (2051100044)</v>
          </cell>
        </row>
        <row r="1497">
          <cell r="B1497">
            <v>2090302071</v>
          </cell>
          <cell r="D1497">
            <v>20691325</v>
          </cell>
          <cell r="E1497">
            <v>85369040</v>
          </cell>
          <cell r="F1497">
            <v>85369040</v>
          </cell>
          <cell r="G1497">
            <v>85369040</v>
          </cell>
          <cell r="H1497" t="str">
            <v xml:space="preserve">Conector para circuito impresso, de tensAo ate 320V, bloco de terminais plugaveis, macho, tipo Header horizontal , proprio para montagem por insercAo(PTH), 1*4 com 7.62mm de espacamento entre pinos. (2090302071) </v>
          </cell>
        </row>
        <row r="1498">
          <cell r="B1498">
            <v>2090302061</v>
          </cell>
          <cell r="D1498">
            <v>20691324</v>
          </cell>
          <cell r="E1498">
            <v>85369040</v>
          </cell>
          <cell r="F1498">
            <v>85369040</v>
          </cell>
          <cell r="G1498">
            <v>85369040</v>
          </cell>
          <cell r="H1498" t="str">
            <v xml:space="preserve">Conector para circuito impresso, de tensAo ate 250V, bloco de terminais plugaveis, macho, tipo Header horizontal , proprio para montagem por insercAo(PTH), 1*4 com 3.81mm de espacamento entre pinos. (2090302061) </v>
          </cell>
        </row>
        <row r="1499">
          <cell r="B1499">
            <v>2090100441</v>
          </cell>
          <cell r="D1499">
            <v>20661960</v>
          </cell>
          <cell r="E1499">
            <v>85369040</v>
          </cell>
          <cell r="F1499">
            <v>85369040</v>
          </cell>
          <cell r="G1499">
            <v>85369040</v>
          </cell>
          <cell r="H1499" t="str">
            <v>Conector para circuito impresso, de tensAo ate 320V, femea, tipo Header, proprio para montagem por insercAo(PTH), 2*5 com 2.54mm de espacamento entre pinos. (2090100441)</v>
          </cell>
        </row>
        <row r="1500">
          <cell r="B1500">
            <v>2090103720</v>
          </cell>
          <cell r="D1500">
            <v>20661936</v>
          </cell>
          <cell r="E1500">
            <v>85369040</v>
          </cell>
          <cell r="F1500">
            <v>85369040</v>
          </cell>
          <cell r="G1500">
            <v>85369040</v>
          </cell>
          <cell r="H1500" t="str">
            <v>Conector para circuito impresso, de tensAo ate 320V, femea, tipo Header, proprio para montagem por insercAo(PTH),  2*6 com 2.54mm de espacamento entre pinos. (2090103720)</v>
          </cell>
        </row>
        <row r="1501">
          <cell r="B1501">
            <v>2090500201</v>
          </cell>
          <cell r="D1501">
            <v>20691326</v>
          </cell>
          <cell r="E1501">
            <v>85369040</v>
          </cell>
          <cell r="F1501">
            <v>85369040</v>
          </cell>
          <cell r="G1501">
            <v>85369040</v>
          </cell>
          <cell r="H1501" t="str">
            <v>Conector para circuito impresso, de tensAo ate 320V, tipo USB-A, para montagem por insercAo (PTH), dimensoes de 14.4*13.2*5.8mm (2090500201)</v>
          </cell>
        </row>
        <row r="1502">
          <cell r="B1502">
            <v>2110300610</v>
          </cell>
          <cell r="D1502">
            <v>20691559</v>
          </cell>
          <cell r="E1502">
            <v>85416010</v>
          </cell>
          <cell r="F1502">
            <v>85416010</v>
          </cell>
          <cell r="G1502">
            <v>85416010</v>
          </cell>
          <cell r="H1502" t="str">
            <v>Cristal piezeletrico montado, de frequencia de 25MHz</v>
          </cell>
        </row>
        <row r="1503">
          <cell r="B1503">
            <v>3100302696</v>
          </cell>
          <cell r="D1503">
            <v>21341500</v>
          </cell>
          <cell r="E1503">
            <v>48114190</v>
          </cell>
          <cell r="F1503">
            <v>48114190</v>
          </cell>
          <cell r="G1503">
            <v>48114190</v>
          </cell>
          <cell r="H1503" t="str">
            <v>Etiqueta de papel autoadesivo, em folha, para identificacAo do diagrama, de medidas 30*155*0.1mm - Pantheon (3100302696)</v>
          </cell>
        </row>
        <row r="1504">
          <cell r="B1504">
            <v>3023702160</v>
          </cell>
          <cell r="D1504">
            <v>20475201</v>
          </cell>
          <cell r="E1504">
            <v>39269090</v>
          </cell>
          <cell r="F1504">
            <v>39269090</v>
          </cell>
          <cell r="G1504">
            <v>39269090</v>
          </cell>
          <cell r="H1504" t="str">
            <v>Folha de Isolamento 0,3mm Peso 6,3g, de material de plastico, policarbonato preto UL94-V0 (3023702160)</v>
          </cell>
        </row>
        <row r="1505">
          <cell r="B1505">
            <v>5110005426</v>
          </cell>
          <cell r="D1505">
            <v>40290923</v>
          </cell>
          <cell r="E1505">
            <v>73261900</v>
          </cell>
          <cell r="F1505">
            <v>73261900</v>
          </cell>
          <cell r="G1505">
            <v>73261900</v>
          </cell>
          <cell r="H1505" t="str">
            <v>Gabinete Metalico para Pantheon s/Telhado, em chapa de Aco Carbono Galvanizado, obtida por estampagem (2000h) Pintura RAL 7035 (5110005426)</v>
          </cell>
        </row>
        <row r="1506">
          <cell r="B1506" t="str">
            <v>MJN53.R31304</v>
          </cell>
          <cell r="D1506">
            <v>20691378</v>
          </cell>
          <cell r="E1506">
            <v>85176272</v>
          </cell>
          <cell r="F1506">
            <v>85176272</v>
          </cell>
          <cell r="G1506">
            <v>85176272</v>
          </cell>
          <cell r="H1506"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e alimentacAo 8VDC e modelo MJN53.R31304, com antena externa e suporte à PKI.</v>
          </cell>
        </row>
        <row r="1507">
          <cell r="B1507" t="str">
            <v>HXEC600R11001</v>
          </cell>
          <cell r="D1507">
            <v>20693607</v>
          </cell>
          <cell r="E1507">
            <v>85176277</v>
          </cell>
          <cell r="F1507">
            <v>85176277</v>
          </cell>
          <cell r="G1507">
            <v>85176277</v>
          </cell>
          <cell r="H1507" t="str">
            <v>PCBA Modulo de radio frequencia para comunicacAo de dados por rede sem fio (RF), digital, emissor com receptor incorporado, de frequencia nAo superior a 15GHz e taxa de transmissAo superior a 34Mbit/s (HXEC600R11001)</v>
          </cell>
        </row>
        <row r="1508">
          <cell r="B1508">
            <v>2150146760</v>
          </cell>
          <cell r="D1508">
            <v>20661741</v>
          </cell>
          <cell r="E1508">
            <v>85340033</v>
          </cell>
          <cell r="F1508" t="str">
            <v>Not applicable</v>
          </cell>
          <cell r="G1508">
            <v>85340033</v>
          </cell>
          <cell r="H1508" t="str">
            <v>PLACA DE CIRCUITO IMPRESSO, DE NATUREZA DO MATERIAL BASE RÍGIDO, COMPOSIcAO DA PLACA DE ISOLANTE DE RESINA EPoXIDA E TECIDO DE FIBRA DE VIDRO, ESTRUTURA DE DUPLA-FACE E INTERLIGAcAO ENTRE FACES POR FUROS METALIZADOS, 190mm x 154mm x 1.6mm. (2150146760)</v>
          </cell>
        </row>
        <row r="1509">
          <cell r="B1509">
            <v>2150149830</v>
          </cell>
          <cell r="D1509">
            <v>20661742</v>
          </cell>
          <cell r="E1509">
            <v>85340033</v>
          </cell>
          <cell r="F1509" t="str">
            <v>Not applicable</v>
          </cell>
          <cell r="G1509">
            <v>85340033</v>
          </cell>
          <cell r="H1509" t="str">
            <v>PLACA DE CIRCUITO IMPRESSO, DE NATUREZA DO MATERIAL BASE RÍGIDO, COMPOSIcAO DA PLACA DE ISOLANTE DE RESINA EPoXIDA E TECIDO DE FIBRA DE VIDRO, ESTRUTURA DE DUPLA-FACE E INTERLIGAcAO ENTRE FACES POR FUROS METALIZADOS, 288mm x 164.14mm x 1.6mm. (2150149830)</v>
          </cell>
        </row>
        <row r="1510">
          <cell r="B1510">
            <v>3042706160</v>
          </cell>
          <cell r="D1510">
            <v>20269104</v>
          </cell>
          <cell r="E1510">
            <v>85444200</v>
          </cell>
          <cell r="F1510">
            <v>85444200</v>
          </cell>
          <cell r="G1510">
            <v>85444200</v>
          </cell>
          <cell r="H1510" t="str">
            <v>PONTE DE COBRE T2, CONDUTORA ELeTRICA MUNIDA DE FURO ROSQUEADO M3 PARA CONEXAO, PARA APLICAcAO EM TENSAO DE ATe 240V, COM ISOLAMENTO DAS FASES, BARRAMENTO FASE A, DIMENSoES 496,4x95x43mm, CORRENTE MaXIMA DE 250A (3042706160)</v>
          </cell>
        </row>
        <row r="1511">
          <cell r="B1511">
            <v>3042706140</v>
          </cell>
          <cell r="D1511">
            <v>20269105</v>
          </cell>
          <cell r="E1511">
            <v>85444200</v>
          </cell>
          <cell r="F1511">
            <v>85444200</v>
          </cell>
          <cell r="G1511">
            <v>85444200</v>
          </cell>
          <cell r="H1511" t="str">
            <v>PONTE DE COBRE T2, CONDUTORA ELeTRICA MUNIDA DE FURO ROSQUEADO M3 PARA CONEXAO, PARA APLICAcAO EM TENSAO DE ATe 240V, COM ISOLAMENTO DAS FASES, BARRAMENTO FASE B, DIMENSoES 506x78x42mm, CORRENTE MaXIMA DE 250A (3042706140)</v>
          </cell>
        </row>
        <row r="1512">
          <cell r="B1512">
            <v>3042706150</v>
          </cell>
          <cell r="D1512">
            <v>20269106</v>
          </cell>
          <cell r="E1512">
            <v>85444200</v>
          </cell>
          <cell r="F1512">
            <v>85444200</v>
          </cell>
          <cell r="G1512">
            <v>85444200</v>
          </cell>
          <cell r="H1512" t="str">
            <v>PONTE DE COBRE T2, CONDUTORA ELeTRICA MUNIDA DE FURO ROSQUEADO M3 PARA CONEXAO, PARA APLICAcAO EM TENSAO DE ATe 240V, COM ISOLAMENTO DAS FASES, BARRAMENTO FASE C, DIMENSoES 515,6x61,5x43mm, CORRENTE MaXIMA DE 250A (3042706150)</v>
          </cell>
        </row>
        <row r="1513">
          <cell r="B1513">
            <v>2010112110</v>
          </cell>
          <cell r="D1513">
            <v>20660978</v>
          </cell>
          <cell r="E1513">
            <v>85332120</v>
          </cell>
          <cell r="F1513">
            <v>85332120</v>
          </cell>
          <cell r="G1513">
            <v>85332120</v>
          </cell>
          <cell r="H1513" t="str">
            <v>Resistor  proprio para montagem em superfície (SMD),encapsulamento 0603, resistencia de 3 kohms, tolerAncia 1por cento,  potencia 0,1(1/10)W (2010112110)</v>
          </cell>
        </row>
        <row r="1514">
          <cell r="B1514">
            <v>2010111620</v>
          </cell>
          <cell r="D1514">
            <v>20660977</v>
          </cell>
          <cell r="E1514">
            <v>85332120</v>
          </cell>
          <cell r="F1514">
            <v>85332120</v>
          </cell>
          <cell r="G1514">
            <v>85332120</v>
          </cell>
          <cell r="H1514" t="str">
            <v>Resistor  proprio para montagem em superfície (SMD),encapsulamento 1206, resistencia de 75 ohms, tolerAncia 1por cento,  potencia 0,25(1/4)W (2010111620)</v>
          </cell>
        </row>
        <row r="1515">
          <cell r="B1515">
            <v>2091100441</v>
          </cell>
          <cell r="D1515">
            <v>20600401</v>
          </cell>
          <cell r="E1515">
            <v>85472090</v>
          </cell>
          <cell r="F1515">
            <v>85472090</v>
          </cell>
          <cell r="G1515">
            <v>85472090</v>
          </cell>
          <cell r="H1515" t="str">
            <v>SUPORTE PLaSTICO (EM NYLON), PEcA PARA ISOLAMENTO DE PLACAS DE CIRCUITO IMPRESSO, MONTAGEM PTH, DIMENSAO 12,7mm (2091100441)</v>
          </cell>
        </row>
        <row r="1516">
          <cell r="B1516">
            <v>2050501711</v>
          </cell>
          <cell r="D1516">
            <v>20680126</v>
          </cell>
          <cell r="E1516">
            <v>85423221</v>
          </cell>
          <cell r="F1516">
            <v>85423221</v>
          </cell>
          <cell r="G1516">
            <v>85423221</v>
          </cell>
          <cell r="H1516" t="str">
            <v>Circuito Integrado eletronico de memoria tipo EEPROM, montado, proprio para montagem em superfície SMD, de capacidade de memoria 4Kbytes e de tempo de acesso 10nS  (2050501711)</v>
          </cell>
        </row>
        <row r="1517">
          <cell r="B1517">
            <v>2060700921</v>
          </cell>
          <cell r="D1517">
            <v>20680251</v>
          </cell>
          <cell r="E1517">
            <v>85412920</v>
          </cell>
          <cell r="F1517">
            <v>85412920</v>
          </cell>
          <cell r="G1517">
            <v>85412920</v>
          </cell>
          <cell r="H1517" t="str">
            <v>Transistor mosfet NMOS, para montagem por insercAo (PTH), encapsulamento TO-220F; VDSS = 400V; IS = 4A; VSD = 3V; RDS = 4.2 Ohms (típica); (2060700921)</v>
          </cell>
        </row>
        <row r="1518">
          <cell r="B1518">
            <v>3030300710</v>
          </cell>
          <cell r="D1518">
            <v>21100100</v>
          </cell>
          <cell r="E1518">
            <v>73181500</v>
          </cell>
          <cell r="F1518">
            <v>73181500</v>
          </cell>
          <cell r="H1518" t="str">
            <v xml:space="preserve">Parafuso ST2.9*8, de materia-prima base em Aco inox; de processo de fabricacAo sem tratamento; e acabamento superficial sem tratamento (3030300710) </v>
          </cell>
        </row>
        <row r="1519">
          <cell r="B1519">
            <v>3030110260</v>
          </cell>
          <cell r="D1519">
            <v>21100200</v>
          </cell>
          <cell r="E1519">
            <v>73181500</v>
          </cell>
          <cell r="F1519">
            <v>73181500</v>
          </cell>
          <cell r="H1519" t="str">
            <v>PARAFUSO M4*10, DE MATERIA-PRIMA BASE EM ACO INOX; DE PROCSSO DE FABRICACAO SEM TRATAMENTO; E ACABAMENTO SUPERFICIAL SEM TRATAMENTO (3030110260)</v>
          </cell>
        </row>
        <row r="1520">
          <cell r="B1520" t="str">
            <v>HXW5118W5F3</v>
          </cell>
          <cell r="D1520">
            <v>5633920100</v>
          </cell>
          <cell r="E1520">
            <v>90282010</v>
          </cell>
          <cell r="F1520" t="str">
            <v>Not applicable</v>
          </cell>
          <cell r="G1520">
            <v>90282010</v>
          </cell>
          <cell r="H1520" t="str">
            <v>Hidrometro Ultrassonico Res. (contador de líquidos); LatAo; DN15-165 mm; Q3=2,5 m³/h; R250; Pulso (ZLW-DN15) com peso líquido unitario aproximado de 1 kg</v>
          </cell>
        </row>
        <row r="1521">
          <cell r="B1521" t="str">
            <v>HXW5514W6FB</v>
          </cell>
          <cell r="D1521" t="str">
            <v>564AC90000</v>
          </cell>
          <cell r="E1521">
            <v>90282010</v>
          </cell>
          <cell r="F1521" t="str">
            <v>Not applicable</v>
          </cell>
          <cell r="G1521">
            <v>90282010</v>
          </cell>
          <cell r="H1521" t="str">
            <v>Hidrometro Ultrassonico Dist. (contador de líquidos); LatAo; DN40-300 mm; Q3=40 m³/h; R500; Pulso; MODBUS (ZLW-DN40) com peso líquido unitario aproximado de 8 kgs</v>
          </cell>
        </row>
        <row r="1522">
          <cell r="B1522" t="str">
            <v>HXW5634W6F6</v>
          </cell>
          <cell r="D1522" t="str">
            <v>565AC40000</v>
          </cell>
          <cell r="E1522">
            <v>90282010</v>
          </cell>
          <cell r="F1522" t="str">
            <v>Not applicable</v>
          </cell>
          <cell r="G1522">
            <v>90282010</v>
          </cell>
          <cell r="H1522" t="str">
            <v>Hidrometro Ultrassonico Ind. (contador de líquidos); Aco; DN50-200 mm; Q3=40 m³/h; R500; Pulso; MODBUS (ZLW-DN50) com peso líquido unitario aproximado de 11,2 kg</v>
          </cell>
        </row>
        <row r="1523">
          <cell r="B1523" t="str">
            <v>HXW5634W6FA</v>
          </cell>
          <cell r="D1523" t="str">
            <v>565AC80000</v>
          </cell>
          <cell r="E1523">
            <v>90282010</v>
          </cell>
          <cell r="F1523" t="str">
            <v>Not applicable</v>
          </cell>
          <cell r="G1523">
            <v>90282010</v>
          </cell>
          <cell r="H1523" t="str">
            <v>Hidrometro Ultrassonico Ind. (contador de líquidos); Aco; DN50-270 mm; Q3=40 m³/h; R500; Pulso; MODBUS (ZLW-DN50) com peso líquido unitario aproximado de 13,2 kg</v>
          </cell>
        </row>
        <row r="1524">
          <cell r="B1524" t="str">
            <v>HXW5834W6F5</v>
          </cell>
          <cell r="D1524" t="str">
            <v>565BC50000</v>
          </cell>
          <cell r="E1524">
            <v>90282010</v>
          </cell>
          <cell r="F1524" t="str">
            <v>Not applicable</v>
          </cell>
          <cell r="G1524">
            <v>90282010</v>
          </cell>
          <cell r="H1524" t="str">
            <v>Hidrometro Ultrassonico Ind. (contador de líquidos); Aco; DN80-225 mm; Q3=63 m³/h; R500; Pulso; MODBUS (ZLW-DN80) com peso líquido unitario aproximado de 16,5 kg</v>
          </cell>
        </row>
        <row r="1525">
          <cell r="B1525" t="str">
            <v>HXW5834W6FB</v>
          </cell>
          <cell r="D1525" t="str">
            <v>565BC90000</v>
          </cell>
          <cell r="E1525">
            <v>90282010</v>
          </cell>
          <cell r="F1525" t="str">
            <v>Not applicable</v>
          </cell>
          <cell r="G1525">
            <v>90282010</v>
          </cell>
          <cell r="H1525" t="str">
            <v>Hidrometro Ultrassonico Ind.(contador de líquidos); Aco; DN80-300 mm; Q3=63 m³/h; R500; Pulso; MODBUS (ZLW-DN80) com peso líquido unitario aproximado de 18,5 kg</v>
          </cell>
        </row>
        <row r="1526">
          <cell r="B1526" t="str">
            <v>HXW5934W6F8</v>
          </cell>
          <cell r="D1526" t="str">
            <v>565CC60000</v>
          </cell>
          <cell r="E1526">
            <v>90282010</v>
          </cell>
          <cell r="F1526" t="str">
            <v>Not applicable</v>
          </cell>
          <cell r="G1526">
            <v>90282010</v>
          </cell>
          <cell r="H1526" t="str">
            <v>Hidrometro Ultrassonico Ind. (contador de líquidos); Aco; DN100-250 mm; Q3=100 m³/h; R500; Pulso; MODBUS (ZLW-DN100) com peso líquido unitario aproximado de 20,3 kg</v>
          </cell>
        </row>
        <row r="1527">
          <cell r="B1527" t="str">
            <v>HXW5934W6FD</v>
          </cell>
          <cell r="D1527" t="str">
            <v>565CCB0000</v>
          </cell>
          <cell r="E1527">
            <v>90282010</v>
          </cell>
          <cell r="F1527" t="str">
            <v>Not applicable</v>
          </cell>
          <cell r="G1527">
            <v>90282010</v>
          </cell>
          <cell r="H1527" t="str">
            <v>Hidrometro Ultrassonico Ind. (contador de líquidos); Aco; DN100-360 mm; Q3=100 m³/h; R500; Pulso; MODBUS (ZLW-DN100) com peso líquido unitario aproximado de 23,3 kg</v>
          </cell>
        </row>
        <row r="1528">
          <cell r="B1528" t="str">
            <v>HXW5A34W6FB</v>
          </cell>
          <cell r="D1528" t="str">
            <v>565DC90000</v>
          </cell>
          <cell r="E1528">
            <v>90282010</v>
          </cell>
          <cell r="F1528" t="str">
            <v>Not applicable</v>
          </cell>
          <cell r="G1528">
            <v>90282010</v>
          </cell>
          <cell r="H1528" t="str">
            <v>Hidrometro Ultrassonico Ind. (contador de líquidos); Aco; DN150-300 mm; Q3=250 m³/h; R500; Pulso; MODBUS (ZLW-DN150) com peso líquido unitario aproximado de 30,5 kg</v>
          </cell>
        </row>
        <row r="1529">
          <cell r="B1529" t="str">
            <v>HXW5B34W6FC</v>
          </cell>
          <cell r="D1529" t="str">
            <v>565ECA0000</v>
          </cell>
          <cell r="E1529">
            <v>90282010</v>
          </cell>
          <cell r="F1529" t="str">
            <v>Not applicable</v>
          </cell>
          <cell r="G1529">
            <v>90282010</v>
          </cell>
          <cell r="H1529" t="str">
            <v>Hidrometro Ultrassonico Ind. (contador de líquidos); Aco; DN200-350 mm; Q3=400 m³/h; R500; Pulso; MODBUS (ZLW-DN200) com peso líquido unitario aproximado de 43,5 kg</v>
          </cell>
        </row>
        <row r="1530">
          <cell r="B1530" t="str">
            <v>PENDING</v>
          </cell>
          <cell r="D1530">
            <v>20487000</v>
          </cell>
          <cell r="E1530">
            <v>90289090</v>
          </cell>
          <cell r="F1530" t="str">
            <v>Not applicable</v>
          </cell>
          <cell r="H1530" t="str">
            <v>Encapsulmento Plastico PC para resinagem, parte para montagem em hidrometro (contador de líquidos) residencial (DN15; DN20; DN25) (3027500089)</v>
          </cell>
        </row>
        <row r="1531">
          <cell r="B1531" t="str">
            <v>PENDING</v>
          </cell>
          <cell r="D1531">
            <v>20487100</v>
          </cell>
          <cell r="E1531">
            <v>90289090</v>
          </cell>
          <cell r="F1531" t="str">
            <v>Not applicable</v>
          </cell>
          <cell r="H1531" t="str">
            <v>Placa Plastica de identificacao PC (Mostrador), parte para montagem em hidrometro (contador de líquidos) residencial (DN15; DN20; DN25)(3027200099)</v>
          </cell>
        </row>
        <row r="1532">
          <cell r="B1532" t="str">
            <v>PENDING</v>
          </cell>
          <cell r="D1532">
            <v>20487200</v>
          </cell>
          <cell r="E1532">
            <v>90289090</v>
          </cell>
          <cell r="F1532" t="str">
            <v>Not applicable</v>
          </cell>
          <cell r="H1532" t="str">
            <v>Involucro de Plastico de Policarbonato, Base, parte para montagem em hidrometro (contador de líquidos) residencial DN15 (3027400209)</v>
          </cell>
        </row>
        <row r="1533">
          <cell r="B1533" t="str">
            <v>PENDING</v>
          </cell>
          <cell r="D1533">
            <v>20487300</v>
          </cell>
          <cell r="E1533">
            <v>90289090</v>
          </cell>
          <cell r="F1533" t="str">
            <v>Not applicable</v>
          </cell>
          <cell r="H1533" t="str">
            <v>Involucro de Plastico de Policarbonato, Base, parte para montagem em hidrometro (contador de líquidos) residencial DN20 (3027400229)</v>
          </cell>
        </row>
        <row r="1534">
          <cell r="B1534" t="str">
            <v>PENDING</v>
          </cell>
          <cell r="D1534">
            <v>20487400</v>
          </cell>
          <cell r="E1534">
            <v>90289090</v>
          </cell>
          <cell r="F1534" t="str">
            <v>Not applicable</v>
          </cell>
          <cell r="H1534" t="str">
            <v>Involucro de Plastico de Policarbonato, Base, parte para montagem em hidrometro (contador de líquidos) residencial DN25 (3027400189)</v>
          </cell>
        </row>
        <row r="1535">
          <cell r="B1535" t="str">
            <v>PENDING</v>
          </cell>
          <cell r="D1535">
            <v>20487500</v>
          </cell>
          <cell r="E1535">
            <v>90289090</v>
          </cell>
          <cell r="F1535" t="str">
            <v>Not applicable</v>
          </cell>
          <cell r="H1535" t="str">
            <v>Involucro de Plastico de Policarbonato, Superior, parte para montagem em hidrometros (contadores de líquidos) residenciais (DN15; DN20; DN25) (3027300059)</v>
          </cell>
        </row>
        <row r="1536">
          <cell r="B1536" t="str">
            <v>PENDING</v>
          </cell>
          <cell r="D1536">
            <v>20487600</v>
          </cell>
          <cell r="E1536">
            <v>90289090</v>
          </cell>
          <cell r="F1536" t="str">
            <v>Not applicable</v>
          </cell>
          <cell r="H1536" t="str">
            <v>Tampa Plastica de Policarbonato, Movel (Lid), parte para montagem em hidrometros (contadores de líquidos) residenciais (DN15; DN20; DN25) (3027100059)</v>
          </cell>
        </row>
        <row r="1537">
          <cell r="B1537">
            <v>3041901360</v>
          </cell>
          <cell r="C1537">
            <v>3041901360</v>
          </cell>
          <cell r="D1537">
            <v>20292600</v>
          </cell>
          <cell r="E1537">
            <v>90289090</v>
          </cell>
          <cell r="F1537" t="str">
            <v>Need to update benefit</v>
          </cell>
          <cell r="G1537">
            <v>90289090</v>
          </cell>
          <cell r="H1537" t="str">
            <v>PLACA DE PRESSAO INOX, PARTE PARA MONTAGEM EM HIDROMETROS (CONTADORES DE LIQUIDOS) RESIDENCIAL (DN15; DN20; DN25) (3041901360)</v>
          </cell>
        </row>
        <row r="1538">
          <cell r="B1538" t="str">
            <v>PENDING</v>
          </cell>
          <cell r="D1538">
            <v>20487700</v>
          </cell>
          <cell r="E1538">
            <v>90289090</v>
          </cell>
          <cell r="F1538" t="str">
            <v>Not applicable</v>
          </cell>
          <cell r="H1538" t="str">
            <v>ORing de VedacAo, parte para montagem em hidrometro (contador de líquidos) residencial, diam 18,30 x 1,9 mm (3080103460)</v>
          </cell>
        </row>
        <row r="1539">
          <cell r="B1539" t="str">
            <v>PENDING</v>
          </cell>
          <cell r="D1539">
            <v>20692023</v>
          </cell>
          <cell r="E1539">
            <v>85065010</v>
          </cell>
          <cell r="F1539">
            <v>85065010</v>
          </cell>
          <cell r="H1539" t="str">
            <v xml:space="preserve"> Bateria eletrica de lítio, de volume exterior aproximado de 52cm³ - LiSOCL2 ER34615 3,6 V 19Ah 52 cm³</v>
          </cell>
        </row>
        <row r="1540">
          <cell r="B1540" t="str">
            <v>PENDING</v>
          </cell>
          <cell r="D1540">
            <v>20600700</v>
          </cell>
          <cell r="E1540">
            <v>90289090</v>
          </cell>
          <cell r="F1540" t="str">
            <v>Not applicable</v>
          </cell>
          <cell r="H1540" t="str">
            <v>Placa adaptadora para transdutores, parte para uso em montagem de hidrometros (contadores de líquidos) residenciais (DN15; DN20; DN25) (2150142600)</v>
          </cell>
        </row>
        <row r="1541">
          <cell r="B1541" t="str">
            <v>PENDING</v>
          </cell>
          <cell r="D1541">
            <v>20600701</v>
          </cell>
          <cell r="E1541">
            <v>90289090</v>
          </cell>
          <cell r="F1541" t="str">
            <v>Not applicable</v>
          </cell>
          <cell r="H1541" t="str">
            <v>Transdutor Piezoeletrico 1 MHz, 200 mm, parte para montagem em hidrometros (contadores de líquidos) residenciais (DN15; DN20; DN25)</v>
          </cell>
        </row>
        <row r="1542">
          <cell r="B1542" t="str">
            <v>HXW5319W5F9</v>
          </cell>
          <cell r="D1542">
            <v>5636970100</v>
          </cell>
          <cell r="E1542">
            <v>90282010</v>
          </cell>
          <cell r="F1542" t="str">
            <v>Not applicable</v>
          </cell>
          <cell r="H1542" t="str">
            <v>Hidrometro Ultrassonico (Contador de líquidos) Res.; LatAo; DN25-260; Q3=10 m³/h; R250; Pulso; com peso líquido unitario aproximado entre 1,5kg e 3kgs (ZLW-DN25)</v>
          </cell>
        </row>
        <row r="1543">
          <cell r="B1543" t="str">
            <v xml:space="preserve">WSG-P70-0106
</v>
          </cell>
          <cell r="D1543">
            <v>85776</v>
          </cell>
          <cell r="E1543">
            <v>85177091</v>
          </cell>
          <cell r="F1543" t="str">
            <v>Not applicable</v>
          </cell>
          <cell r="H1543" t="str">
            <v>Gabinete WSG P70 montada de plastico com tamanho 548mmx446mmx223mm com protecAo, fonte de energia 115 VAC, com carregador de bateria 12 AH e dois radios (WSG-P70-0106)</v>
          </cell>
        </row>
        <row r="1544">
          <cell r="B1544" t="str">
            <v>MXNXU91NNNNNNS3BEDUNN</v>
          </cell>
          <cell r="D1544">
            <v>85777</v>
          </cell>
          <cell r="E1544">
            <v>85176277</v>
          </cell>
          <cell r="F1544" t="str">
            <v>Not applicable</v>
          </cell>
          <cell r="G1544">
            <v>85176277</v>
          </cell>
          <cell r="H1544" t="str">
            <v>Radio de frequencia 900MHz, para comunicacAo (recepcAo, conversAo e transmissAo) de dados por rede sem fio (WLAN), emissor, com receptor incorporado, digital, de taxa de trasmissAo superior a 34Mbit/s - marca GE, modelo MCR (MXNXU91NNNNNNS3BEDUNN)</v>
          </cell>
        </row>
        <row r="1545">
          <cell r="B1545" t="str">
            <v>WSG-P70-0103</v>
          </cell>
          <cell r="D1545">
            <v>85778</v>
          </cell>
          <cell r="E1545">
            <v>85177091</v>
          </cell>
          <cell r="F1545" t="str">
            <v>Not applicable</v>
          </cell>
          <cell r="H1545" t="str">
            <v>Gabinete WSG P70 montada de plastico com tamanho 548mmx446mmx223mm com protecAo, fonte de energia 115 VAC, com carregador de bateria 12 AH e dois radios(WSG-P70-0103)</v>
          </cell>
        </row>
        <row r="1546">
          <cell r="B1546" t="str">
            <v>82-1743A01</v>
          </cell>
          <cell r="D1546">
            <v>85779</v>
          </cell>
          <cell r="E1546">
            <v>85177091</v>
          </cell>
          <cell r="F1546" t="str">
            <v>Not applicable</v>
          </cell>
          <cell r="H1546" t="str">
            <v>ArmacAo de fixacAo,  metal para poste (82-1743A01)</v>
          </cell>
        </row>
        <row r="1547">
          <cell r="B1547" t="str">
            <v>97-3194A17</v>
          </cell>
          <cell r="D1547">
            <v>85393</v>
          </cell>
          <cell r="E1547">
            <v>85291019</v>
          </cell>
          <cell r="F1547" t="str">
            <v>Not applicable</v>
          </cell>
          <cell r="H1547" t="str">
            <v>Antena Omni direcional para frequencia 902-928MHz 7dBd (9.15 dBi) w/16" coax N-M (97-3194A17)</v>
          </cell>
        </row>
        <row r="1548">
          <cell r="B1548" t="str">
            <v>ECRU91NNNNNS1D1BRUNNN</v>
          </cell>
          <cell r="D1548">
            <v>85780</v>
          </cell>
          <cell r="E1548">
            <v>85176277</v>
          </cell>
          <cell r="F1548" t="str">
            <v>Not applicable</v>
          </cell>
          <cell r="G1548">
            <v>85176277</v>
          </cell>
          <cell r="H1548" t="str">
            <v>Radio de frequencia 900MHz, para comunicacAo (recepcAo, conversAo e transmissAo) de dados por rede sem fio (WLAN), emissor, com receptor incorporado, digital, de taxa de trasmissAo superior a 34Mbit/s - marca GE, modelo ECR (ECRU91NNNNNS1D1BRUNNN)</v>
          </cell>
        </row>
        <row r="1549">
          <cell r="B1549" t="str">
            <v>97-1680A30</v>
          </cell>
          <cell r="D1549">
            <v>85395</v>
          </cell>
          <cell r="E1549">
            <v>85354090</v>
          </cell>
          <cell r="F1549" t="str">
            <v>Not applicable</v>
          </cell>
          <cell r="H1549" t="str">
            <v>Supressor de surto para antena externa para frequencias ate DC 7GHz NF/NF (97-1680A30)</v>
          </cell>
        </row>
        <row r="1550">
          <cell r="B1550" t="str">
            <v>P60EII</v>
          </cell>
          <cell r="D1550">
            <v>85789</v>
          </cell>
          <cell r="E1550">
            <v>85177091</v>
          </cell>
          <cell r="F1550" t="str">
            <v>Not applicable</v>
          </cell>
          <cell r="H1550" t="str">
            <v>Gabinete WSG P60 montada de plastico com tamanho 350x301x165mm com protecAo, fonte de energia (127-220VAC/24VDC, 0.3Amp) , com carregador de bateria 2Ah 24VDC  e um radio ECR900MHZ  (P60)</v>
          </cell>
        </row>
        <row r="1551">
          <cell r="B1551" t="str">
            <v>MXCT4GANW51NNS3BGSUND</v>
          </cell>
          <cell r="D1551">
            <v>87434</v>
          </cell>
          <cell r="E1551">
            <v>85176277</v>
          </cell>
          <cell r="F1551" t="str">
            <v>Not applicable</v>
          </cell>
          <cell r="G1551">
            <v>85176277</v>
          </cell>
          <cell r="H1551" t="str">
            <v>Modem Celular 3G/4G LTE para as frequencias do Brasil com Dual SIM</v>
          </cell>
        </row>
        <row r="1552">
          <cell r="B1552" t="str">
            <v>HXAP1000R21001</v>
          </cell>
          <cell r="D1552">
            <v>21504041</v>
          </cell>
          <cell r="E1552">
            <v>85176241</v>
          </cell>
          <cell r="F1552" t="str">
            <v>Not applicable</v>
          </cell>
          <cell r="G1552">
            <v>85176241</v>
          </cell>
          <cell r="H1552" t="str">
            <v>Roteadores de borda, para comunicacAo de dados sem fio, digitais, compatíveis com o padrAo WiSUN e IEEE802.15.4g, capazes de operar na faixa ISM de 902 a 928MHz em redes de topologia "Mesh" ou "Estrela" com espalhamento espectral por salto em frequencia (FHSS), enderecamento IPv6 e potencia de transmissAo de ate +30dBm, com interface de comunicacAo "fast ethernet" e alimentacAo "full-range" de 85 a 336VAC, ano de fabricacAo XXXX, numeros de serie YYYY a ZZZZ, modelo MMMM, marca LLLL.</v>
          </cell>
        </row>
        <row r="1553">
          <cell r="B1553" t="str">
            <v>HXWSG100R21001</v>
          </cell>
          <cell r="D1553">
            <v>21504042</v>
          </cell>
          <cell r="E1553">
            <v>85176294</v>
          </cell>
          <cell r="F1553" t="str">
            <v>Not applicable</v>
          </cell>
          <cell r="G1553">
            <v>85176294</v>
          </cell>
          <cell r="H1553" t="str">
            <v>Sub-roteadores de radio frequencia, tradutores (conversores) de protocolos para interconexAo de redes (gateways), para comunicacAo (conversAo) de dados, compatíveis com o padrAo WiSUN e IEEE802.15.4g, capazes de operar na faixa ISM de 902 a 928MHz em redes de topologia "Mesh" ou "Estrela" com espalhamento espectral por salto em frequencia (FHSS), enderecamento IPv6 e potencia de transmissAo de ate +30dBm, contendo alimentacAo "full-range" de 80 a 300VAC, ano de fabricacAo XXXX, numeros de serie YYYY a ZZZZ, modelo MMMM, marca LLLL.</v>
          </cell>
        </row>
        <row r="1554">
          <cell r="B1554" t="str">
            <v>HXAP1000R21002</v>
          </cell>
          <cell r="D1554">
            <v>21504055</v>
          </cell>
          <cell r="E1554">
            <v>85176241</v>
          </cell>
          <cell r="F1554" t="str">
            <v>Not applicable</v>
          </cell>
          <cell r="G1554">
            <v>85176241</v>
          </cell>
          <cell r="H1554" t="str">
            <v>Roteadores de borda, digitais, para comunicacAo de dados sem fio, digitais, compatíveis com o padrAo WiSUN e IEEE802.15.4g, capazes de operar na faixa ISM de 902 a 928MHz em redes de topologia "Mesh" ou "Estrela" com espalhamento espectral por salto em frequencia (FHSS), enderecamento IPv6 e potencia de transmissAo de ate +30dBm, com interface de comunicacAo "fast ethernet" e alimentacAo "full-range" de 85 a 336VAC, ano de fabricacAo XXXX, numero de serie YYYY a ZZZZ.</v>
          </cell>
        </row>
        <row r="1555">
          <cell r="B1555" t="str">
            <v>WSG-P70-0106-02</v>
          </cell>
          <cell r="D1555">
            <v>87942</v>
          </cell>
          <cell r="E1555">
            <v>85176277</v>
          </cell>
          <cell r="F1555" t="str">
            <v>Not applicable</v>
          </cell>
          <cell r="G1555">
            <v>85176277</v>
          </cell>
          <cell r="H1555" t="str">
            <v>Placa Base Metalica em gabinete WSG P70,  FuncAo redundante 457mm x 378mm x 219mm (WSG-P70-0106-02)</v>
          </cell>
        </row>
        <row r="1556">
          <cell r="B1556" t="str">
            <v>HXW3620W2H1</v>
          </cell>
          <cell r="D1556">
            <v>56200100</v>
          </cell>
          <cell r="E1556">
            <v>90282010</v>
          </cell>
          <cell r="F1556" t="str">
            <v>Not applicable</v>
          </cell>
          <cell r="H1556" t="str">
            <v>Hidrometro (contador de líquidos) Woltmann HORIZONTAL, de peso líquido unitario aproximado entre 9kgs e 12kgs; 2"; DN50-200 mm; Q3=25 m³/h; R50; (LXLC-50)</v>
          </cell>
        </row>
        <row r="1557">
          <cell r="B1557" t="str">
            <v>HXW3820W2H1</v>
          </cell>
          <cell r="D1557">
            <v>56200101</v>
          </cell>
          <cell r="E1557">
            <v>90282010</v>
          </cell>
          <cell r="F1557" t="str">
            <v>Not applicable</v>
          </cell>
          <cell r="H1557" t="str">
            <v>Hidrometro (contador de líquidos) Woltmann HORIZONTAL, de peso líquido unitario aproximado entre 13kgs e 16kgs; 3"; DN80-225 mm; Q3=63 m³/h; R50; (LXLC-80)</v>
          </cell>
        </row>
        <row r="1558">
          <cell r="B1558" t="str">
            <v>HXW3920W2H1</v>
          </cell>
          <cell r="D1558">
            <v>56200102</v>
          </cell>
          <cell r="E1558">
            <v>90282010</v>
          </cell>
          <cell r="F1558" t="str">
            <v>Not applicable</v>
          </cell>
          <cell r="H1558" t="str">
            <v>Hidrometro (contador de líquidos) Woltmann HORIZONTAL; de peso líquido unitario aproximado entre 15kgs e 18kgs; 4"; DN100-250 mm; Q3=100 m³/h; R50; (LXLC-100)</v>
          </cell>
        </row>
        <row r="1559">
          <cell r="B1559" t="str">
            <v>HXW3B20W2H1</v>
          </cell>
          <cell r="D1559">
            <v>56200103</v>
          </cell>
          <cell r="E1559">
            <v>90282010</v>
          </cell>
          <cell r="F1559" t="str">
            <v>Not applicable</v>
          </cell>
          <cell r="H1559" t="str">
            <v>Hidrometro (contador de líquidos) Woltmann HORIZONTAL; de peso líquido aproximado entre 23kgs e 26kgs; 6"; DN150-300 mm; Q3=250 m³/h; R50; (LXLC-150)</v>
          </cell>
        </row>
        <row r="1560">
          <cell r="B1560" t="str">
            <v>HXW3C20W2H1</v>
          </cell>
          <cell r="D1560">
            <v>56200104</v>
          </cell>
          <cell r="E1560">
            <v>90282010</v>
          </cell>
          <cell r="F1560" t="str">
            <v>Not applicable</v>
          </cell>
          <cell r="H1560" t="str">
            <v>Hidrometro (contador de líquidos) Woltmann HORIZONTAL; de peso líquido unitario aproximado entre 38kgs e 44kgs; 8"; DN200-350 mm; Q3=400 m³/h; R50; (LXLC-200)</v>
          </cell>
        </row>
        <row r="1561">
          <cell r="B1561" t="str">
            <v>HXW5634W6F6</v>
          </cell>
          <cell r="D1561">
            <v>56220400</v>
          </cell>
          <cell r="E1561">
            <v>90282010</v>
          </cell>
          <cell r="F1561" t="str">
            <v>Not applicable</v>
          </cell>
          <cell r="H1561" t="str">
            <v>Hidrometro (contador de líquidos) eletronico ultrassonico, de peso líquido unitario aproximado entre 10kgs e 15 kgs, Classe C, Q3 = 40,0 m³/h, R 500 DN = 50 mm, L = 200 mm (ZLW-050)</v>
          </cell>
        </row>
        <row r="1562">
          <cell r="B1562" t="str">
            <v>HXW5634W6FA</v>
          </cell>
          <cell r="D1562">
            <v>56220200</v>
          </cell>
          <cell r="E1562">
            <v>90282010</v>
          </cell>
          <cell r="F1562" t="str">
            <v>Not applicable</v>
          </cell>
          <cell r="H1562" t="str">
            <v>Hidrometro (contador de líquidos) eletronico ultrassonico, de peso líquido unitario aproximado entre 12 kgs e 16 kgs, classe C, Q3 = 25,0 m³/h, R 400 DN = 50 mm, L = 270 mm (ZLW-050)</v>
          </cell>
        </row>
        <row r="1563">
          <cell r="B1563" t="str">
            <v>565BC50010</v>
          </cell>
          <cell r="D1563" t="str">
            <v>565BC50010</v>
          </cell>
          <cell r="E1563">
            <v>90282010</v>
          </cell>
          <cell r="F1563" t="str">
            <v>Not applicable</v>
          </cell>
          <cell r="G1563">
            <v>90282010</v>
          </cell>
          <cell r="H1563" t="str">
            <v>Hidometro Ultrassonico (Contador de Líquidos) Ind.; Aco; DN80-225 mm; Q3=63 m³/h; R500; Pulso; MODBUS, com peso líquido unitario aproximado de 15kg a 17kg (ZLW-DN80)</v>
          </cell>
        </row>
        <row r="1564">
          <cell r="B1564" t="str">
            <v>HXW5934W6F8</v>
          </cell>
          <cell r="D1564" t="str">
            <v>565CC60010</v>
          </cell>
          <cell r="E1564">
            <v>90282010</v>
          </cell>
          <cell r="F1564" t="str">
            <v>Not applicable</v>
          </cell>
          <cell r="G1564">
            <v>90282010</v>
          </cell>
          <cell r="H1564" t="str">
            <v>Hidrometro (contador de líquido) eletronico ultrassonico, Classe C, Q3 = 100,0 m³/h, R 400 DN =DN = 100 , L = 250 mm (ZLW-100), com o peso líquido unitario de 20,3 KG;</v>
          </cell>
        </row>
        <row r="1565">
          <cell r="B1565" t="str">
            <v>HXW5A34W6FB</v>
          </cell>
          <cell r="D1565">
            <v>56220900</v>
          </cell>
          <cell r="E1565">
            <v>90282010</v>
          </cell>
          <cell r="F1565" t="str">
            <v>Not applicable</v>
          </cell>
          <cell r="H1565" t="str">
            <v>Hidrometro (contador de líquidos) eletr. ultrassonico, de peso líquido unitario aproximado entre 12kgs e 16kgs, Classe C, Q3 = 250,0 m³/h, R 400 DN = 150 , L = 300 mm (ZLW-150)</v>
          </cell>
        </row>
        <row r="1566">
          <cell r="B1566" t="str">
            <v>HXW5B34W6FC</v>
          </cell>
          <cell r="D1566">
            <v>56220800</v>
          </cell>
          <cell r="E1566">
            <v>90282010</v>
          </cell>
          <cell r="F1566" t="str">
            <v>Not applicable</v>
          </cell>
          <cell r="H1566" t="str">
            <v>Hidrometro (contador de líquidos) eletr. ultrassonico, de peso líquido unitario aproximado entre 40kgs e 50kgs, Classe C, Q3 = 400,0 m³/h, R 400 DN = 200 , L = 350 mm (ZLW-200)</v>
          </cell>
        </row>
        <row r="1567">
          <cell r="B1567" t="str">
            <v>HXW1628W2H1</v>
          </cell>
          <cell r="D1567">
            <v>5669240200</v>
          </cell>
          <cell r="E1567">
            <v>90282010</v>
          </cell>
          <cell r="F1567" t="str">
            <v>Not applicable</v>
          </cell>
          <cell r="H1567" t="str">
            <v>Hidrometro (contador de líquidos) Woltmann AXIAL/HORIZONTAL; de peso líquido unitario aproximado entre 9kgs e 12kgs, Fria; 2"; DN50-200 mm; Q3=25 m³/h; R50; Pulso (LXLC-50)</v>
          </cell>
        </row>
        <row r="1568">
          <cell r="B1568" t="str">
            <v>HXW1620W2H1</v>
          </cell>
          <cell r="D1568" t="str">
            <v>5689H40100</v>
          </cell>
          <cell r="E1568">
            <v>90282010</v>
          </cell>
          <cell r="F1568" t="str">
            <v>Not applicable</v>
          </cell>
          <cell r="H1568" t="str">
            <v>Hidrometro (contador de líquidos) Woltmann TANG; de peso líquido unitario aproximado entre 9kgs e 12kgs, 2"; DN50-200 mm; Q3=25 m³/h; R25; Reed (WI-50)</v>
          </cell>
        </row>
        <row r="1569">
          <cell r="B1569" t="str">
            <v>HXW1820W2H1</v>
          </cell>
          <cell r="D1569" t="str">
            <v>568BH50100</v>
          </cell>
          <cell r="E1569">
            <v>90282010</v>
          </cell>
          <cell r="F1569" t="str">
            <v>Not applicable</v>
          </cell>
          <cell r="H1569" t="str">
            <v>Hidrometro (contador de líquidos) Woltmann TANG; de peso líquido unitario aproximado entre 11kgs e 14kgs, 3"; DN80-225 mm; Q3=63 m³/h; R25; Reed (WI-80)</v>
          </cell>
        </row>
        <row r="1570">
          <cell r="B1570" t="str">
            <v>HXW1920W2H1</v>
          </cell>
          <cell r="D1570" t="str">
            <v>568CH60100</v>
          </cell>
          <cell r="E1570">
            <v>90282010</v>
          </cell>
          <cell r="F1570" t="str">
            <v>Not applicable</v>
          </cell>
          <cell r="H1570" t="str">
            <v>Hidrometro (contador de líquidos) Woltmann TANG; de peso líquido unitario aproximado entre 13kgs e 16kgs; 4"; DN100-250 mm; Q3=100 m³/h; R25; Reed (WI-100)</v>
          </cell>
        </row>
        <row r="1571">
          <cell r="B1571">
            <v>2060500411</v>
          </cell>
          <cell r="D1571">
            <v>20630810</v>
          </cell>
          <cell r="E1571">
            <v>85411021</v>
          </cell>
          <cell r="F1571">
            <v>85411021</v>
          </cell>
          <cell r="G1571">
            <v>85411021</v>
          </cell>
          <cell r="H1571" t="str">
            <v xml:space="preserve">DISPOSITIVO SEMICONDUTOR TIPO DIODO ZENER, MONTADO, PRoPRIO PARA MONTAGEM EM SUPERFÍCIE SMD DE INTENSIDADE DE CORRENTE 0,005A (2060500411)
</v>
          </cell>
        </row>
        <row r="1572">
          <cell r="B1572">
            <v>2060500012</v>
          </cell>
          <cell r="D1572">
            <v>20630811</v>
          </cell>
          <cell r="E1572">
            <v>85411021</v>
          </cell>
          <cell r="F1572">
            <v>85411021</v>
          </cell>
          <cell r="G1572">
            <v>85411021</v>
          </cell>
          <cell r="H1572" t="str">
            <v xml:space="preserve">DISPOSITIVO SEMICONDUTOR TIPO DIODO ZENER, MONTADO, PRoPRIO PARA MONTAGEM EM SUPERFÍCIE SMD DE INTENSIDADE DE CORRENTE 0,0125A (2060500012)
</v>
          </cell>
        </row>
        <row r="1573">
          <cell r="B1573">
            <v>2060501471</v>
          </cell>
          <cell r="D1573">
            <v>20630113</v>
          </cell>
          <cell r="E1573">
            <v>85411021</v>
          </cell>
          <cell r="F1573">
            <v>85411021</v>
          </cell>
          <cell r="G1573">
            <v>85411021</v>
          </cell>
          <cell r="H1573" t="str">
            <v xml:space="preserve">DISPOSITIVO SEMICONDUTOR TIPO DIODO ZENER, MONTADO, PRoPRIO PARA MONTAGEM EM SUPERFÍCIE SMD DE INTENSIDADE DE CORRENTE 0,061A (2060501471)
</v>
          </cell>
        </row>
        <row r="1574">
          <cell r="B1574">
            <v>2041100272</v>
          </cell>
          <cell r="D1574">
            <v>20640720</v>
          </cell>
          <cell r="E1574">
            <v>85414121</v>
          </cell>
          <cell r="F1574">
            <v>85414121</v>
          </cell>
          <cell r="G1574">
            <v>85414121</v>
          </cell>
          <cell r="H1574" t="str">
            <v xml:space="preserve">Diodo emissor de luz (LED), montado, proprio para montagem em superfície (SMD) 0603, com tensAo de alimentacAo entre 1.8 a 2.4V, corrente típica de trabalho de 30mA, intensidade luminosa de 18 a 180mcd e comprimento de onda dominante de 631nm (vemelho)(2041100272)
</v>
          </cell>
        </row>
        <row r="1575">
          <cell r="B1575">
            <v>2150147820</v>
          </cell>
          <cell r="D1575">
            <v>20661736</v>
          </cell>
          <cell r="E1575">
            <v>85340033</v>
          </cell>
          <cell r="F1575" t="str">
            <v>Not applicable</v>
          </cell>
          <cell r="G1575">
            <v>85340033</v>
          </cell>
          <cell r="H1575" t="str">
            <v>PLACA DE CIRCUITO IMPRESSO, DE NATUREZA DO MATERIAL BASE RÍGIDO, COMPOSIcAO DA PLACA DE ISOLANTE DE RESINA EPoXIDA E TECIDO DE FIBRA DE VIDRO, ESTRUTURA DE DUPLA-FACE E INTERLIGAcAO ENTRE FACES POR FUROS METALIZADOS, 237mm x 117mm x 1.6mm; (2150147820)</v>
          </cell>
        </row>
        <row r="1576">
          <cell r="B1576">
            <v>4030503030</v>
          </cell>
          <cell r="D1576">
            <v>92708</v>
          </cell>
          <cell r="E1576">
            <v>84799090</v>
          </cell>
          <cell r="F1576" t="str">
            <v>Not applicable</v>
          </cell>
          <cell r="G1576">
            <v>84799090</v>
          </cell>
          <cell r="H1576" t="str">
            <v>Placa optica de transferencia de comunicacAo, parte para uso em maquina de teste de tensAo Pinboard Auto FCT (ref.4030503030)</v>
          </cell>
        </row>
        <row r="1577">
          <cell r="B1577">
            <v>7020501360</v>
          </cell>
          <cell r="D1577">
            <v>92515</v>
          </cell>
          <cell r="E1577">
            <v>85044090</v>
          </cell>
          <cell r="F1577" t="str">
            <v>Not applicable</v>
          </cell>
          <cell r="G1577">
            <v>85044090</v>
          </cell>
          <cell r="H1577" t="str">
            <v>Conversor estatico do tipo regulador de tensAo automatico de alta precisAo, de tecnologia de controle microprocessado, de tensAo de alimentacAo 380Vca Trifasico, de corrente nominal de saída 43,6A, 30 KVA (ref.7020501360)</v>
          </cell>
        </row>
        <row r="1578">
          <cell r="B1578">
            <v>2050700435</v>
          </cell>
          <cell r="D1578">
            <v>20660376</v>
          </cell>
          <cell r="E1578">
            <v>85423939</v>
          </cell>
          <cell r="F1578">
            <v>85423939</v>
          </cell>
          <cell r="G1578">
            <v>85423939</v>
          </cell>
          <cell r="H1578" t="str">
            <v>Circuito integrado eletronico tipo comunicacAo RS-485, montado, proprio para montagem em superfície SMD - 5V 10Mbps SO-8 (2050700435)</v>
          </cell>
        </row>
        <row r="1579">
          <cell r="B1579">
            <v>7020822231</v>
          </cell>
          <cell r="D1579">
            <v>93766</v>
          </cell>
          <cell r="E1579">
            <v>84807100</v>
          </cell>
          <cell r="F1579" t="str">
            <v>Not applicable</v>
          </cell>
          <cell r="G1579">
            <v>84807100</v>
          </cell>
          <cell r="H1579" t="str">
            <v>Molde para plastico, para moldagem por injecAo de policarbonato - S20078, 30203-EQ73-01 (ref.7020822231)</v>
          </cell>
        </row>
        <row r="1580">
          <cell r="B1580">
            <v>7020822241</v>
          </cell>
          <cell r="D1580">
            <v>93767</v>
          </cell>
          <cell r="E1580">
            <v>84807100</v>
          </cell>
          <cell r="F1580" t="str">
            <v>Not applicable</v>
          </cell>
          <cell r="G1580">
            <v>84807100</v>
          </cell>
          <cell r="H1580" t="str">
            <v>Molde para plastico, para moldagem por injecAo de policarbonato - S20079, 30201-EQ73-01 (ref.7020822241)</v>
          </cell>
        </row>
        <row r="1581">
          <cell r="B1581">
            <v>7020822251</v>
          </cell>
          <cell r="D1581">
            <v>93768</v>
          </cell>
          <cell r="E1581">
            <v>84807100</v>
          </cell>
          <cell r="F1581" t="str">
            <v>Not applicable</v>
          </cell>
          <cell r="G1581">
            <v>84807100</v>
          </cell>
          <cell r="H1581" t="str">
            <v>Molde para plastico, para moldagem por injecAo de policarbonato - S20080, 30209-EQ73-01 (ref.7020822251)</v>
          </cell>
        </row>
        <row r="1582">
          <cell r="B1582">
            <v>7020822261</v>
          </cell>
          <cell r="D1582">
            <v>93769</v>
          </cell>
          <cell r="E1582">
            <v>84807100</v>
          </cell>
          <cell r="F1582" t="str">
            <v>Not applicable</v>
          </cell>
          <cell r="G1582">
            <v>84807100</v>
          </cell>
          <cell r="H1582" t="str">
            <v>Molde para plastico, para moldagem por injecAo de policarbonato - S20081, 30217-EQ73-01 (ref.7020822261)</v>
          </cell>
        </row>
        <row r="1583">
          <cell r="B1583">
            <v>7020822271</v>
          </cell>
          <cell r="D1583">
            <v>93770</v>
          </cell>
          <cell r="E1583">
            <v>84807100</v>
          </cell>
          <cell r="F1583" t="str">
            <v>Not applicable</v>
          </cell>
          <cell r="G1583">
            <v>84807100</v>
          </cell>
          <cell r="H1583" t="str">
            <v>Molde para plastico, para moldagem por injecAo de policarbonato - S20082, 30213-EQ73-01 (ref.7020822271)</v>
          </cell>
        </row>
        <row r="1584">
          <cell r="B1584">
            <v>7020822281</v>
          </cell>
          <cell r="D1584">
            <v>93771</v>
          </cell>
          <cell r="E1584">
            <v>84807100</v>
          </cell>
          <cell r="F1584" t="str">
            <v>Not applicable</v>
          </cell>
          <cell r="G1584">
            <v>84807100</v>
          </cell>
          <cell r="H1584" t="str">
            <v>Molde para plastico, para moldagem por injecAo de policarbonato - S20083, 30215-EQ73-01 (ref.7020822281)</v>
          </cell>
        </row>
        <row r="1585">
          <cell r="B1585">
            <v>7020822291</v>
          </cell>
          <cell r="D1585">
            <v>93772</v>
          </cell>
          <cell r="E1585">
            <v>84807100</v>
          </cell>
          <cell r="F1585" t="str">
            <v>Not applicable</v>
          </cell>
          <cell r="G1585">
            <v>84807100</v>
          </cell>
          <cell r="H1585" t="str">
            <v>Molde para plastico, para moldagem por injecAo de policarbonato - S20084, 30211-EQ73-02 (ref.7020822291)</v>
          </cell>
        </row>
        <row r="1586">
          <cell r="B1586">
            <v>4010200010</v>
          </cell>
          <cell r="D1586">
            <v>64798</v>
          </cell>
          <cell r="E1586">
            <v>84672992</v>
          </cell>
          <cell r="F1586" t="str">
            <v>Not applicable</v>
          </cell>
          <cell r="G1586">
            <v>84672992</v>
          </cell>
          <cell r="H1586" t="str">
            <v>Parafusadeira com motor eletrico incorporado, de uso manual (ref. 4010200010)</v>
          </cell>
        </row>
        <row r="1587">
          <cell r="B1587">
            <v>4020800090</v>
          </cell>
          <cell r="D1587">
            <v>93776</v>
          </cell>
          <cell r="E1587">
            <v>84679900</v>
          </cell>
          <cell r="F1587" t="str">
            <v>Not applicable</v>
          </cell>
          <cell r="G1587">
            <v>84679900</v>
          </cell>
          <cell r="H1587" t="str">
            <v>Bit parte para uso em parafusadeira manual de motor eletrico incorporado M5*60 (ref. 4020800090)</v>
          </cell>
        </row>
        <row r="1588">
          <cell r="B1588">
            <v>4010201180</v>
          </cell>
          <cell r="D1588">
            <v>89962</v>
          </cell>
          <cell r="E1588">
            <v>85152900</v>
          </cell>
          <cell r="F1588" t="str">
            <v>Not applicable</v>
          </cell>
          <cell r="G1588">
            <v>85152900</v>
          </cell>
          <cell r="H1588" t="str">
            <v>ESTAÇÃO DE SOLDA COM PISTOLA DE SOLDA PARA SOLDAGEM DE COMPONENTES ELETRONICOS, COM REGULADOR MANUAL , 220V, 90W - RESISTENCIA QUICK 203H.</v>
          </cell>
        </row>
        <row r="1589">
          <cell r="B1589">
            <v>4020800300</v>
          </cell>
          <cell r="D1589">
            <v>42220</v>
          </cell>
          <cell r="E1589">
            <v>85159000</v>
          </cell>
          <cell r="F1589" t="str">
            <v>Not applicable</v>
          </cell>
          <cell r="G1589">
            <v>85159000</v>
          </cell>
          <cell r="H1589" t="str">
            <v>Ponta Conica para ferro de soldagem a calor de componentes eletronicos Quick (200B)</v>
          </cell>
        </row>
        <row r="1590">
          <cell r="B1590">
            <v>4020800250</v>
          </cell>
          <cell r="D1590">
            <v>83111</v>
          </cell>
          <cell r="E1590">
            <v>85159000</v>
          </cell>
          <cell r="F1590" t="str">
            <v>Not applicable</v>
          </cell>
          <cell r="G1590">
            <v>85159000</v>
          </cell>
          <cell r="H1590" t="str">
            <v>Ponta para faca de soldagem a calor de componentes eletronicos (ref. 4020800250)</v>
          </cell>
        </row>
        <row r="1591">
          <cell r="B1591">
            <v>4020601230</v>
          </cell>
          <cell r="D1591">
            <v>69262</v>
          </cell>
          <cell r="E1591">
            <v>84719019</v>
          </cell>
          <cell r="F1591" t="str">
            <v>Not applicable</v>
          </cell>
          <cell r="G1591">
            <v>84719019</v>
          </cell>
          <cell r="H1591" t="str">
            <v>Gravadora automatica de dados de firmware J-Link V9 (ref. 4020601230)</v>
          </cell>
        </row>
        <row r="1592">
          <cell r="B1592">
            <v>4030400850</v>
          </cell>
          <cell r="D1592">
            <v>69823</v>
          </cell>
          <cell r="E1592">
            <v>73269090</v>
          </cell>
          <cell r="F1592" t="str">
            <v>Not applicable</v>
          </cell>
          <cell r="G1592">
            <v>73269090</v>
          </cell>
          <cell r="H1592" t="str">
            <v>GABARITO DE PASTA DE SOLDA SMT, DE AcO, OBTIDO POR DOBRAGEM, PARA MaQUINA DE SOLDAGEM A CALOR PARA PLACAS DE MEDIDORES ELeTRICOS C/ LED (REF. 4030400850)</v>
          </cell>
        </row>
        <row r="1593">
          <cell r="B1593">
            <v>4039893700</v>
          </cell>
          <cell r="D1593">
            <v>93777</v>
          </cell>
          <cell r="E1593">
            <v>73269090</v>
          </cell>
          <cell r="F1593" t="str">
            <v>Not applicable</v>
          </cell>
          <cell r="G1593">
            <v>73269090</v>
          </cell>
          <cell r="H1593" t="str">
            <v>GABARITO DE PASTA DE SOLDA SMT, DE AcO, OBTIDO POR DOBRAGEM, PARA MaQUINA DE SOLDAGEM A CALOR PARA PLACAS DE MEDIDORES ELeTRICOS C/ LED (REF. 4039893700)</v>
          </cell>
        </row>
        <row r="1594">
          <cell r="B1594">
            <v>4039803580</v>
          </cell>
          <cell r="D1594">
            <v>71910</v>
          </cell>
          <cell r="E1594">
            <v>84689090</v>
          </cell>
          <cell r="F1594" t="str">
            <v>Not applicable</v>
          </cell>
          <cell r="G1594">
            <v>84689090</v>
          </cell>
          <cell r="H1594" t="str">
            <v>GABARITO PARA USO EM FORNO DE SOLDAGEM DE COMPONENTES ELETRoNICOS (REF. 4039803580)</v>
          </cell>
        </row>
        <row r="1595">
          <cell r="B1595">
            <v>4039806670</v>
          </cell>
          <cell r="D1595">
            <v>71915</v>
          </cell>
          <cell r="E1595">
            <v>73269090</v>
          </cell>
          <cell r="F1595" t="str">
            <v>Not applicable</v>
          </cell>
          <cell r="G1595">
            <v>73269090</v>
          </cell>
          <cell r="H1595" t="str">
            <v>Gabarito de pasta de solda SMT, de aco, obtido por dobragem, para maquinas de soldagem a calor para placas de medidores eletricos espessura 6mm(ref.4039806670)</v>
          </cell>
        </row>
        <row r="1596">
          <cell r="B1596">
            <v>4039800010</v>
          </cell>
          <cell r="D1596">
            <v>69261</v>
          </cell>
          <cell r="E1596">
            <v>73269090</v>
          </cell>
          <cell r="F1596" t="str">
            <v>Not applicable</v>
          </cell>
          <cell r="G1596">
            <v>73269090</v>
          </cell>
          <cell r="H1596" t="str">
            <v>GABARITO DE PASTA DE SOLDA SMD - Stencil, DE AcO, OBTIDO POR DOBRAGEM (REF. 4039800010)</v>
          </cell>
        </row>
        <row r="1597">
          <cell r="B1597">
            <v>4020200690</v>
          </cell>
          <cell r="D1597">
            <v>69385</v>
          </cell>
          <cell r="E1597">
            <v>73151100</v>
          </cell>
          <cell r="F1597" t="str">
            <v>Not applicable</v>
          </cell>
          <cell r="G1597">
            <v>73151100</v>
          </cell>
          <cell r="H1597" t="str">
            <v>Corrente de rolo, de aco, para uso em bancada de testes de medidores (ref. 4020200690)</v>
          </cell>
        </row>
        <row r="1598">
          <cell r="B1598">
            <v>7020821611</v>
          </cell>
          <cell r="D1598">
            <v>93758</v>
          </cell>
          <cell r="E1598">
            <v>84807100</v>
          </cell>
          <cell r="F1598" t="str">
            <v>Not applicable</v>
          </cell>
          <cell r="G1598">
            <v>84807100</v>
          </cell>
          <cell r="H1598" t="str">
            <v>Molde para moldagem por injecAo de material de plastico (policarbonato), S20064, 30203-EQ70-01 (ref.7020821611)</v>
          </cell>
        </row>
        <row r="1599">
          <cell r="B1599">
            <v>7020821621</v>
          </cell>
          <cell r="D1599">
            <v>93759</v>
          </cell>
          <cell r="E1599">
            <v>84807100</v>
          </cell>
          <cell r="F1599" t="str">
            <v>Not applicable</v>
          </cell>
          <cell r="G1599">
            <v>84807100</v>
          </cell>
          <cell r="H1599" t="str">
            <v>Molde para moldagem por injecAo de material de plastico (policarbonato),  S20065，30201-EQ70-01 (ref.7020821621)</v>
          </cell>
        </row>
        <row r="1600">
          <cell r="B1600">
            <v>7020821631</v>
          </cell>
          <cell r="D1600">
            <v>93760</v>
          </cell>
          <cell r="E1600">
            <v>84807100</v>
          </cell>
          <cell r="F1600" t="str">
            <v>Not applicable</v>
          </cell>
          <cell r="G1600">
            <v>84807100</v>
          </cell>
          <cell r="H1600" t="str">
            <v>Molde para moldagem por injecAo de material de plastico (policarbonato),  S20066，30209-EQ70-02 (ref.7020821631)</v>
          </cell>
        </row>
        <row r="1601">
          <cell r="B1601">
            <v>7020821641</v>
          </cell>
          <cell r="D1601">
            <v>93761</v>
          </cell>
          <cell r="E1601">
            <v>84807100</v>
          </cell>
          <cell r="F1601" t="str">
            <v>Not applicable</v>
          </cell>
          <cell r="G1601">
            <v>84807100</v>
          </cell>
          <cell r="H1601" t="str">
            <v>Molde para moldagem por injecAo de material de plastico (policarbonato),  S20067，30211-EQ70-02 (ref.7020821641)</v>
          </cell>
        </row>
        <row r="1602">
          <cell r="B1602">
            <v>7020821651</v>
          </cell>
          <cell r="D1602">
            <v>93762</v>
          </cell>
          <cell r="E1602">
            <v>84807100</v>
          </cell>
          <cell r="F1602" t="str">
            <v>Not applicable</v>
          </cell>
          <cell r="G1602">
            <v>84807100</v>
          </cell>
          <cell r="H1602" t="str">
            <v>Molde para moldagem por injecAo de material de plastico (policarbonato),  S20068，30209-EQ70-01 (ref. 7020821651)</v>
          </cell>
        </row>
        <row r="1603">
          <cell r="B1603">
            <v>7020821661</v>
          </cell>
          <cell r="D1603">
            <v>93763</v>
          </cell>
          <cell r="E1603">
            <v>84807100</v>
          </cell>
          <cell r="F1603" t="str">
            <v>Not applicable</v>
          </cell>
          <cell r="G1603">
            <v>84807100</v>
          </cell>
          <cell r="H1603" t="str">
            <v>Molde para moldagem por injecAo de material de plastico (policarbonato),  S20069，30241-EQ70-01 (ref.7020821661)</v>
          </cell>
        </row>
        <row r="1604">
          <cell r="B1604">
            <v>7020821671</v>
          </cell>
          <cell r="D1604">
            <v>93764</v>
          </cell>
          <cell r="E1604">
            <v>84807100</v>
          </cell>
          <cell r="F1604" t="str">
            <v>Not applicable</v>
          </cell>
          <cell r="G1604">
            <v>84807100</v>
          </cell>
          <cell r="H1604" t="str">
            <v>Molde para moldagem por injecAo de material de plastico (policarbonato),  S20070，30241-EQ70-02 (ref.7020821671)</v>
          </cell>
        </row>
        <row r="1605">
          <cell r="B1605">
            <v>7020821681</v>
          </cell>
          <cell r="D1605">
            <v>93765</v>
          </cell>
          <cell r="E1605">
            <v>84807100</v>
          </cell>
          <cell r="F1605" t="str">
            <v>Not applicable</v>
          </cell>
          <cell r="G1605">
            <v>84807100</v>
          </cell>
          <cell r="H1605" t="str">
            <v>Molde para moldagem por injecAo de material de plastico (policarbonato),  S20071，30235-EQ70-01 (ref7020821681)</v>
          </cell>
        </row>
        <row r="1606">
          <cell r="B1606">
            <v>7020821771</v>
          </cell>
          <cell r="D1606">
            <v>93773</v>
          </cell>
          <cell r="E1606">
            <v>84807100</v>
          </cell>
          <cell r="F1606" t="str">
            <v>Not applicable</v>
          </cell>
          <cell r="G1606">
            <v>84807100</v>
          </cell>
          <cell r="H1606" t="str">
            <v>Molde para moldagem por injecAo de material de plastico (policarbonato),  S20085，30223-EQ70-01 (ref.7020821771)</v>
          </cell>
        </row>
        <row r="1607">
          <cell r="B1607">
            <v>7020821781</v>
          </cell>
          <cell r="D1607">
            <v>93774</v>
          </cell>
          <cell r="E1607">
            <v>84807100</v>
          </cell>
          <cell r="F1607" t="str">
            <v>Not applicable</v>
          </cell>
          <cell r="G1607">
            <v>84807100</v>
          </cell>
          <cell r="H1607" t="str">
            <v>Molde para moldagem por injecAo de material de plastico (policarbonato),  S20086，30225-EQ70-01 (ref.7020821781)</v>
          </cell>
        </row>
        <row r="1608">
          <cell r="B1608">
            <v>7020822451</v>
          </cell>
          <cell r="D1608">
            <v>93775</v>
          </cell>
          <cell r="E1608">
            <v>84807100</v>
          </cell>
          <cell r="F1608" t="str">
            <v>Not applicable</v>
          </cell>
          <cell r="G1608">
            <v>84807100</v>
          </cell>
          <cell r="H1608" t="str">
            <v>Molde para moldagem por injecAo de material de plastico (policarbonato),  S21001，30223-EQ70-02 (ref.7020822451)</v>
          </cell>
        </row>
        <row r="1609">
          <cell r="B1609" t="str">
            <v>40181A04</v>
          </cell>
          <cell r="D1609">
            <v>40264619</v>
          </cell>
          <cell r="E1609">
            <v>90283011</v>
          </cell>
          <cell r="F1609" t="str">
            <v>Not applicable</v>
          </cell>
          <cell r="G1609">
            <v>90283011</v>
          </cell>
          <cell r="H1609" t="str">
            <v>Medidor de energia eletrica (contador de eletricidade) monofasico para corrente alternada, digital, Zeus 8021-NG - 1P2W; RS232; 1por cento; S/Corrente Neutro; RF-12V; SU; PO ABNT</v>
          </cell>
        </row>
        <row r="1610">
          <cell r="B1610">
            <v>40181104</v>
          </cell>
          <cell r="D1610">
            <v>40264622</v>
          </cell>
          <cell r="E1610">
            <v>90283011</v>
          </cell>
          <cell r="F1610" t="str">
            <v>Not applicable</v>
          </cell>
          <cell r="G1610">
            <v>90283011</v>
          </cell>
          <cell r="H1610" t="str">
            <v>Medidor de energia eletrica (contador de eletricidade) monofasico para corrente alternada, digital, Zeus 8031-NG - 1P3W; RS232; 1por cento; S/Corrente Neutro; RF-12V; SU; PO ABNT</v>
          </cell>
        </row>
        <row r="1611">
          <cell r="B1611">
            <v>40181202</v>
          </cell>
          <cell r="D1611">
            <v>40264625</v>
          </cell>
          <cell r="E1611">
            <v>90283021</v>
          </cell>
          <cell r="F1611" t="str">
            <v>Not applicable</v>
          </cell>
          <cell r="G1611">
            <v>90283021</v>
          </cell>
          <cell r="H1611" t="str">
            <v>Medidor de energia eletrica (contador de eletricidade) bifasico, digital, Zeus 8022-NG - 2P3W; RS232; 1por cento; S/Corrente Neutro; RF-12V; SU; PO ABNT</v>
          </cell>
        </row>
        <row r="1612">
          <cell r="B1612">
            <v>40181306</v>
          </cell>
          <cell r="D1612">
            <v>40264627</v>
          </cell>
          <cell r="E1612">
            <v>90283031</v>
          </cell>
          <cell r="F1612" t="str">
            <v>Not applicable</v>
          </cell>
          <cell r="G1612">
            <v>90283031</v>
          </cell>
          <cell r="H1612" t="str">
            <v>Medidor de energia eletrica (contador de eletricidade) trifasico, digital, Zeus 8023-NG - 3P4W; RS232; 1por cento; S/Corrente Neutro; RF-12V; SU; PO ABNT</v>
          </cell>
        </row>
        <row r="1613">
          <cell r="B1613">
            <v>40181404</v>
          </cell>
          <cell r="D1613">
            <v>40264630</v>
          </cell>
          <cell r="E1613">
            <v>90283031</v>
          </cell>
          <cell r="F1613" t="str">
            <v>Not applicable</v>
          </cell>
          <cell r="G1613">
            <v>90283031</v>
          </cell>
          <cell r="H1613" t="str">
            <v>Medidor de energia eletrica (contador de eletricidade) trifasico, digital,  Zeus 8023-2,5 NG - 3P4W; RS232; 0.2por cento; S/Corrente Neutro; RF-12V; SU; PO ABNT</v>
          </cell>
        </row>
        <row r="1614">
          <cell r="B1614">
            <v>40181602</v>
          </cell>
          <cell r="D1614">
            <v>40264633</v>
          </cell>
          <cell r="E1614">
            <v>90283031</v>
          </cell>
          <cell r="F1614" t="str">
            <v>Not applicable</v>
          </cell>
          <cell r="G1614">
            <v>90283031</v>
          </cell>
          <cell r="H1614" t="str">
            <v>Medidor de energia eletrica (contador de eletricidade) trifasico, digital,  Zeus 8023-200 NG - 3P4W; RS232; 0.5por cento; S/Corrente Neutro; RF-12V; SU; PO ABNT</v>
          </cell>
        </row>
        <row r="1615">
          <cell r="B1615">
            <v>40181309</v>
          </cell>
          <cell r="D1615">
            <v>40264644</v>
          </cell>
          <cell r="E1615">
            <v>90283031</v>
          </cell>
          <cell r="F1615" t="str">
            <v>Not applicable</v>
          </cell>
          <cell r="G1615">
            <v>90283031</v>
          </cell>
          <cell r="H1615" t="str">
            <v>Medidor de energia eletrica (contador de eletricidade) trifasico, digital,  Zeus 8023-THS - 3P4W; RS232; 1por cento; S/Corrente Neutro; S/RF; SU; PO ABNT</v>
          </cell>
        </row>
        <row r="1616">
          <cell r="B1616">
            <v>40181407</v>
          </cell>
          <cell r="D1616">
            <v>40264647</v>
          </cell>
          <cell r="E1616">
            <v>90283031</v>
          </cell>
          <cell r="F1616" t="str">
            <v>Not applicable</v>
          </cell>
          <cell r="G1616">
            <v>90283031</v>
          </cell>
          <cell r="H1616" t="str">
            <v>Medidor de energia eletrica (contador de eletricidade) trifasico, digital,  Zeus 8023-2,5 THS 3P4W; RS232; 0.2por cento; S/Corrente Neutro; S/RF; SU; PO ABNT; S/Rele</v>
          </cell>
        </row>
        <row r="1617">
          <cell r="B1617">
            <v>40181408</v>
          </cell>
          <cell r="D1617">
            <v>40264648</v>
          </cell>
          <cell r="E1617">
            <v>90283031</v>
          </cell>
          <cell r="F1617" t="str">
            <v>Not applicable</v>
          </cell>
          <cell r="G1617">
            <v>90283031</v>
          </cell>
          <cell r="H1617" t="str">
            <v>Medidor de energia eletrica (contador de eletricidade) trifasico, digital,  Zeus 8023-2,5 THS 3P4W; RS485; 0.2por cento; S/Corrente Neutro; S/RF; SU; PO ABNT; S/Rele</v>
          </cell>
        </row>
        <row r="1618">
          <cell r="B1618">
            <v>40181605</v>
          </cell>
          <cell r="D1618">
            <v>40264650</v>
          </cell>
          <cell r="E1618">
            <v>90283031</v>
          </cell>
          <cell r="F1618" t="str">
            <v>Not applicable</v>
          </cell>
          <cell r="G1618">
            <v>90283031</v>
          </cell>
          <cell r="H1618" t="str">
            <v>Medidor de energia eletrica (contador de eletricidade) trifasico, digital,  Zeus 8023-200 THS - 3P4W; RS232; 0.5por cento; S/Corrente Neutro; S/RF; SU; PO ABNT</v>
          </cell>
        </row>
        <row r="1619">
          <cell r="B1619">
            <v>40181606</v>
          </cell>
          <cell r="D1619">
            <v>40264651</v>
          </cell>
          <cell r="E1619">
            <v>90283031</v>
          </cell>
          <cell r="F1619" t="str">
            <v>Not applicable</v>
          </cell>
          <cell r="G1619">
            <v>90283031</v>
          </cell>
          <cell r="H1619" t="str">
            <v>Medidor de energia eletrica (contador de eletricidade) trifasico, digital,  Zeus 8023-200 THS - 3P4W; RS485; 0.5por cento; S/Corrente Neutro; S/RF; SU; PO ABNT</v>
          </cell>
        </row>
        <row r="1620">
          <cell r="B1620" t="str">
            <v>GADGET.R110</v>
          </cell>
          <cell r="D1620">
            <v>40501200</v>
          </cell>
          <cell r="E1620">
            <v>85437099</v>
          </cell>
          <cell r="F1620" t="str">
            <v>Not applicable</v>
          </cell>
          <cell r="G1620">
            <v>85437099</v>
          </cell>
          <cell r="H1620" t="str">
            <v>Adaptador eletrico para afericAo de modulos de medicAo de sistemas de medicAo centralizada em bancadas de medidores eletronico convencionais trifasicos</v>
          </cell>
        </row>
        <row r="1621">
          <cell r="B1621">
            <v>2150149940</v>
          </cell>
          <cell r="D1621">
            <v>20661743</v>
          </cell>
          <cell r="E1621">
            <v>85340033</v>
          </cell>
          <cell r="F1621" t="str">
            <v>Not applicable</v>
          </cell>
          <cell r="G1621">
            <v>85340033</v>
          </cell>
          <cell r="H1621" t="str">
            <v>PLACA DE CIRCUITO IMPRESSO DE NATUREZA DO MATERIAL BASE RÍGIDO, COMPOSIcAO DA PLACA COM ISOLANTE DE RESINA EPoXIDA E TECIDO DE FIBRA DE VIDRO, ESTRUTURA DE DUPLA FACE, E INTERLIGAcAO ENTRE FACES COM FUROS METALIZADOS, 2 101.79mm*322.0mm*1.6mm/2 nAo-RoHS (2150149940) SMD</v>
          </cell>
        </row>
        <row r="1622">
          <cell r="B1622">
            <v>7020702860</v>
          </cell>
          <cell r="D1622">
            <v>93782</v>
          </cell>
          <cell r="E1622">
            <v>84289090</v>
          </cell>
          <cell r="F1622" t="str">
            <v>Not applicable</v>
          </cell>
          <cell r="G1622">
            <v>84289090</v>
          </cell>
          <cell r="H1622" t="str">
            <v xml:space="preserve">Linha de trabalho em perfil de aluminio, com luminarias, capacidade para 15 estacoes, com esteiras para movimentacAo de componentes para montagem de caixa de medidores (ref. 7020702860) </v>
          </cell>
        </row>
        <row r="1623">
          <cell r="B1623">
            <v>2010105560</v>
          </cell>
          <cell r="D1623">
            <v>20660980</v>
          </cell>
          <cell r="E1623">
            <v>85332120</v>
          </cell>
          <cell r="F1623">
            <v>85332120</v>
          </cell>
          <cell r="G1623">
            <v>85332120</v>
          </cell>
          <cell r="H1623" t="str">
            <v>RESISTOR (RESISTeNCIA ELeTRICA FIXA) PRoPRIO PARA MONTAGEM EM SUPERFÍCIE SMD  10R 1por cento 200.0ppm POTeNCIA DE 1/16W 0402 (2010105560) SMD</v>
          </cell>
        </row>
        <row r="1624">
          <cell r="B1624">
            <v>2010101950</v>
          </cell>
          <cell r="D1624">
            <v>20660979</v>
          </cell>
          <cell r="E1624">
            <v>85332120</v>
          </cell>
          <cell r="F1624">
            <v>85332120</v>
          </cell>
          <cell r="G1624">
            <v>85332120</v>
          </cell>
          <cell r="H1624" t="str">
            <v>RESISTOR (RESISTeNCIA ELeTRICA FIXA) PRoPRIO PARA MONTAGEM EM SUPERFÍCIE SMD  127k 1por cento 100.0ppm POTeNCIA DE 1/16W 0402 (2010101950) SMD</v>
          </cell>
        </row>
        <row r="1625">
          <cell r="B1625">
            <v>2010109640</v>
          </cell>
          <cell r="D1625">
            <v>20660922</v>
          </cell>
          <cell r="E1625">
            <v>85332120</v>
          </cell>
          <cell r="F1625">
            <v>85332120</v>
          </cell>
          <cell r="G1625">
            <v>85332120</v>
          </cell>
          <cell r="H1625" t="str">
            <v>RESISTOR (RESISTeNCIA ELeTRICA FIXA) PRoPRIO PARA MONTAGEM EM SUPERFÍCIE SMD  1.5kO 1por cento 100ppm POTeNCIA DE 1/16W 0402 (2010109640) SMD</v>
          </cell>
        </row>
        <row r="1626">
          <cell r="B1626">
            <v>2020101470</v>
          </cell>
          <cell r="D1626">
            <v>20672572</v>
          </cell>
          <cell r="E1626">
            <v>85322410</v>
          </cell>
          <cell r="F1626" t="str">
            <v>Not applicable</v>
          </cell>
          <cell r="G1626">
            <v>85322410</v>
          </cell>
          <cell r="H1626" t="str">
            <v>CAPACITOR (CONDENSADOR ELeTRICO FIXO) COM DIELeTRICO DE CERAMICA, DE CAMADAS MuLTIPLAS, PRoPRIO PARA MONTAGEM EM SUPERFÍCIE SMD  220.0nF 10por cento X5R 6.3V 0402 SMD (2020101470)</v>
          </cell>
        </row>
        <row r="1627">
          <cell r="B1627">
            <v>2050101901</v>
          </cell>
          <cell r="D1627">
            <v>20660389</v>
          </cell>
          <cell r="E1627">
            <v>85423120</v>
          </cell>
          <cell r="F1627">
            <v>85423120</v>
          </cell>
          <cell r="G1627">
            <v>85423120</v>
          </cell>
          <cell r="H1627" t="str">
            <v>Circuito Integrado eletronico microcontrolador de 32 bits montado, proprio para montagem em superfície (SMD) LQFP-100, com Frequencia de clock de ate 30MHz, modelo de microprocessador de 32 bits, memoria Flash 512.0KB e memoria SRAM 32.0kB.TensAo de operacAo 2.3V~5.5V.</v>
          </cell>
        </row>
        <row r="1628">
          <cell r="B1628">
            <v>2050102281</v>
          </cell>
          <cell r="D1628">
            <v>20660387</v>
          </cell>
          <cell r="E1628">
            <v>85423120</v>
          </cell>
          <cell r="F1628">
            <v>85423120</v>
          </cell>
          <cell r="G1628">
            <v>85423120</v>
          </cell>
          <cell r="H1628" t="str">
            <v>Circuito Integrado eletronico microcontrolador de 32 bits montado, proprio para montagem em superfície (SMD) LQFP-100, modelo de microprocessador de 32 bits, com Frequencia de clock de ate 30MHz, memoria Flash 512.0KB e memoria SRAM 48.0kB.TensAo de operacAo 2.8V~5.5V.</v>
          </cell>
        </row>
        <row r="1629">
          <cell r="B1629">
            <v>2050300861</v>
          </cell>
          <cell r="D1629">
            <v>20660390</v>
          </cell>
          <cell r="E1629">
            <v>85423120</v>
          </cell>
          <cell r="F1629">
            <v>85423120</v>
          </cell>
          <cell r="G1629">
            <v>85423120</v>
          </cell>
          <cell r="H1629" t="str">
            <v>Circuito Integrado eletronico microcontrolador ASIC de 16 bits para medicAo de energia eletrica trifasica, montado, proprio para montagem em superfície (SMD) LQFP-44, com frequencia de clock de 5,5296MHz, modelo de microprocessador ASIC de 16 bits, tensAo de operacAo 3.3V</v>
          </cell>
        </row>
        <row r="1630">
          <cell r="B1630">
            <v>2050500283</v>
          </cell>
          <cell r="D1630">
            <v>20680124</v>
          </cell>
          <cell r="E1630">
            <v>85423221</v>
          </cell>
          <cell r="F1630">
            <v>85423221</v>
          </cell>
          <cell r="G1630">
            <v>85423221</v>
          </cell>
          <cell r="H1630" t="str">
            <v>Circuito integrado eletronico de memoria tipo flash, montado, proprio para montagem em superfície SMD, tempo de acesso 5 a 10 mS; Capacidade de memoria 64Mbytes; encapsulamento 8pin SOP 208-mil</v>
          </cell>
        </row>
        <row r="1631">
          <cell r="B1631">
            <v>2050500392</v>
          </cell>
          <cell r="D1631">
            <v>20680125</v>
          </cell>
          <cell r="E1631">
            <v>85423221</v>
          </cell>
          <cell r="F1631">
            <v>85423221</v>
          </cell>
          <cell r="G1631">
            <v>85423221</v>
          </cell>
          <cell r="H1631" t="str">
            <v>CIRCUITO INTEGRADO ELETRONICO DE MEMORIA TIPO EEPROM, MONTADO, PROPRIO PARA MONTAGEM EM SUPERFÍCIE SMD, DE CAPACIDADE DE MEMORIA 64KBYTES E TEMPO DE ACESSO 25NS(2050500392)</v>
          </cell>
        </row>
        <row r="1632">
          <cell r="B1632">
            <v>2050701611</v>
          </cell>
          <cell r="D1632">
            <v>20660388</v>
          </cell>
          <cell r="E1632">
            <v>85423939</v>
          </cell>
          <cell r="F1632">
            <v>85423939</v>
          </cell>
          <cell r="G1632">
            <v>85423939</v>
          </cell>
          <cell r="H1632" t="str">
            <v>Circuito integrado eletronico tipo Ponte-H driver de rele, montado, proprio para montagem em superfície SMD - SOP-8; 4.5~24V.</v>
          </cell>
        </row>
        <row r="1633">
          <cell r="B1633">
            <v>2060100292</v>
          </cell>
          <cell r="D1633">
            <v>20690627</v>
          </cell>
          <cell r="E1633">
            <v>85411022</v>
          </cell>
          <cell r="F1633">
            <v>85411022</v>
          </cell>
          <cell r="G1633">
            <v>85411022</v>
          </cell>
          <cell r="H1633" t="str">
            <v>DISPOSITIVO SEMICONDUTOR TIPO DIODO DE RECUPERAcAO RaPIDA, MONTADO, PRoPRIO PARA MONTAGEM EM SUPERFÍCIE SMD, DE INTENSIDADE DE CORRENTE 2A (2060100292) SMD</v>
          </cell>
        </row>
        <row r="1634">
          <cell r="B1634">
            <v>2060100351</v>
          </cell>
          <cell r="D1634">
            <v>20630209</v>
          </cell>
          <cell r="E1634">
            <v>85411022</v>
          </cell>
          <cell r="F1634">
            <v>85411022</v>
          </cell>
          <cell r="G1634">
            <v>85411022</v>
          </cell>
          <cell r="H1634" t="str">
            <v>DISPOSITIVO SEMICONDUTOR TIPO DIODO Schottky montado, proprio para montagem em superfície SMD, de intensidade de corrente 0,2A (2060100351)</v>
          </cell>
        </row>
        <row r="1635">
          <cell r="B1635">
            <v>2060100355</v>
          </cell>
          <cell r="D1635">
            <v>20690637</v>
          </cell>
          <cell r="E1635">
            <v>85411022</v>
          </cell>
          <cell r="F1635">
            <v>85411022</v>
          </cell>
          <cell r="G1635">
            <v>85411022</v>
          </cell>
          <cell r="H1635" t="str">
            <v>DISPOSITIVO SEMICONDUTOR TIPO DIODO retificador, montado, proprio para montagem em superfície SMD, de intensidade de corrente 0,2A (2060100355).</v>
          </cell>
        </row>
        <row r="1636">
          <cell r="B1636">
            <v>2060101701</v>
          </cell>
          <cell r="D1636">
            <v>20690623</v>
          </cell>
          <cell r="E1636">
            <v>85411022</v>
          </cell>
          <cell r="F1636">
            <v>85411022</v>
          </cell>
          <cell r="G1636">
            <v>85411022</v>
          </cell>
          <cell r="H1636" t="str">
            <v>DISPOSITIVO SEMICONDUTOR TIPO DIODO retificador, montado, proprio para montagem em superfície SMD, de intensidade de corrente 3A (2060101701).</v>
          </cell>
        </row>
        <row r="1637">
          <cell r="B1637">
            <v>2060700031</v>
          </cell>
          <cell r="D1637">
            <v>20680252</v>
          </cell>
          <cell r="E1637">
            <v>85412120</v>
          </cell>
          <cell r="F1637">
            <v>85412120</v>
          </cell>
          <cell r="G1637">
            <v>85412120</v>
          </cell>
          <cell r="H1637" t="str">
            <v>Dispositivo semicondutor tipo transistor, montado, proprio para montagem em superfície SMD, de capacidade de dissipacAo de 0,225W (2060700031)</v>
          </cell>
        </row>
        <row r="1638">
          <cell r="B1638">
            <v>2110300750</v>
          </cell>
          <cell r="D1638">
            <v>20630906</v>
          </cell>
          <cell r="E1638">
            <v>85416010</v>
          </cell>
          <cell r="F1638">
            <v>85416010</v>
          </cell>
          <cell r="G1638">
            <v>85416010</v>
          </cell>
          <cell r="H1638" t="str">
            <v>Cristal piezeletrico montado, de frequencia 5.5296MHz</v>
          </cell>
        </row>
        <row r="1639">
          <cell r="B1639">
            <v>2150148110</v>
          </cell>
          <cell r="D1639">
            <v>20661748</v>
          </cell>
          <cell r="E1639">
            <v>85340033</v>
          </cell>
          <cell r="F1639" t="str">
            <v>Not applicable</v>
          </cell>
          <cell r="G1639">
            <v>85340033</v>
          </cell>
          <cell r="H1639" t="str">
            <v>PLACA DE CIRCUITO IMPRESSO, DE NATUREZA DO MATERIAL BASE RÍGIDO, COMPOSIcAO DA PLACA DE ISOLANTE DE RESINA EPoXIDA E TECIDO DE FIBRA DE VIDRO, ESTRUTURA DE DUPLA-FACE E INTERLIGAcAO ENTRE FACES POR FUROS METALIZADOS, 247,0mm x 235.0mm</v>
          </cell>
        </row>
        <row r="1640">
          <cell r="B1640">
            <v>2150148160</v>
          </cell>
          <cell r="D1640">
            <v>20661749</v>
          </cell>
          <cell r="E1640">
            <v>85340033</v>
          </cell>
          <cell r="F1640" t="str">
            <v>Not applicable</v>
          </cell>
          <cell r="G1640">
            <v>85340033</v>
          </cell>
          <cell r="H1640" t="str">
            <v>PLACA DE CIRCUITO IMPRESSO, DE NATUREZA DO MATERIAL BASE RÍGIDO, COMPOSIcAO DA PLACA DE ISOLANTE DE RESINA EPoXIDA E TECIDO DE FIBRA DE VIDRO, ESTRUTURA DE DUPLA-FACE E INTERLIGAcAO ENTRE FACES POR FUROS METALIZADOS, 247,0mm x 236.0mm</v>
          </cell>
        </row>
        <row r="1641">
          <cell r="B1641">
            <v>2150148840</v>
          </cell>
          <cell r="D1641">
            <v>20661750</v>
          </cell>
          <cell r="E1641">
            <v>85340033</v>
          </cell>
          <cell r="F1641" t="str">
            <v>Not applicable</v>
          </cell>
          <cell r="G1641">
            <v>85340033</v>
          </cell>
          <cell r="H1641" t="str">
            <v>PLACA DE CIRCUITO IMPRESSO DE NATUREZA DO MATERIAL BASE RÍGIDO, COMPOSIcAO DA PLACA COM ISOLANTE DE RESINA EPoXIDA E TECIDO DE FIBRA DE VIDRO, ESTRUTURA DE DUPLA FACE, E INTERLIGAcAO ENTRE FACES COM FUROS METALIZADOS, 2 310.2mm*167.1mm*1.6mm/2 nAo-RoHS (2150148840) SMD</v>
          </cell>
        </row>
        <row r="1642">
          <cell r="B1642">
            <v>2090103820</v>
          </cell>
          <cell r="D1642">
            <v>20661938</v>
          </cell>
          <cell r="E1642">
            <v>85369040</v>
          </cell>
          <cell r="F1642">
            <v>85369040</v>
          </cell>
          <cell r="G1642">
            <v>85369040</v>
          </cell>
          <cell r="H1642" t="str">
            <v>Conector para circuito impresso, de tensAo aproximada entre 0V e 20V, header, femea, para montagem PTH 2x17; espacamento 2,54mm; PTH (2090103820)</v>
          </cell>
        </row>
        <row r="1643">
          <cell r="B1643">
            <v>2090902871</v>
          </cell>
          <cell r="D1643">
            <v>20691383</v>
          </cell>
          <cell r="E1643">
            <v>85369040</v>
          </cell>
          <cell r="F1643">
            <v>85369040</v>
          </cell>
          <cell r="G1643">
            <v>85369040</v>
          </cell>
          <cell r="H1643" t="str">
            <v>Conector para circuito impresso, de tensAo aproximada entre 0V e 20V, tipo borne para montagem PTH, 1x7, espacamento 5,08mm; Reto; 12A UL/15A IEC (2090902871)</v>
          </cell>
        </row>
        <row r="1644">
          <cell r="B1644">
            <v>3041501630</v>
          </cell>
          <cell r="D1644">
            <v>20290814</v>
          </cell>
          <cell r="E1644">
            <v>73145000</v>
          </cell>
          <cell r="F1644">
            <v>73145000</v>
          </cell>
          <cell r="G1644">
            <v>73145000</v>
          </cell>
          <cell r="H1644" t="str">
            <v>CHAPA METaLICA DISTENDIDA, EM FERRO PURO, ANTI-MAGNeTICA ESPESSURA 2mm 134x30mm (3041501630)</v>
          </cell>
        </row>
        <row r="1645">
          <cell r="B1645">
            <v>3040303660</v>
          </cell>
          <cell r="D1645">
            <v>20290910</v>
          </cell>
          <cell r="E1645">
            <v>85444200</v>
          </cell>
          <cell r="F1645">
            <v>85444200</v>
          </cell>
          <cell r="G1645">
            <v>85444200</v>
          </cell>
          <cell r="H1645" t="str">
            <v>PONTE DE COBRE NEUTRO MUNIDA DE PINO RÍGIDO PARA CONEXAO, CONDUTORA ELeTRICA PARA APLICAcAO EM TENSAO DE ATe 240V, ESTANHADA, DIMENSoES 34x30,8x27,1mm, CORRENTE MaXIMA DE 120A (3040303660)</v>
          </cell>
        </row>
        <row r="1646">
          <cell r="B1646">
            <v>3040303790</v>
          </cell>
          <cell r="D1646">
            <v>20290912</v>
          </cell>
          <cell r="E1646">
            <v>85444200</v>
          </cell>
          <cell r="F1646">
            <v>85444200</v>
          </cell>
          <cell r="G1646">
            <v>85444200</v>
          </cell>
          <cell r="H1646" t="str">
            <v>PONTE DE COBRE NEUTRO MUNIDA DE PINO RÍGIDO PARA CONEXAO, CONDUTORA ELeTRICA PARA APLICAcAO EM TENSAO DE ATe 240V, ESTANHADA, DIMENSoES 41,3x31,8x25mm, CORRENTE MaXIMA DE 120A (3040303790)</v>
          </cell>
        </row>
        <row r="1647">
          <cell r="B1647">
            <v>3040303800</v>
          </cell>
          <cell r="D1647">
            <v>20290911</v>
          </cell>
          <cell r="E1647">
            <v>85444200</v>
          </cell>
          <cell r="F1647">
            <v>85444200</v>
          </cell>
          <cell r="G1647">
            <v>85444200</v>
          </cell>
          <cell r="H1647" t="str">
            <v>PONTE DE COBRE NEUTRO MUNIDA DE PINO RÍGIDO PARA CONEXAO, CONDUTORA ELeTRICA PARA APLICAcAO EM TENSAO DE ATe 240V, ESTANHADA, DIMENSoES 34x30,8x27,1mm, CORRENTE MaXIMA DE 120A (3040303800)</v>
          </cell>
        </row>
        <row r="1648">
          <cell r="B1648">
            <v>3041501590</v>
          </cell>
          <cell r="D1648">
            <v>20290813</v>
          </cell>
          <cell r="E1648">
            <v>73145000</v>
          </cell>
          <cell r="F1648">
            <v>73145000</v>
          </cell>
          <cell r="G1648">
            <v>73145000</v>
          </cell>
          <cell r="H1648" t="str">
            <v>CHAPA METaLICA DISTENDIDA, EM AcO CARBONO, ANTI-MAGNeTICA  ESPESSURA 2mm 40x40mm (3041501590)</v>
          </cell>
        </row>
        <row r="1649">
          <cell r="B1649">
            <v>3080501480</v>
          </cell>
          <cell r="D1649">
            <v>20470631</v>
          </cell>
          <cell r="E1649">
            <v>40169990</v>
          </cell>
          <cell r="F1649">
            <v>40169990</v>
          </cell>
          <cell r="G1649">
            <v>40169990</v>
          </cell>
          <cell r="H1649" t="str">
            <v>BOTAO DE SILICONE DE BORRACHA VULCANIZADA NAO ENDURECIDA PARA ACIONAMENTO DE CIRCUITO ELeTRICO F13mm 6mm de altura (3080501480)</v>
          </cell>
        </row>
        <row r="1650">
          <cell r="B1650">
            <v>3080501590</v>
          </cell>
          <cell r="D1650">
            <v>20470632</v>
          </cell>
          <cell r="E1650">
            <v>40169990</v>
          </cell>
          <cell r="F1650">
            <v>40169990</v>
          </cell>
          <cell r="G1650">
            <v>40169990</v>
          </cell>
          <cell r="H1650" t="str">
            <v>BOTAO DE SILICONE DE BORRACHA VULCANIZADA NAO ENDURECIDA PARA ACIONAMENTO DE CIRCUITO ELeTRICO F10,6mm 11mm altura (3080501590)</v>
          </cell>
        </row>
        <row r="1651">
          <cell r="B1651">
            <v>3030503480</v>
          </cell>
          <cell r="D1651">
            <v>21165600</v>
          </cell>
          <cell r="E1651">
            <v>73181500</v>
          </cell>
          <cell r="F1651">
            <v>73181500</v>
          </cell>
          <cell r="G1651">
            <v>73181500</v>
          </cell>
          <cell r="H1651" t="str">
            <v>PARAFUSO DE SELAGEM DIAMETRO 3,9x40mm FENDA CRUZADA, DE MATeRIA-PRIMA BASE AcO BAIXO CARBONO, PROCESSO DE FABRICAcAO POR USINAGEM E ACABAMENTO SUPERFICIAL ZINCADO AMARELO (3030503480)</v>
          </cell>
        </row>
        <row r="1652">
          <cell r="B1652">
            <v>3030500460</v>
          </cell>
          <cell r="D1652">
            <v>21165700</v>
          </cell>
          <cell r="E1652">
            <v>73181400</v>
          </cell>
          <cell r="F1652">
            <v>73181400</v>
          </cell>
          <cell r="G1652">
            <v>73181400</v>
          </cell>
          <cell r="H1652" t="str">
            <v>PARAFUSO AUTOPERFURANTE DIAM. 3,9x21mm FENDA CRUZADA, EM MATeRIA-PRIMA BASE AcO DE BAIXO CARBONO, DE PROCESSO DE FABRICAcAO POR USINAGEM COM ACABAMENTO SUPERFICIAL POR GALVANIZAcAO ZINCADO AMARELO (3030500460)</v>
          </cell>
        </row>
        <row r="1653">
          <cell r="B1653">
            <v>3030503150</v>
          </cell>
          <cell r="D1653">
            <v>21165500</v>
          </cell>
          <cell r="E1653">
            <v>73181500</v>
          </cell>
          <cell r="F1653">
            <v>73181500</v>
          </cell>
          <cell r="G1653">
            <v>73181500</v>
          </cell>
          <cell r="H1653" t="str">
            <v>PARAFUSO DE MATeRIA PRIMA BASE DE AcO BAIXO CARBONO, PROCESSO DE FABRICAcAO POR USINAGEM E ACABAMENTO SUPERFICIAL ZINCADO AMARELO, DE SELAGEM DIAMETRO 3,9x12mm FENDA CRUZADA (3030503150)</v>
          </cell>
        </row>
        <row r="1654">
          <cell r="B1654">
            <v>3010314420</v>
          </cell>
          <cell r="D1654">
            <v>20600601</v>
          </cell>
          <cell r="E1654">
            <v>85364100</v>
          </cell>
          <cell r="F1654">
            <v>85364100</v>
          </cell>
          <cell r="G1654">
            <v>85364100</v>
          </cell>
          <cell r="H1654" t="str">
            <v>RELe DE TENSAO 12V, FORMA CONSTRUTIVA ELETROMECANICO, DE PESO LÍQUIDO APROXIMADO ENTRE 125g e 150g (180µO) 30103-EQ70-01 PTH (3010314420)</v>
          </cell>
        </row>
        <row r="1655">
          <cell r="B1655">
            <v>5041600270</v>
          </cell>
          <cell r="D1655">
            <v>20600605</v>
          </cell>
          <cell r="E1655">
            <v>85364100</v>
          </cell>
          <cell r="F1655">
            <v>85364100</v>
          </cell>
          <cell r="G1655">
            <v>85364100</v>
          </cell>
          <cell r="H1655" t="str">
            <v>RELe DE TENSAO 12V, FORMA CONSTRUTIVA ELETROMECANICO DE PESO LÍQUIDO APROXIMADO 410g a 460g.</v>
          </cell>
        </row>
        <row r="1656">
          <cell r="B1656">
            <v>5051600350</v>
          </cell>
          <cell r="D1656">
            <v>20600800</v>
          </cell>
          <cell r="E1656">
            <v>85364100</v>
          </cell>
          <cell r="F1656">
            <v>85364100</v>
          </cell>
          <cell r="G1656">
            <v>85364100</v>
          </cell>
          <cell r="H1656" t="str">
            <v>RELe DE TENSAO 12V, DE FORMA CONSTRUTIVA ELETROMECANICO, DE PESO LÍQUIDO APROXIMADO ENTRE 650g e 750 g - PTH (5051600350)</v>
          </cell>
        </row>
        <row r="1657">
          <cell r="B1657">
            <v>3023302630</v>
          </cell>
          <cell r="D1657">
            <v>20457900</v>
          </cell>
          <cell r="E1657">
            <v>90289010</v>
          </cell>
          <cell r="F1657">
            <v>90289010</v>
          </cell>
          <cell r="G1657">
            <v>90289010</v>
          </cell>
          <cell r="H1657" t="str">
            <v>SUPORTE EM POLICARBONATO PARA LCD, PARTE PARA MONTAGEM DE MEDIDOR DE ENERGIA ELeTRICA (CONTADOR DE ELETRICIDADE) ZEUS NG (3023302630) PTH</v>
          </cell>
        </row>
        <row r="1658">
          <cell r="B1658">
            <v>4030400690</v>
          </cell>
          <cell r="D1658">
            <v>85644</v>
          </cell>
          <cell r="E1658">
            <v>85369090</v>
          </cell>
          <cell r="F1658" t="str">
            <v>Not applicable</v>
          </cell>
          <cell r="G1658">
            <v>85369090</v>
          </cell>
          <cell r="H1658" t="str">
            <v>Soquete PARA CONEXAO DE CIRCUITO ELeTRICO COM TENSAO ATe 320V - para programacAo de firmware em medidores de energia eletrica (ref.4030400690)</v>
          </cell>
        </row>
        <row r="1659">
          <cell r="B1659">
            <v>4020408500</v>
          </cell>
          <cell r="D1659">
            <v>92516</v>
          </cell>
          <cell r="E1659">
            <v>85299090</v>
          </cell>
          <cell r="F1659" t="str">
            <v>Not applicable</v>
          </cell>
          <cell r="G1659">
            <v>85299090</v>
          </cell>
          <cell r="H1659" t="str">
            <v>Placa de Controle de Video, parte para uso em monitor de vídeo de maquina de insercAo de componentes eletronicos SM471 (ref.4020408500)</v>
          </cell>
        </row>
        <row r="1660">
          <cell r="B1660">
            <v>4020306860</v>
          </cell>
          <cell r="D1660">
            <v>92712</v>
          </cell>
          <cell r="E1660">
            <v>84779000</v>
          </cell>
          <cell r="F1660" t="str">
            <v>Not applicable</v>
          </cell>
          <cell r="G1660">
            <v>84779000</v>
          </cell>
          <cell r="H1660" t="str">
            <v>Servo motor com bomba hidraulica, parte para uso em maquina de moldagem por injecAo</v>
          </cell>
        </row>
        <row r="1661">
          <cell r="B1661">
            <v>4030501070</v>
          </cell>
          <cell r="D1661">
            <v>97046</v>
          </cell>
          <cell r="E1661">
            <v>85439090</v>
          </cell>
          <cell r="F1661" t="str">
            <v>Not applicable</v>
          </cell>
          <cell r="G1661">
            <v>85439090</v>
          </cell>
          <cell r="H1661" t="str">
            <v>Placa de circuito impresso, montada com componentes eletronicos, optica, para uso em cabos de comunicacAo de linhas de montagem convencionais VersAo 1</v>
          </cell>
        </row>
        <row r="1662">
          <cell r="B1662">
            <v>4039807480</v>
          </cell>
          <cell r="D1662">
            <v>81061</v>
          </cell>
          <cell r="E1662">
            <v>90304090</v>
          </cell>
          <cell r="F1662" t="str">
            <v>Not applicable</v>
          </cell>
          <cell r="G1662">
            <v>90304090</v>
          </cell>
          <cell r="H1662" t="str">
            <v>Placa POM de 25 mm,acrílico de 10 mm,36 *27*18 mm,com 4 sondas para teste de equipamentos de comunicacAo (4039807480)</v>
          </cell>
        </row>
        <row r="1663">
          <cell r="B1663">
            <v>7020816414</v>
          </cell>
          <cell r="D1663">
            <v>93779</v>
          </cell>
          <cell r="E1663">
            <v>84807100</v>
          </cell>
          <cell r="F1663" t="str">
            <v>Not applicable</v>
          </cell>
          <cell r="G1663">
            <v>84807100</v>
          </cell>
          <cell r="H1663" t="str">
            <v>Molde para plastico, para moldagem por injecAo de policarbonato - HLD-W17064 (ref.7020816414)</v>
          </cell>
        </row>
        <row r="1664">
          <cell r="B1664">
            <v>7020819851</v>
          </cell>
          <cell r="D1664">
            <v>93780</v>
          </cell>
          <cell r="E1664">
            <v>84807100</v>
          </cell>
          <cell r="F1664" t="str">
            <v>Not applicable</v>
          </cell>
          <cell r="G1664">
            <v>84807100</v>
          </cell>
          <cell r="H1664" t="str">
            <v>Molde para plastico, para moldagem por injecAo de policarbonato - HLD-S19091 (ref.7020819851)</v>
          </cell>
        </row>
        <row r="1665">
          <cell r="B1665">
            <v>7020816411</v>
          </cell>
          <cell r="D1665">
            <v>93781</v>
          </cell>
          <cell r="E1665">
            <v>84807100</v>
          </cell>
          <cell r="F1665" t="str">
            <v>Not applicable</v>
          </cell>
          <cell r="G1665">
            <v>84807100</v>
          </cell>
          <cell r="H1665" t="str">
            <v>Molde para plastico, para moldagem por injecAo de policarbonato - HLD-W17061 (ref.7020816411)</v>
          </cell>
        </row>
        <row r="1666">
          <cell r="B1666" t="str">
            <v>MJN72R12001</v>
          </cell>
          <cell r="D1666">
            <v>20691385</v>
          </cell>
          <cell r="E1666">
            <v>85176272</v>
          </cell>
          <cell r="F1666">
            <v>85176272</v>
          </cell>
          <cell r="G1666">
            <v>85176272</v>
          </cell>
          <cell r="H1666" t="str">
            <v>Modulo de comunicacAo (de recepcAo, conversAo e transmissAo) RF, emissor com receptor incorporado, digital, compatível com o tipo de rede WiSUN, frequencia 902~928MHz, para medidores inteligentes de energia eletrica Zeus NG 12V Wi-Sun - Antena Interna s/ PKI, taxas de transmissAo suportadas de 50 kbps/150 kbps</v>
          </cell>
        </row>
        <row r="1667">
          <cell r="B1667" t="str">
            <v>MJN72R12002</v>
          </cell>
          <cell r="D1667">
            <v>20691386</v>
          </cell>
          <cell r="E1667">
            <v>85176272</v>
          </cell>
          <cell r="F1667">
            <v>85176272</v>
          </cell>
          <cell r="G1667">
            <v>85176277</v>
          </cell>
          <cell r="H1667"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e alimentacAo 12VDC.</v>
          </cell>
        </row>
        <row r="1668">
          <cell r="B1668">
            <v>4020306120</v>
          </cell>
          <cell r="D1668">
            <v>85845</v>
          </cell>
          <cell r="E1668">
            <v>84779000</v>
          </cell>
          <cell r="F1668" t="str">
            <v>Not applicable</v>
          </cell>
          <cell r="G1668">
            <v>84779000</v>
          </cell>
          <cell r="H1668" t="str">
            <v>Cilindro de injecAo para maquina de moldar pecas plasticas por injecAo Borche BS-1500</v>
          </cell>
        </row>
        <row r="1669">
          <cell r="B1669" t="str">
            <v>MA3000/1800G</v>
          </cell>
          <cell r="D1669">
            <v>92216</v>
          </cell>
          <cell r="E1669">
            <v>84771011</v>
          </cell>
          <cell r="F1669" t="str">
            <v>Not applicable</v>
          </cell>
          <cell r="G1669">
            <v>84771019</v>
          </cell>
          <cell r="H1669" t="str">
            <v>Maquina de moldar por injecAo horizontal, de comando numerico, monocolor, para materiais termoplasticos, com capacidade de injecAo inferior ou igual a 5.000 g e forca de fechamento inferior ou igual a 12.000 Kn. Numero de serie: XXXXXXXXXXXXX; Ano de fabricacAo: XXXX; Modelo: MA3000/1800G; Marca: HAITIAN</v>
          </cell>
        </row>
        <row r="1670">
          <cell r="B1670">
            <v>60030003200101</v>
          </cell>
          <cell r="D1670">
            <v>92491</v>
          </cell>
          <cell r="E1670">
            <v>84864000</v>
          </cell>
          <cell r="F1670" t="str">
            <v>Not applicable</v>
          </cell>
          <cell r="G1670">
            <v>84864000</v>
          </cell>
          <cell r="H1670" t="str">
            <v>Bancada de trabalho para insercAo manual de componentes em processo de montagem de circuitos integrados para medidores de consumo de agua (hidrometros), com estante leve com cadeia de velocidade dupla com dimensoes 2250*430*1550</v>
          </cell>
        </row>
        <row r="1671">
          <cell r="B1671">
            <v>60030003200102</v>
          </cell>
          <cell r="D1671">
            <v>89778</v>
          </cell>
          <cell r="E1671">
            <v>84798999</v>
          </cell>
          <cell r="F1671" t="str">
            <v>Not applicable</v>
          </cell>
          <cell r="G1671">
            <v>84798999</v>
          </cell>
          <cell r="H1671" t="str">
            <v>Maquinas de parafusamento automatico programaveis, controladas por PLC (Controles Logicos Programaveis), com modulos de parafusamento automatico de tres eixos, com capacidade para duplo parafusamento, com alimentacAo por bandeja vibratoria, com sensor de torque para deteccAo de defeitos, com sistema de controle manual, com cabecotes de troca rapida</v>
          </cell>
        </row>
        <row r="1672">
          <cell r="B1672">
            <v>60030003200104</v>
          </cell>
          <cell r="D1672">
            <v>89752</v>
          </cell>
          <cell r="E1672">
            <v>84795000</v>
          </cell>
          <cell r="F1672" t="str">
            <v>Not applicable</v>
          </cell>
          <cell r="G1672">
            <v>84795000</v>
          </cell>
          <cell r="H1672" t="str">
            <v>Maquinas robotizadas programaveis (robos industriais) para posicionamento de medidores de consumo de agua (hidtrometros) e marcacAo de caracteres na placa de identificacAo dos medidores, com seis eixos controlados por servodrive, com estrutura articulada, com carga util igual ou menor que 12kg, com repetibilidade de posicAo de +/-0,04mm, com tubulacAo de ar incluída, com alcance igual ou menor que 1454mm, com possibilidade de instalacAo em piso, montagem invertida ou montagem inclinada; com capacidade operacional em ambientes com temperaturas entre 0 e 45, com certificacAo IP67</v>
          </cell>
        </row>
        <row r="1673">
          <cell r="B1673" t="str">
            <v>KIT-RDNT-V01</v>
          </cell>
          <cell r="D1673">
            <v>20694404</v>
          </cell>
          <cell r="E1673">
            <v>85177190</v>
          </cell>
          <cell r="F1673">
            <v>85177190</v>
          </cell>
          <cell r="G1673">
            <v>85177190</v>
          </cell>
          <cell r="H1673" t="str">
            <v>Placas montadas para modulacAo chaveadora redundante P70, destinadas para antenas proprias para radios GE, PARA UTILIZAcAO EM CONJUNTO COM EQUIPAMENTOS DE COMUNICAcAO DE DADOS POR REDES SEM FIO</v>
          </cell>
        </row>
        <row r="1674">
          <cell r="B1674" t="str">
            <v>HTAL-1.5PHUL/W</v>
          </cell>
          <cell r="D1674" t="str">
            <v>PENDING</v>
          </cell>
          <cell r="E1674">
            <v>84779000</v>
          </cell>
          <cell r="F1674" t="str">
            <v>Not applicable</v>
          </cell>
          <cell r="H1674" t="str">
            <v>Alimentador a vacuo de materia pima (Plastico), Marca Haitian, com capacidade de 450KGS/HORA, Potencia / 380V / 60Hz, ModeloLHTAL-1.5P HUL/W, estado novo. Numero de Serie: XXXXXXXX, ano de fabricacAo XXXX, marca: Haitian destinada para uso na maquina de moldar por injecAo horizontal, de comando numerico, monocolor, para materiais termoplasticos, com capacidade de injecAo inferior ou igual a 5.000 g e forca de fechamento inferior ou igual a 12.000 Kn.</v>
          </cell>
        </row>
        <row r="1675">
          <cell r="B1675" t="str">
            <v>HTHD-75MHL/EAF/W</v>
          </cell>
          <cell r="D1675" t="str">
            <v>PENDING</v>
          </cell>
          <cell r="E1675">
            <v>84779000</v>
          </cell>
          <cell r="F1675" t="str">
            <v>Not applicable</v>
          </cell>
          <cell r="H1675" t="str">
            <v xml:space="preserve">Secador de materia prima (plastico), Marca Haitian, Modelo HTHD-75MHL, com capacidade de 75 kgs, Potencia 5,17kw / 380V / 60HZ, Estado novo numero de serie: XXXXXXXXXXXX, ano de fabricacAo XXXX, marca: Haitian destinada para uso na maquina de moldar por injecAo horizontal, de comando numerico, monocolor, para materiais termoplasticos, com capacidade de injecAo inferior ou igual a 5.000 g e forca de fechamento inferior ou igual a 12.000 Kn. </v>
          </cell>
        </row>
        <row r="1676">
          <cell r="B1676">
            <v>4020408660</v>
          </cell>
          <cell r="D1676">
            <v>92757</v>
          </cell>
          <cell r="E1676">
            <v>84799090</v>
          </cell>
          <cell r="F1676" t="str">
            <v>Not applicable</v>
          </cell>
          <cell r="G1676">
            <v>84799090</v>
          </cell>
          <cell r="H1676" t="str">
            <v>Cabecote, parte para uso em maquina de gravacAo de circuitos integrados eletronicos (ref. 4020408660)</v>
          </cell>
        </row>
        <row r="1677">
          <cell r="B1677">
            <v>4020408670</v>
          </cell>
          <cell r="D1677">
            <v>92758</v>
          </cell>
          <cell r="E1677">
            <v>84799090</v>
          </cell>
          <cell r="F1677" t="str">
            <v>Not applicable</v>
          </cell>
          <cell r="G1677">
            <v>84799090</v>
          </cell>
          <cell r="H1677" t="str">
            <v>Bocal M9001-0002055, parte para uso em maquina de gravacAo de circuitos integrados eletronicos (ref. 4020408670)</v>
          </cell>
        </row>
        <row r="1678">
          <cell r="B1678">
            <v>4020408680</v>
          </cell>
          <cell r="D1678">
            <v>92784</v>
          </cell>
          <cell r="E1678">
            <v>84799090</v>
          </cell>
          <cell r="F1678" t="str">
            <v>Not applicable</v>
          </cell>
          <cell r="G1678">
            <v>84799090</v>
          </cell>
          <cell r="H1678" t="str">
            <v>Bocal M9001-0002057, parte para uso em maquina de gravacAo de circuitos integrados eletronicos (ref. 4020408680)</v>
          </cell>
        </row>
        <row r="1679">
          <cell r="B1679">
            <v>4020408700</v>
          </cell>
          <cell r="D1679">
            <v>92759</v>
          </cell>
          <cell r="E1679">
            <v>84799090</v>
          </cell>
          <cell r="F1679" t="str">
            <v>Not applicable</v>
          </cell>
          <cell r="G1679">
            <v>84799090</v>
          </cell>
          <cell r="H1679" t="str">
            <v>Cilindro pneumatico, parte para uso em maquina de gravacAo de circuitos integrados eletronicos (ref. 4020408700)</v>
          </cell>
        </row>
        <row r="1680">
          <cell r="B1680">
            <v>4020408710</v>
          </cell>
          <cell r="D1680">
            <v>92760</v>
          </cell>
          <cell r="E1680">
            <v>84799090</v>
          </cell>
          <cell r="F1680" t="str">
            <v>Not applicable</v>
          </cell>
          <cell r="G1680">
            <v>84799090</v>
          </cell>
          <cell r="H1680" t="str">
            <v>Patins de guia linear, parte para uso em maquina de gravacAo de circuitos integrados eletronicos (ref. 4020408710)</v>
          </cell>
        </row>
        <row r="1681">
          <cell r="B1681">
            <v>4020408720</v>
          </cell>
          <cell r="D1681">
            <v>92761</v>
          </cell>
          <cell r="E1681">
            <v>84799090</v>
          </cell>
          <cell r="F1681" t="str">
            <v>Not applicable</v>
          </cell>
          <cell r="G1681">
            <v>84799090</v>
          </cell>
          <cell r="H1681" t="str">
            <v>Amplificador de fibra, parte para uso em maquina de gravacAo de circuitos integrados eletronicos (ref. 4020408720)</v>
          </cell>
        </row>
        <row r="1682">
          <cell r="B1682">
            <v>4020408730</v>
          </cell>
          <cell r="D1682">
            <v>92808</v>
          </cell>
          <cell r="E1682">
            <v>84799090</v>
          </cell>
          <cell r="F1682" t="str">
            <v>Not applicable</v>
          </cell>
          <cell r="G1682">
            <v>84799090</v>
          </cell>
          <cell r="H1682" t="str">
            <v>Gerador de vacuo, parte para uso em maquina de gravacAo de circuitos integrados eletronicos (ref. 4020408730)</v>
          </cell>
        </row>
        <row r="1683">
          <cell r="B1683">
            <v>4020801140</v>
          </cell>
          <cell r="D1683">
            <v>91894</v>
          </cell>
          <cell r="E1683">
            <v>85444200</v>
          </cell>
          <cell r="F1683" t="str">
            <v>Not applicable</v>
          </cell>
          <cell r="G1683">
            <v>85444200</v>
          </cell>
          <cell r="H1683" t="str">
            <v>Cabo de transmissAo de sinal M120, munido de conexAo USB&amp;DC&amp;TRIG, de tensAo ate 320V, para uso eletrico (4020801140)</v>
          </cell>
        </row>
        <row r="1684">
          <cell r="B1684">
            <v>4020803460</v>
          </cell>
          <cell r="D1684">
            <v>51951</v>
          </cell>
          <cell r="E1684">
            <v>85444200</v>
          </cell>
          <cell r="F1684" t="str">
            <v>Not applicable</v>
          </cell>
          <cell r="G1684">
            <v>85444200</v>
          </cell>
          <cell r="H1684" t="str">
            <v>Mini cabo munido de conexAo USB, de tensAo ate 320V, para uso eletrico (ref.4020803460)</v>
          </cell>
        </row>
        <row r="1685">
          <cell r="B1685">
            <v>4039802810</v>
          </cell>
          <cell r="D1685">
            <v>71684</v>
          </cell>
          <cell r="E1685">
            <v>84689090</v>
          </cell>
          <cell r="F1685" t="str">
            <v>Not applicable</v>
          </cell>
          <cell r="G1685">
            <v>84689090</v>
          </cell>
          <cell r="H1685" t="str">
            <v>Gabarito para uso em forno de soldagem a calor para placas de medidores eletricos - 338x285x10mm (ref4039802810)</v>
          </cell>
        </row>
        <row r="1686">
          <cell r="B1686">
            <v>4039806660</v>
          </cell>
          <cell r="D1686">
            <v>69384</v>
          </cell>
          <cell r="E1686">
            <v>70200090</v>
          </cell>
          <cell r="F1686" t="str">
            <v>Not applicable</v>
          </cell>
          <cell r="G1686">
            <v>70200090</v>
          </cell>
          <cell r="H1686" t="str">
            <v>Bandeja de fibra de vidro para uso em forno de soldagem de componentes eletronicos (ref. 4039806660)</v>
          </cell>
        </row>
        <row r="1687">
          <cell r="B1687">
            <v>4039806800</v>
          </cell>
          <cell r="D1687">
            <v>89961</v>
          </cell>
          <cell r="E1687">
            <v>70200090</v>
          </cell>
          <cell r="F1687" t="str">
            <v>Not applicable</v>
          </cell>
          <cell r="G1687">
            <v>70200090</v>
          </cell>
          <cell r="H1687" t="str">
            <v>Gabarito de fibra de vidro, para testes de medidores de energia eletrica (ref.4039806800)</v>
          </cell>
        </row>
        <row r="1688">
          <cell r="B1688">
            <v>4020602060</v>
          </cell>
          <cell r="D1688">
            <v>64682</v>
          </cell>
          <cell r="E1688">
            <v>90319010</v>
          </cell>
          <cell r="F1688" t="str">
            <v>Not applicable</v>
          </cell>
          <cell r="G1688">
            <v>90319010</v>
          </cell>
          <cell r="H1688" t="str">
            <v>PCBA para teste de comunicacAo 485, parte para uso embancada de ensaios de medidores de energia eletrica (ref. 4020602060)</v>
          </cell>
        </row>
        <row r="1689">
          <cell r="B1689">
            <v>4070400740</v>
          </cell>
          <cell r="D1689">
            <v>51950</v>
          </cell>
          <cell r="E1689">
            <v>85235190</v>
          </cell>
          <cell r="F1689" t="str">
            <v>Not applicable</v>
          </cell>
          <cell r="G1689">
            <v>85235190</v>
          </cell>
          <cell r="H1689" t="str">
            <v>Dispositivo de armazenamento de dados nAo volateis à base de semicondutores, tipo Pendrive, de capacidade de memoria de 16GB (ref.4070400740)</v>
          </cell>
        </row>
        <row r="1690">
          <cell r="B1690">
            <v>4030700480</v>
          </cell>
          <cell r="D1690">
            <v>93799</v>
          </cell>
          <cell r="E1690">
            <v>85177900</v>
          </cell>
          <cell r="F1690" t="str">
            <v>Not applicable</v>
          </cell>
          <cell r="G1690">
            <v>85177900</v>
          </cell>
          <cell r="H1690" t="str">
            <v>Atenuador de 30dB parte para ser utilizada para atenuacAo de sinal de radiofrequencia (ref. 4030700480)</v>
          </cell>
        </row>
        <row r="1691">
          <cell r="B1691">
            <v>4039896210</v>
          </cell>
          <cell r="D1691">
            <v>93800</v>
          </cell>
          <cell r="E1691">
            <v>85442000</v>
          </cell>
          <cell r="F1691" t="str">
            <v>Not applicable</v>
          </cell>
          <cell r="G1691">
            <v>85442000</v>
          </cell>
          <cell r="H1691" t="str">
            <v>Cabo coaxial, condutor eletrico, isolado para uso eletrico, para antena (ref.4039896210)</v>
          </cell>
        </row>
        <row r="1692">
          <cell r="B1692" t="str">
            <v>PENDING</v>
          </cell>
          <cell r="D1692">
            <v>21508100</v>
          </cell>
          <cell r="E1692">
            <v>85176294</v>
          </cell>
          <cell r="F1692" t="str">
            <v>Not applicable</v>
          </cell>
          <cell r="G1692">
            <v>85176294</v>
          </cell>
          <cell r="H1692" t="str">
            <v>Conversor de comunicacAo serial RS232/RS485 para ethernet, conversor de dados, para comunicacAo de redes em fio WAN, para conversAo de protocolos para interconexAo de redes (gateways)</v>
          </cell>
        </row>
        <row r="1693">
          <cell r="B1693" t="str">
            <v>61050.R120</v>
          </cell>
          <cell r="D1693">
            <v>58110000</v>
          </cell>
          <cell r="E1693">
            <v>85353018</v>
          </cell>
          <cell r="F1693" t="str">
            <v>Not applicable</v>
          </cell>
          <cell r="G1693">
            <v>85353018</v>
          </cell>
          <cell r="H1693" t="str">
            <v>RELIGADOR COM DISPOSITIVO DE ACIONAMENTO AUTOMATICO AUTOALIMENTADO COM INTERRUPCAO À VACUO DE CIRCUITOS ELETRICOS, MONTADO EM CHAVE FUSÍVEL, DE TENSAO 15,5KV (15500V) (HXD820-15.5), CORRENTE NOMINAL xxxx (A), MARCA: XXX MODELO XXX ANO DE FABRICACAO XXXX, NUMERO DE SERIE YYYY A ZZZZ.</v>
          </cell>
        </row>
        <row r="1694">
          <cell r="B1694">
            <v>4030410170</v>
          </cell>
          <cell r="D1694">
            <v>93974</v>
          </cell>
          <cell r="E1694">
            <v>85369090</v>
          </cell>
          <cell r="F1694" t="str">
            <v>Not applicable</v>
          </cell>
          <cell r="G1694">
            <v>85369090</v>
          </cell>
          <cell r="H1694" t="str">
            <v>Soquete PARA CONEXAO DE CIRCUITO ELeTRICO COM TENSAO ATe 320V - para programacAo de firmware em medidores de energia eletrica (ref.4030410170)</v>
          </cell>
        </row>
        <row r="1695">
          <cell r="B1695">
            <v>4039807540</v>
          </cell>
          <cell r="D1695">
            <v>93612</v>
          </cell>
          <cell r="E1695">
            <v>84719019</v>
          </cell>
          <cell r="F1695" t="str">
            <v>Not applicable</v>
          </cell>
          <cell r="G1695">
            <v>84719019</v>
          </cell>
          <cell r="H1695" t="str">
            <v>Gravadora automatica de dados de firmware para medidores de energia eletrica (programadora de firmware) (4039807540)</v>
          </cell>
        </row>
        <row r="1696">
          <cell r="B1696">
            <v>4020400680</v>
          </cell>
          <cell r="D1696">
            <v>93610</v>
          </cell>
          <cell r="E1696">
            <v>84689090</v>
          </cell>
          <cell r="F1696" t="str">
            <v>Not applicable</v>
          </cell>
          <cell r="G1696">
            <v>84689090</v>
          </cell>
          <cell r="H1696" t="str">
            <v>LAMINA RASPADORA, PARTE PARA USO EM MaQUINA DE SOLDA DE COMPONENTES ELETRoNICOS POR CALOR (REF.4020400680)</v>
          </cell>
        </row>
        <row r="1697">
          <cell r="B1697">
            <v>4020609990</v>
          </cell>
          <cell r="D1697">
            <v>81062</v>
          </cell>
          <cell r="E1697">
            <v>85177900</v>
          </cell>
          <cell r="F1697" t="str">
            <v>Not applicable</v>
          </cell>
          <cell r="G1697">
            <v>85177900</v>
          </cell>
          <cell r="H1697" t="str">
            <v>Cabo de comunicacAo por infravermelho, led azul e preto, parte para montagem de equipamento de comunicacAo de dados. (4020609990)</v>
          </cell>
        </row>
        <row r="1698">
          <cell r="B1698">
            <v>3041100010</v>
          </cell>
          <cell r="D1698">
            <v>81063</v>
          </cell>
          <cell r="E1698">
            <v>85051100</v>
          </cell>
          <cell r="F1698" t="str">
            <v>Not applicable</v>
          </cell>
          <cell r="G1698">
            <v>85051100</v>
          </cell>
          <cell r="H1698" t="str">
            <v>ImA permanente de metal, para montagem de medidores de energia eletrica (ref. 3041100010)</v>
          </cell>
        </row>
        <row r="1699">
          <cell r="B1699">
            <v>3030110130</v>
          </cell>
          <cell r="D1699">
            <v>21132200</v>
          </cell>
          <cell r="E1699">
            <v>73181500</v>
          </cell>
          <cell r="F1699">
            <v>73181500</v>
          </cell>
          <cell r="G1699">
            <v>73181500</v>
          </cell>
          <cell r="H1699" t="str">
            <v>Parafuso cabeca escareada M4x0,7 - 100mm, de materia-prima base de aco baixo carbono, de processo de fabricacAo por usinagem, com acabamento superficial Zincado Amarelo (3030110130)</v>
          </cell>
        </row>
        <row r="1700">
          <cell r="B1700">
            <v>3030110110</v>
          </cell>
          <cell r="D1700">
            <v>21132300</v>
          </cell>
          <cell r="E1700">
            <v>73181500</v>
          </cell>
          <cell r="F1700">
            <v>73181500</v>
          </cell>
          <cell r="G1700">
            <v>73181500</v>
          </cell>
          <cell r="H1700" t="str">
            <v>Parafuso cabeca escareada M4x0,7 - 115mm, de materia-prima base de aco baixo carbono, de processo de fabricacAo por usinagem, com acabamento superficial zincado amarelo (3030110110)</v>
          </cell>
        </row>
        <row r="1701">
          <cell r="B1701" t="str">
            <v>TL431AIPK</v>
          </cell>
          <cell r="D1701">
            <v>93499</v>
          </cell>
          <cell r="E1701">
            <v>85423939</v>
          </cell>
          <cell r="F1701" t="str">
            <v>Not applicable</v>
          </cell>
          <cell r="G1701">
            <v>85423939</v>
          </cell>
          <cell r="H1701" t="str">
            <v>Circuito Integrado Eletronico tipo referencia de tensAo de derivacAo ajustavel, montado, proprio para montagem em superfície SMD - 2.495V 36VV 2.495V 36 VV ±1por cento 100 mA SOT-89-3</v>
          </cell>
        </row>
        <row r="1702">
          <cell r="B1702" t="str">
            <v>LM258DR</v>
          </cell>
          <cell r="D1702">
            <v>93518</v>
          </cell>
          <cell r="E1702">
            <v>85423390</v>
          </cell>
          <cell r="F1702" t="str">
            <v>Not applicable</v>
          </cell>
          <cell r="G1702">
            <v>85423390</v>
          </cell>
          <cell r="H1702" t="str">
            <v>Circuito Integrado Eletronico OP AMP Amplificador de uso geral 2 circuito 8-SOIC 3V~30V</v>
          </cell>
        </row>
        <row r="1703">
          <cell r="B1703" t="str">
            <v>TMS320F28034PNT</v>
          </cell>
          <cell r="D1703">
            <v>93534</v>
          </cell>
          <cell r="E1703">
            <v>85423120</v>
          </cell>
          <cell r="F1703" t="str">
            <v>Not applicable</v>
          </cell>
          <cell r="G1703">
            <v>85423120</v>
          </cell>
          <cell r="H1703" t="str">
            <v>Circuito Integrado Eletronico  Microcontrolador serie C28x32-Bit, Modelo de Microprocessador  Single-Core, de frequencia de clock 60MHz 128KB (64K x 16) FLASH 80-LQFP (12x12), Montado proprio para montagem em SMD</v>
          </cell>
        </row>
        <row r="1704">
          <cell r="B1704" t="str">
            <v>LM293DRG3</v>
          </cell>
          <cell r="D1704">
            <v>93514</v>
          </cell>
          <cell r="E1704">
            <v>85423939</v>
          </cell>
          <cell r="F1704" t="str">
            <v>Not applicable</v>
          </cell>
          <cell r="G1704">
            <v>85423939</v>
          </cell>
          <cell r="H1704" t="str">
            <v>Circuito Integrado Eletronico  tipo Comparador diferencial CMOS, MOS, montado, proprio para montagem em superfície SMD - TTL 8-SOIC, 2V ~ 36V, ±1V ~ 18V</v>
          </cell>
        </row>
        <row r="1705">
          <cell r="B1705" t="str">
            <v>SN74HCT04DR</v>
          </cell>
          <cell r="D1705">
            <v>93525</v>
          </cell>
          <cell r="E1705">
            <v>85423939</v>
          </cell>
          <cell r="F1705" t="str">
            <v>Not applicable</v>
          </cell>
          <cell r="G1705">
            <v>85423939</v>
          </cell>
          <cell r="H1705" t="str">
            <v>Circuito Integrado Eletronico  tipo inversor logico, 6 canais, montado, proprio para montagem em superfície SMD - 14-SOIC 4.5V ~ 5.5V</v>
          </cell>
        </row>
        <row r="1706">
          <cell r="B1706" t="str">
            <v>SN74HC573APWR</v>
          </cell>
          <cell r="D1706">
            <v>93526</v>
          </cell>
          <cell r="E1706">
            <v>85423939</v>
          </cell>
          <cell r="F1706" t="str">
            <v>Not applicable</v>
          </cell>
          <cell r="G1706">
            <v>85423939</v>
          </cell>
          <cell r="H1706" t="str">
            <v>Circuito Integrado Eletronico tipo logico de trava transparente tipo D com saídas de 3 estados, montado, proprio para montagem SMD - 20-TSSOP 2V ~ 6V</v>
          </cell>
        </row>
        <row r="1707">
          <cell r="B1707" t="str">
            <v>SN74AUC2G08DCUR</v>
          </cell>
          <cell r="D1707">
            <v>93509</v>
          </cell>
          <cell r="E1707">
            <v>85423939</v>
          </cell>
          <cell r="F1707" t="str">
            <v>Not applicable</v>
          </cell>
          <cell r="G1707">
            <v>85423939</v>
          </cell>
          <cell r="H1707" t="str">
            <v>Circuito Integrado Eletronico  tipo porta logica "E", 2 canais - montado, propriop ara montagem em superfície SMD - 8-VSSOP 4.5V ~ 5.5V</v>
          </cell>
        </row>
        <row r="1708">
          <cell r="B1708" t="str">
            <v>AMC1200BDWVR</v>
          </cell>
          <cell r="D1708">
            <v>93498</v>
          </cell>
          <cell r="E1708">
            <v>85423390</v>
          </cell>
          <cell r="F1708" t="str">
            <v>Not applicable</v>
          </cell>
          <cell r="G1708">
            <v>85423390</v>
          </cell>
          <cell r="H1708" t="str">
            <v>Circuito Integrado Eletronico  Amplificador de isolamento OPAMP 1 circuito diferencial 8-SOIC</v>
          </cell>
        </row>
        <row r="1709">
          <cell r="B1709" t="str">
            <v>SN74ACT08D</v>
          </cell>
          <cell r="D1709">
            <v>93522</v>
          </cell>
          <cell r="E1709">
            <v>85423939</v>
          </cell>
          <cell r="F1709" t="str">
            <v>Not applicable</v>
          </cell>
          <cell r="G1709">
            <v>85423939</v>
          </cell>
          <cell r="H1709" t="str">
            <v>Circuito Integrado Eletronico tipo porta logica "E", 4 canais, montado, proprio para montagem em superfície SMD - 14-SOIC 4.5V ~ 5.5V</v>
          </cell>
        </row>
        <row r="1710">
          <cell r="B1710" t="str">
            <v>SN74LV244ATPWR</v>
          </cell>
          <cell r="D1710">
            <v>93511</v>
          </cell>
          <cell r="E1710">
            <v>85423939</v>
          </cell>
          <cell r="F1710" t="str">
            <v>Not applicable</v>
          </cell>
          <cell r="G1710">
            <v>85423939</v>
          </cell>
          <cell r="H1710" t="str">
            <v>Circuito Integrado Eletronico  tipo Buffer, nAo inversor, 2 elementos 4 bits por elemento, saída de 3 estados - montado, proprio para montagem em superfície SMD - 20-TSSOP  4,5V ~ 5,5V</v>
          </cell>
        </row>
        <row r="1711">
          <cell r="B1711" t="str">
            <v>SN65HVD230D</v>
          </cell>
          <cell r="D1711">
            <v>93519</v>
          </cell>
          <cell r="E1711">
            <v>85423939</v>
          </cell>
          <cell r="F1711" t="str">
            <v>Not applicable</v>
          </cell>
          <cell r="G1711">
            <v>85423939</v>
          </cell>
          <cell r="H1711" t="str">
            <v>Circuito Integrado Eletronico tipo  1/1 transceptor Half CANbus, montado, proprio para montagem em superfície SMD - 8-SOIC 3V ~ 3.6V</v>
          </cell>
        </row>
        <row r="1712">
          <cell r="B1712" t="str">
            <v>LM285MX-2.5/NOPB</v>
          </cell>
          <cell r="D1712">
            <v>93530</v>
          </cell>
          <cell r="E1712">
            <v>85423939</v>
          </cell>
          <cell r="F1712" t="str">
            <v>Not applicable</v>
          </cell>
          <cell r="G1712">
            <v>85423939</v>
          </cell>
          <cell r="H1712" t="str">
            <v>Circuito Integrado Eletronico tipo referencia de tensAo de derivacAo fixo, montado, proprio para montagem em superfície SMD - 2,5V ± 1,5por cento 20 mA 8-SOIC</v>
          </cell>
        </row>
        <row r="1713">
          <cell r="B1713" t="str">
            <v>TPS563200DDCT</v>
          </cell>
          <cell r="D1713">
            <v>93505</v>
          </cell>
          <cell r="E1713">
            <v>85423939</v>
          </cell>
          <cell r="F1713" t="str">
            <v>Not applicable</v>
          </cell>
          <cell r="G1713">
            <v>85423939</v>
          </cell>
          <cell r="H1713" t="str">
            <v>Circuito Integrado Eletronico tipo Regulador de comutacAo Buck IC, montado, proprio para montagem em superfície SMD - 0,76V 1  3A SOT-23-6  TSOT-23-6</v>
          </cell>
        </row>
        <row r="1714">
          <cell r="B1714">
            <v>2070101121</v>
          </cell>
          <cell r="D1714">
            <v>20692024</v>
          </cell>
          <cell r="E1714">
            <v>85065010</v>
          </cell>
          <cell r="F1714">
            <v>85065010</v>
          </cell>
          <cell r="G1714">
            <v>85065010</v>
          </cell>
          <cell r="H1714" t="str">
            <v>PILHA ELETRICA DE LÍTIO DE VOLUME EXTERIOR 1.00531 CM³, EM FORMATO DE MOEDA. TENSAO ELETRICA DE 3.0V, CORRENTE ELETRICA DE PICO DE 3MA E 0.15MA DE CORRENTE ELETRICA DE TRABALHO. POTENCIA ELETRICA DE 225MAH.</v>
          </cell>
        </row>
        <row r="1715">
          <cell r="B1715">
            <v>6280001687</v>
          </cell>
          <cell r="D1715">
            <v>40291301</v>
          </cell>
          <cell r="E1715">
            <v>85381000</v>
          </cell>
          <cell r="F1715">
            <v>85381000</v>
          </cell>
          <cell r="G1715">
            <v>85381000</v>
          </cell>
          <cell r="H1715" t="str">
            <v>Scj. Caixa Plastica - Gabinete plastico parte para montagem de quadros de distribuicAo de energia eletrica (concentrador de dados PLC G3 HXEJ200), desprovido de componentes/aparelhos eletronicos, dimensoes 380x380x120mm incluindo cabo, parafuso de selagem, cabide e aro (6280001687)</v>
          </cell>
        </row>
        <row r="1716">
          <cell r="B1716" t="str">
            <v>HXEJ200R31251</v>
          </cell>
          <cell r="D1716">
            <v>20691384</v>
          </cell>
          <cell r="E1716">
            <v>85176294</v>
          </cell>
          <cell r="F1716" t="str">
            <v>Not applicable</v>
          </cell>
          <cell r="G1716">
            <v>85176294</v>
          </cell>
          <cell r="H1716" t="str">
            <v>Conversores de protocolo para interconexAo de rede PLC (Power Line Communication) de modelo HXEJ200, compatível com o padrAo PLC-G3, utilizado em sistemas de medicAo avancada de energia eletrica, composto por modulo de comunicacAo (de recepcAo, conversAo e transmissAo) de dados via rede eletrica, providos de emissor com receptor incorporado, digital, compatíveis com o tipo de rede PLC G3 (com fio), modulo de comunicacAo (de recepcAo, conversAo e transmissAo) de dados sem fio, providos de emissor com receptor incorporado, digital, compatíveis com o padrAo celular 3G e modulo de comunicacAo ETHERNET IEEE802.3 por 10/100 BASE-T. Com capacidade coletar, concentrar e encaminhar dados de medicAo de outros medidores inteligentes na rede PLC para um sistema remoto e alimentacAo 3P4W 120-240/416 V (HXEJ200R31251).</v>
          </cell>
        </row>
        <row r="1717">
          <cell r="B1717">
            <v>3090311180</v>
          </cell>
          <cell r="D1717">
            <v>20692540</v>
          </cell>
          <cell r="E1717">
            <v>85444900</v>
          </cell>
          <cell r="F1717">
            <v>85444900</v>
          </cell>
          <cell r="G1717">
            <v>85444900</v>
          </cell>
          <cell r="H1717" t="str">
            <v>Cabo condutor eletrico, de tensAo ate 300V, isolado para uso eletrico, de cobre, de duas vias com isolamento azul e marrom, envolvidos por camada isolante externa de cor preta, de PVC - 2x0,5mm 500mm.</v>
          </cell>
        </row>
        <row r="1718">
          <cell r="B1718">
            <v>3040500100</v>
          </cell>
          <cell r="D1718">
            <v>40272302</v>
          </cell>
          <cell r="E1718">
            <v>85444200</v>
          </cell>
          <cell r="F1718">
            <v>85444200</v>
          </cell>
          <cell r="G1718">
            <v>85444200</v>
          </cell>
          <cell r="H1718" t="str">
            <v>Subconjunto de cabo, condutor eletrico munido de Terminal de ComunicacAo Rígido para conexAo, para uso eletrico, em tensAo de ate 320V - Medidor High End (3040500100)</v>
          </cell>
        </row>
        <row r="1719">
          <cell r="B1719">
            <v>2120305682</v>
          </cell>
          <cell r="D1719">
            <v>20661017</v>
          </cell>
          <cell r="E1719">
            <v>85241100</v>
          </cell>
          <cell r="F1719">
            <v>85241100</v>
          </cell>
          <cell r="G1719">
            <v>85241100</v>
          </cell>
          <cell r="H1719" t="str">
            <v>MoDULO DE VISUALIZAcAO DE TELA (eCRA) PLANA (DISPLAY) DE CRISTAL LÍQUIDO (LCD)SEM CONTROLADOR (DRIVERS) NEM CIRCUITOS DE CONTROLE para medidores eletronicos de energia eletrica utilizados em processo de  montagem  por insercAo (PTH), com tensAo de operacAo 3,3V e dimensoes 73 x 25 mm</v>
          </cell>
        </row>
        <row r="1720">
          <cell r="B1720">
            <v>4010300290</v>
          </cell>
          <cell r="D1720">
            <v>93975</v>
          </cell>
          <cell r="E1720">
            <v>90303200</v>
          </cell>
          <cell r="F1720" t="str">
            <v>Not applicable</v>
          </cell>
          <cell r="G1720">
            <v>90303100</v>
          </cell>
          <cell r="H1720" t="str">
            <v>Multimetro VC890D, com dispositivo registrador (ref.4010300290)</v>
          </cell>
        </row>
        <row r="1721">
          <cell r="B1721" t="str">
            <v>GT1-3K3S1</v>
          </cell>
          <cell r="D1721">
            <v>95916</v>
          </cell>
          <cell r="E1721">
            <v>85044090</v>
          </cell>
          <cell r="F1721" t="str">
            <v>Not applicable</v>
          </cell>
          <cell r="G1721">
            <v>85044090</v>
          </cell>
          <cell r="H1721" t="str">
            <v>Inversores fotovoltaicos, tipo string, para rede monofasica, com potencia nominal de saída 3.300W a 40 graus celsius, com potencia maxima de saída de 3.300W a 40 graus celsius e tensAo nominal de saída de 230Vca, de marca XXXX, modelo YYYY, ano de fabricacAo ZZZZ e numeros de serie de AAAA a BBBB, para conversAo de energia corrente contínua em energia corrente alternada, de tecnologia de controle microprocessado,  monofasico,  corrente nominal de saída de 14.3A  "on-grid", faixa de frequencia 50/60 Hz, eficiencia maxima de 97.8por cento, gabinete com grau de protecAo IP65, projetado para suportar operacAo em temperaturas na faixa de -30 a 60 graus Celsius. unica MPPT</v>
          </cell>
        </row>
        <row r="1722">
          <cell r="B1722" t="str">
            <v>GT1-6KD1</v>
          </cell>
          <cell r="D1722">
            <v>95918</v>
          </cell>
          <cell r="E1722">
            <v>85044090</v>
          </cell>
          <cell r="F1722" t="str">
            <v>Not applicable</v>
          </cell>
          <cell r="G1722">
            <v>85044090</v>
          </cell>
          <cell r="H1722" t="str">
            <v>Inversores para sistemas fotovoltaicos, tipo string, para rede monofasica, com potencia nominal de saída de 6.000W a 40 graus celsius, com potencia maxima de saída de 6.000W a 40 graus celsius, e tensAo nominal de saída 230Vca, de marca XXXX, modelo YYYY, ano de fabricacAo ZZZZ e numeros de serie de AAAA a BBBB - para conversAo de energia corrente contínua em energia corrente alternada, de tecnologia de controle microprocessado, corrente nominal de saída de 26.1A, "on-grid", faixa de frequencia 50/60 Hz, eficiencia maxima de 98,4por cento, gabinetes com grau de protecAo IP65, projetados para suportar operacAo em temperaturas na faixa de -30 a 60 graus Celsius, duas MPPTs</v>
          </cell>
        </row>
        <row r="1723">
          <cell r="B1723" t="str">
            <v>A0070230E11R11302</v>
          </cell>
          <cell r="D1723">
            <v>21500800</v>
          </cell>
          <cell r="E1723">
            <v>85437099</v>
          </cell>
          <cell r="F1723" t="str">
            <v>Not applicable</v>
          </cell>
          <cell r="H1723" t="str">
            <v>Carregadores portateis para abastecimento eletrico veicular em corrente alternada, com conector Tipo 1, Tipo 2 ou GB/T, potencias de 3,7 ou 7,4 ou 22kW, com ajuste manual de corrente, corrente maxima 16 ou 32A, com "display" LCD e indicador LED para indicacAo dos parAmetros de carga e consumo de energia, deteccAo automatica de aterramento e temporizador (timer) para o processo de carga, tensAo de alimentacAo de ate 380VAC//CARACTERISTICAS ESPECIFICAS com conector Tipo 1 e Tipo 2, potencia de 7,4kW, com ajuste manual de corrente, corrente maxima 32A, com indicador LED, tensao de alimentacao de 230VAC -  - marca xxxx, modelo xxxx, ano de fabricacAo YYYY e numeros de serie de XXXXXXXXXXXX a XXXXXXXXXXX.</v>
          </cell>
        </row>
        <row r="1724">
          <cell r="B1724" t="str">
            <v>6001009770</v>
          </cell>
          <cell r="D1724" t="str">
            <v>PENDING</v>
          </cell>
          <cell r="E1724">
            <v>73089090</v>
          </cell>
          <cell r="F1724" t="str">
            <v>Not applicable</v>
          </cell>
          <cell r="H1724" t="str">
            <v>Coluna de fixacAo, de aco, para montagem de estrutura fixa de carregador veicular</v>
          </cell>
        </row>
        <row r="1725">
          <cell r="B1725" t="str">
            <v>BLF51-5R31101</v>
          </cell>
          <cell r="D1725" t="str">
            <v>PENDING</v>
          </cell>
          <cell r="E1725">
            <v>76129090</v>
          </cell>
          <cell r="F1725" t="str">
            <v>Not applicable</v>
          </cell>
          <cell r="H1725" t="str">
            <v>Caixa de alumínio fundido para alocacAo de baterias de lítio para uso em inversores fotovoltaicos, desprovida de componentes eletroeletronicos, de capacidade entre 30 e 40 litros</v>
          </cell>
        </row>
        <row r="1726">
          <cell r="B1726" t="str">
            <v>HYPER-5000R12000</v>
          </cell>
          <cell r="D1726">
            <v>90948</v>
          </cell>
          <cell r="E1726">
            <v>85044090</v>
          </cell>
          <cell r="F1726" t="str">
            <v>Not applicable</v>
          </cell>
          <cell r="G1726">
            <v>85044090</v>
          </cell>
          <cell r="H1726" t="str">
            <v>Inversores para sistemas fotovoltaicos, tipo string, para rede monofasica, com potencia nominal de saída de 5.000W a 40 graus celsius, com potencia maxima de saída de 5.000W a 40 graus celsius, e tensAo nominal de saída 220, 230 e/ou 240Vca, de marca XXXX, modelo YYYY, ano de fabricacAo ZZZZ e numeros de serie de AAAA a BBBB - para conversAo de energia corrente contínua em energia corrente alternada, de tecnologia de controle microprocessado, corrente nominal de saída 21.7A, "hibrido", faixa de frequencia 50/60 Hz, eficiencia maxima de 97,8por cento, gabinete com grau de protecAo IP65, projetado para suportar operacAo em temperaturas na faixa de -25 a 60 graus Celsius, unica  MPPT</v>
          </cell>
        </row>
        <row r="1727">
          <cell r="B1727" t="str">
            <v>Hyper-5000R31005</v>
          </cell>
          <cell r="D1727" t="str">
            <v>PENDING</v>
          </cell>
          <cell r="E1727">
            <v>85044090</v>
          </cell>
          <cell r="F1727" t="str">
            <v>Not applicable</v>
          </cell>
          <cell r="G1727">
            <v>85044090</v>
          </cell>
          <cell r="H1727" t="str">
            <v>Inversores para sistemas fotovoltaicos, tipo string, para rede monofasica, com potencia nominal de saída de 5.000W a 40 graus celsius, com potencia maxima de saída de 5.000W a 40 graus celsius, e tensAo nominal de saída 220, 230 e/ou 240Vca, de marca XXXX, modelo YYYY, ano de fabricacAo ZZZZ e numeros de serie de AAAA a BBBB - para conversAo de energia corrente contínua em energia corrente alternada, de tecnologia de controle microprocessado, corrente nominal de saída 21.7A, "hibrido", faixa de frequencia 50/60 Hz, eficiencia maxima de 97,8por cento, gabinete com grau de protecAo IP65, projetado para suportar operacAo em temperaturas na faixa de -25 a 60 graus Celsius, unica  MPPT</v>
          </cell>
        </row>
        <row r="1728">
          <cell r="B1728" t="str">
            <v>AC1-LCDR11001</v>
          </cell>
          <cell r="D1728" t="str">
            <v>PENDING</v>
          </cell>
          <cell r="E1728">
            <v>85241100</v>
          </cell>
          <cell r="F1728" t="str">
            <v>Not applicable</v>
          </cell>
          <cell r="H1728" t="str">
            <v>Modulo de visualizacAo (ecrA), de cristal líquido (LCD), sem controlador (drivers) nem circuitos de controle, para exibicAo remota de grandezas de geracAo e consumo de inversores fotovoltaicos</v>
          </cell>
        </row>
        <row r="1729">
          <cell r="B1729" t="str">
            <v>AC1-WLFR11000</v>
          </cell>
          <cell r="D1729" t="str">
            <v>PENDING</v>
          </cell>
          <cell r="E1729">
            <v>85176272</v>
          </cell>
          <cell r="F1729" t="str">
            <v>Not applicable</v>
          </cell>
          <cell r="H1729" t="str">
            <v>Modulo de comunicacAo para transmissAo e recepcAo de dados em redes sem fio (WLAN), com receptor incorporado, digital, de frequencia 2.4 GHz e taxa de transmissAo 9,6Mbit/s, tensAo de funcionamento 5V dc, para conexAo com inversor fotovoltaico off-grid</v>
          </cell>
        </row>
        <row r="1730">
          <cell r="B1730" t="str">
            <v>GT1-10KT1R11101</v>
          </cell>
          <cell r="D1730">
            <v>98190</v>
          </cell>
          <cell r="E1730">
            <v>85044090</v>
          </cell>
          <cell r="F1730" t="str">
            <v>Not applicable</v>
          </cell>
          <cell r="G1730">
            <v>85044090</v>
          </cell>
          <cell r="H1730" t="str">
            <v>Inversores para sistemas fotovoltaicos string, para rede monofasica, com potencia nominal de saída de 10.000W a 40 graus Celsius, com potencia maxima de saída de 10.000W a 40 graus Celsius, e tensAo nominal de saída de 220VCA, de marca XXXX, modelo YYYY, ano de fabricacAo ZZZZ e numeros de serie de AAAA a BBBB - para conversAo de energia corrente contínua em energia corrente alternada, de tecnologia de controle microprocessado, corrente nominal de saída de 43.5A, "on-grid", faixa de frequencia 50/60 Hz, eficiencia maxima de 98,2por cento, gabinetes com grau de protecAo IP65, projetados para suportar operacAo em temperaturas na faixa de -30 a 60 graus Celsius, duas MPPTs</v>
          </cell>
        </row>
        <row r="1731">
          <cell r="B1731" t="str">
            <v>GT3-25KD1R11001</v>
          </cell>
          <cell r="D1731">
            <v>98198</v>
          </cell>
          <cell r="E1731">
            <v>85044090</v>
          </cell>
          <cell r="F1731" t="str">
            <v>Not applicable</v>
          </cell>
          <cell r="G1731">
            <v>85044090</v>
          </cell>
          <cell r="H1731" t="str">
            <v>Inversores para sistemas fotovoltaicos "on grid", tipo "string", para rede trifasica, com potencia nominal de saída de 25.000W a 40 graus Celsius, com potencia maxima de saída de 25.000W a 40 graus Celsius, e tensAo nominal de saída de 230V/400V, de marca XXXX, modelo YYYY, ano de fabricacAo ZZZZ e numeros de serie de AAAA a BBBB - para conversAo de energia corrente contínua em energia corrente alternada, de tecnologia de controle microprocessado, corrente nominal de saída de 36,1A, faixa de frequencia 50/60 Hz, eficiencia maxima de 98,6por cento, gabinetes com grau de protecAo IP65, projetados para suportar operacAo em temperaturas na faixa de -30 a 60 graus Celsius, duas MPPTs</v>
          </cell>
        </row>
        <row r="1732">
          <cell r="B1732">
            <v>4030400940</v>
          </cell>
          <cell r="D1732">
            <v>94016</v>
          </cell>
          <cell r="E1732">
            <v>85369090</v>
          </cell>
          <cell r="F1732" t="str">
            <v>Not applicable</v>
          </cell>
          <cell r="G1732">
            <v>85369090</v>
          </cell>
          <cell r="H1732" t="str">
            <v>Soquete PARA CONEXAO DE CIRCUITO ELeTRICO COM TENSAO ATe 320V - para programacAo de firmware em medidores de energia eletrica (ref.4030400940)</v>
          </cell>
        </row>
        <row r="1733">
          <cell r="B1733" t="str">
            <v>HXAP1000R21203</v>
          </cell>
          <cell r="D1733">
            <v>20694419</v>
          </cell>
          <cell r="E1733">
            <v>85176241</v>
          </cell>
          <cell r="F1733">
            <v>85176241</v>
          </cell>
          <cell r="G1733">
            <v>85176241</v>
          </cell>
          <cell r="H1733"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1734">
          <cell r="D1734">
            <v>5635970110</v>
          </cell>
          <cell r="E1734">
            <v>90282010</v>
          </cell>
          <cell r="F1734" t="str">
            <v>Not applicable</v>
          </cell>
          <cell r="G1734">
            <v>90282010</v>
          </cell>
          <cell r="H1734" t="str">
            <v>Hidrometro (contador de líquido) eletronico ultrassonico, do tipo carretel, LatAo; DN25-260 mm; Q3=6,3 m³/h; R250; Pulso (ZLW-DN25) com o peso líquido unitario de 2KG;</v>
          </cell>
        </row>
        <row r="1735">
          <cell r="B1735">
            <v>3040303740</v>
          </cell>
          <cell r="D1735">
            <v>20290913</v>
          </cell>
          <cell r="E1735">
            <v>85444200</v>
          </cell>
          <cell r="F1735">
            <v>85444200</v>
          </cell>
          <cell r="G1735">
            <v>85444200</v>
          </cell>
          <cell r="H1735" t="str">
            <v>PONTE DE COBRE NEUTRO ESTANHADA, DIMENSoES 54,6x38x5mm, MUNIDA DE FIO PRETO (100mm) PARA CONEXAO, CORRENTE MaXIMA DE 200A, PARA APLICAcAO EM ATe 240V</v>
          </cell>
        </row>
        <row r="1736">
          <cell r="B1736">
            <v>3040303370</v>
          </cell>
          <cell r="D1736">
            <v>20293007</v>
          </cell>
          <cell r="E1736">
            <v>85444200</v>
          </cell>
          <cell r="F1736">
            <v>85444200</v>
          </cell>
          <cell r="G1736">
            <v>85444200</v>
          </cell>
          <cell r="H1736" t="str">
            <v>PONTE DE COBRE FASE C ESTANHADA, DIMENSoES 94,8x90x5mm, MUNIDA DE FIO VERMELHO (100mm) PARA CONEXAO, CORRENTE MaXIMA DE 200A, PARA APLICAcAO EM ATe 240V</v>
          </cell>
        </row>
        <row r="1737">
          <cell r="B1737">
            <v>3040303380</v>
          </cell>
          <cell r="D1737">
            <v>20293008</v>
          </cell>
          <cell r="E1737">
            <v>85444200</v>
          </cell>
          <cell r="F1737">
            <v>85444200</v>
          </cell>
          <cell r="G1737">
            <v>85444200</v>
          </cell>
          <cell r="H1737" t="str">
            <v>PONTE DE COBRE FASE B ESTANHADA, DIMENSoES 142x128,1x5mm, MUNIDA DE FIO VERDE (100mm) PARA CONEXAO, CORRENTE MaXIMA DE 200A, PARA APLICAcAO EM ATe 240V</v>
          </cell>
        </row>
        <row r="1738">
          <cell r="B1738">
            <v>3040303390</v>
          </cell>
          <cell r="D1738">
            <v>20293009</v>
          </cell>
          <cell r="E1738">
            <v>85444200</v>
          </cell>
          <cell r="F1738">
            <v>85444200</v>
          </cell>
          <cell r="G1738">
            <v>85444200</v>
          </cell>
          <cell r="H1738" t="str">
            <v>PONTE DE COBRE FASE A ESTANHADA, DIMENSoES 194x162,8x5mm, MUNIDA DE FIO AMARELO (100mm) PARA CONEXAO, CORRENTE MaXIMA DE 200A, PARA APLICAcAO EM ATe 240V</v>
          </cell>
        </row>
        <row r="1739">
          <cell r="B1739">
            <v>3010106530</v>
          </cell>
          <cell r="C1739">
            <v>3010106530</v>
          </cell>
          <cell r="D1739">
            <v>20661802</v>
          </cell>
          <cell r="E1739">
            <v>85043211</v>
          </cell>
          <cell r="G1739">
            <v>85043211</v>
          </cell>
          <cell r="H1739" t="str">
            <v>Transformador eletrico de corrente, com corrente eletrica nominal de 30A e corrente eletrica maxima de 150A. Potencia aparente de 1,08kVA e frequencia de trabalho de 60Hz. RelacAo de transformacAo 30(200)A/12mA, classe 0,1 e resistencia de carga de 7,5 Ohms</v>
          </cell>
        </row>
        <row r="1740">
          <cell r="B1740">
            <v>3010107170</v>
          </cell>
          <cell r="D1740">
            <v>20661801</v>
          </cell>
          <cell r="E1740">
            <v>85043111</v>
          </cell>
          <cell r="F1740">
            <v>85043111</v>
          </cell>
          <cell r="G1740">
            <v>85043111</v>
          </cell>
          <cell r="H1740" t="str">
            <v>Transformador eletrico de corrente, com corrente eletrica nominal de 30A e corrente eletrica maxima de 200A. Potencia aparente de 0,00019VA e frequencia de trabalho de 60Hz. RelacAo de transformacAo 30(200)A/7,5mA, classe 0,1 e resistencia de carga de 3,5 Ohms</v>
          </cell>
        </row>
        <row r="1741">
          <cell r="B1741" t="str">
            <v>HXB6021LM.R210</v>
          </cell>
          <cell r="D1741">
            <v>40264658</v>
          </cell>
          <cell r="E1741">
            <v>90283011</v>
          </cell>
          <cell r="F1741" t="str">
            <v>Not applicable</v>
          </cell>
          <cell r="G1741">
            <v>90283011</v>
          </cell>
          <cell r="H1741" t="str">
            <v>Contador Digital de Eletricidade Monofasico de Corrente Alternada Cronos 6021-NG 120V,240V 1 Elem. 2 Fios 15(100)A + Aux + SU (HXB6021LM.R210)</v>
          </cell>
        </row>
        <row r="1742">
          <cell r="B1742" t="str">
            <v>HXE12DLR14104</v>
          </cell>
          <cell r="D1742">
            <v>40147001</v>
          </cell>
          <cell r="E1742">
            <v>90283011</v>
          </cell>
          <cell r="F1742" t="str">
            <v>Not applicable</v>
          </cell>
          <cell r="G1742">
            <v>90283011</v>
          </cell>
          <cell r="H1742" t="str">
            <v>Contador Digital de Eletricidade Monofasico de Corrente Alternada HXE12DL 1p2w IEC Optical Port, 5(100)A, 220V, 50Hz</v>
          </cell>
        </row>
        <row r="1743">
          <cell r="B1743" t="str">
            <v>HXE34KR23029</v>
          </cell>
          <cell r="D1743">
            <v>40147301</v>
          </cell>
          <cell r="E1743">
            <v>90283031</v>
          </cell>
          <cell r="F1743" t="str">
            <v>Not applicable</v>
          </cell>
          <cell r="G1743">
            <v>90283031</v>
          </cell>
          <cell r="H1743" t="str">
            <v>Contador Digital de Eletricidade Trifasico 3p4w IEC Optical Port, 5(120)A 220V, 50Hz</v>
          </cell>
        </row>
        <row r="1744">
          <cell r="B1744">
            <v>7030301560</v>
          </cell>
          <cell r="D1744">
            <v>95252</v>
          </cell>
          <cell r="E1744">
            <v>84148012</v>
          </cell>
          <cell r="F1744" t="str">
            <v>Not applicable</v>
          </cell>
          <cell r="G1744">
            <v>84148019</v>
          </cell>
          <cell r="H1744" t="str">
            <v>Compressor de ar KOBELCO, de parafuso, modelo VS75A IV, numero de serie XXXXXXX, marca KOBELCO, ano de fabricacAo ZZZZ; 75KW, 380V, vazAo de ar de 6,9-13,7m³/min, pressAo 0,7MPa, com dimensoes 2200x 1200x 1700mm.</v>
          </cell>
        </row>
        <row r="1745">
          <cell r="B1745" t="str">
            <v>7030301560-1</v>
          </cell>
          <cell r="D1745">
            <v>95253</v>
          </cell>
          <cell r="E1745">
            <v>84213990</v>
          </cell>
          <cell r="F1745" t="str">
            <v>Not applicable</v>
          </cell>
          <cell r="G1745">
            <v>84213990</v>
          </cell>
          <cell r="H1745" t="str">
            <v>Filtro para depuracAo de ar proveniente de sistema compressor de ar, modelo RSG-AO-0330G, sem numero de serie, marca Hangzhou Risheng, ano de fabricacAo ZZZZ.</v>
          </cell>
        </row>
        <row r="1746">
          <cell r="B1746" t="str">
            <v>7030301560-2</v>
          </cell>
          <cell r="D1746">
            <v>95254</v>
          </cell>
          <cell r="E1746">
            <v>84193900</v>
          </cell>
          <cell r="F1746" t="str">
            <v>Not applicable</v>
          </cell>
          <cell r="G1746">
            <v>84193900</v>
          </cell>
          <cell r="H1746" t="str">
            <v>Secador de ar para sistema compressor de ar, modelo RSLF-200-PD, numero de serie ZZZZZZZZ, marca Hangzhou Risheng, ano de fabricacAo XXXX.</v>
          </cell>
        </row>
        <row r="1747">
          <cell r="B1747" t="str">
            <v>7030301560-3</v>
          </cell>
          <cell r="D1747">
            <v>95255</v>
          </cell>
          <cell r="E1747">
            <v>73110000</v>
          </cell>
          <cell r="F1747" t="str">
            <v>Not applicable</v>
          </cell>
          <cell r="G1747">
            <v>73110000</v>
          </cell>
          <cell r="H1747" t="str">
            <v>Recipiente tipo tanque para gases comprimidos, de aco inoxidavel, para armazenamento e distrbuicAo de ar proveniente de sistema compressor de ar, C-2 / 0.8 M³.</v>
          </cell>
        </row>
        <row r="1748">
          <cell r="B1748" t="str">
            <v>PENDING</v>
          </cell>
          <cell r="D1748" t="str">
            <v>PENDING</v>
          </cell>
          <cell r="E1748">
            <v>90303390</v>
          </cell>
          <cell r="F1748" t="str">
            <v>Not applicable</v>
          </cell>
          <cell r="H1748" t="str">
            <v>Instrumento para teste de isolamento Eletrico</v>
          </cell>
        </row>
        <row r="1749">
          <cell r="B1749" t="str">
            <v>PENDING</v>
          </cell>
          <cell r="D1749" t="str">
            <v>PENDING</v>
          </cell>
          <cell r="E1749">
            <v>48191000</v>
          </cell>
          <cell r="F1749" t="str">
            <v>Not applicable</v>
          </cell>
          <cell r="H1749" t="str">
            <v>Caixa de papelAo ondulado, dimensoes 430x380x205</v>
          </cell>
        </row>
        <row r="1750">
          <cell r="B1750" t="str">
            <v>PENDING</v>
          </cell>
          <cell r="D1750" t="str">
            <v>PENDING</v>
          </cell>
          <cell r="E1750">
            <v>48191000</v>
          </cell>
          <cell r="F1750" t="str">
            <v>Not applicable</v>
          </cell>
          <cell r="H1750" t="str">
            <v>Caixa de papelAo ondulado, dimensoes 530x445x220</v>
          </cell>
        </row>
        <row r="1751">
          <cell r="B1751" t="str">
            <v>PENDING</v>
          </cell>
          <cell r="D1751" t="str">
            <v>PENDING</v>
          </cell>
          <cell r="E1751">
            <v>39219090</v>
          </cell>
          <cell r="F1751" t="str">
            <v>Not applicable</v>
          </cell>
          <cell r="H1751" t="str">
            <v>Folha de Polietileno, alveolar, para rolha, dimensoes 1000mmx800mmx10mm</v>
          </cell>
        </row>
        <row r="1752">
          <cell r="B1752" t="str">
            <v>PENDING</v>
          </cell>
          <cell r="D1752" t="str">
            <v>PENDING</v>
          </cell>
          <cell r="E1752">
            <v>39219090</v>
          </cell>
          <cell r="F1752" t="str">
            <v>Not applicable</v>
          </cell>
          <cell r="H1752" t="str">
            <v>Folha de Polietileno, alveolar, para rolha, dimensoes 350mmx350mmx20mm</v>
          </cell>
        </row>
        <row r="1753">
          <cell r="B1753" t="str">
            <v>PENDING</v>
          </cell>
          <cell r="D1753" t="str">
            <v>PENDING</v>
          </cell>
          <cell r="E1753">
            <v>39211900</v>
          </cell>
          <cell r="F1753" t="str">
            <v>Not applicable</v>
          </cell>
          <cell r="H1753" t="str">
            <v>Chapa de plastico, alveolar, cantoneira de espuma de polipropileno de dimensAo 150mm*110mm*150mm para proteger inversores.</v>
          </cell>
        </row>
        <row r="1754">
          <cell r="B1754" t="str">
            <v>PENDING</v>
          </cell>
          <cell r="D1754" t="str">
            <v>PENDING</v>
          </cell>
          <cell r="E1754">
            <v>39211900</v>
          </cell>
          <cell r="F1754" t="str">
            <v>Not applicable</v>
          </cell>
          <cell r="H1754" t="str">
            <v>Chapa de plastico, alveolar, cantoneira de espuma de polipropileno de dimensAo 120*110*160mm para proteger inversores.</v>
          </cell>
        </row>
        <row r="1755">
          <cell r="B1755">
            <v>2050501741</v>
          </cell>
          <cell r="D1755">
            <v>20680127</v>
          </cell>
          <cell r="E1755">
            <v>85423221</v>
          </cell>
          <cell r="F1755">
            <v>85423221</v>
          </cell>
          <cell r="G1755">
            <v>85423221</v>
          </cell>
          <cell r="H1755" t="str">
            <v>Circuito integrado eletronico do tipo memoria EEPROM, com capacidade de memoria de 64Kbytes (512Kbits). Montado, proprio para montagem em superfície (SMD), encapsulamento SOP-8.  Com tensAo de alimentacAo de 1.7V a 5.5V.</v>
          </cell>
        </row>
        <row r="1756">
          <cell r="B1756">
            <v>2010102640</v>
          </cell>
          <cell r="D1756">
            <v>20660981</v>
          </cell>
          <cell r="E1756">
            <v>85332120</v>
          </cell>
          <cell r="F1756">
            <v>85332120</v>
          </cell>
          <cell r="G1756">
            <v>85332120</v>
          </cell>
          <cell r="H1756" t="str">
            <v>Resistor proprio para montagem SMD, de potencia 0,1 (1/10) W; resistencia 10 ohms; encapsulamento 0603; tolerAncia 1por cento</v>
          </cell>
        </row>
        <row r="1757">
          <cell r="B1757">
            <v>2020303380</v>
          </cell>
          <cell r="D1757">
            <v>20600900</v>
          </cell>
          <cell r="E1757">
            <v>85322200</v>
          </cell>
          <cell r="F1757">
            <v>85322200</v>
          </cell>
          <cell r="G1757">
            <v>85322200</v>
          </cell>
          <cell r="H1757" t="str">
            <v>Capacitor (condensador eletrico fixo) eletrolítico de alumínio, de uso geral para montagem PTH; CapacitAncia 1000.0uF; TensAo nominal 25Vdc; TolerAncia 20por cento; 7000 hours; Terminal radial; DiAmetro 5mm; 10*20mm</v>
          </cell>
        </row>
        <row r="1758">
          <cell r="B1758">
            <v>3090310220</v>
          </cell>
          <cell r="D1758">
            <v>40276000</v>
          </cell>
          <cell r="E1758">
            <v>85369090</v>
          </cell>
          <cell r="F1758">
            <v>85369090</v>
          </cell>
          <cell r="G1758">
            <v>85369090</v>
          </cell>
          <cell r="H1758" t="str">
            <v>TERMINAL DE TENSAO EM LATAO ESTANHADO, FIO AMARELO (90mm), FIO VERDE (100mm), FIO VERMELHO (140mm), FIO PRETO (150mm), COM CONECTOR NA EXTREMIDADE 4PIN, PARA CONEXAO DE CIRCUITO ELeTRICO COM TENSAO ATe 240V, TORQUE DE 3N.M</v>
          </cell>
        </row>
        <row r="1759">
          <cell r="B1759">
            <v>5051400590</v>
          </cell>
          <cell r="D1759">
            <v>20293000</v>
          </cell>
          <cell r="E1759">
            <v>85444200</v>
          </cell>
          <cell r="F1759">
            <v>85444200</v>
          </cell>
          <cell r="G1759">
            <v>85444200</v>
          </cell>
          <cell r="H1759" t="str">
            <v>PONTE DE COBRE DE CORRENTE DA FASE C, COM TERMINIAS DE LATAO NAS EXTREMIDADES, COM TRANSFORMADOR BLINDADO, MUNIDA DE CONECTOR 2PIN PARA CONEXAO, CORRENTE MaXIMA DE 20A, PARA APLICAcAO EM ATe 240V</v>
          </cell>
        </row>
        <row r="1760">
          <cell r="B1760">
            <v>5051400600</v>
          </cell>
          <cell r="D1760">
            <v>20293001</v>
          </cell>
          <cell r="E1760">
            <v>85444200</v>
          </cell>
          <cell r="F1760">
            <v>85444200</v>
          </cell>
          <cell r="G1760">
            <v>85444200</v>
          </cell>
          <cell r="H1760" t="str">
            <v>PONTE DE COBRE DE CORRENTE DA FASE A, COM TERMINIAS DE LATAO NAS EXTREMIDADES, COM TRANSFORMADOR BLINDADO, MUNIDA DE CONECTOR 2PIN PARA CONEXAO, CORRENTE MaXIMA DE 20A, PARA APLICAcAO EM ATe 240V</v>
          </cell>
        </row>
        <row r="1761">
          <cell r="B1761">
            <v>5051400610</v>
          </cell>
          <cell r="D1761">
            <v>20293002</v>
          </cell>
          <cell r="E1761">
            <v>85444200</v>
          </cell>
          <cell r="F1761">
            <v>85444200</v>
          </cell>
          <cell r="G1761">
            <v>85444200</v>
          </cell>
          <cell r="H1761" t="str">
            <v>PONTE DE COBRE DE CORRENTE DA FASE B, COM TERMINIAS DE LATAO NAS EXTREMIDADES, COM TRANSFORMADOR BLINDADO, MUNIDA DE CONECTOR 2PIN PARA CONEXAO, CORRENTE MaXIMA DE 20A, PARA APLICAcAO EM ATe 240V</v>
          </cell>
        </row>
        <row r="1762">
          <cell r="B1762">
            <v>5051400660</v>
          </cell>
          <cell r="D1762">
            <v>20293004</v>
          </cell>
          <cell r="E1762">
            <v>85444200</v>
          </cell>
          <cell r="F1762">
            <v>85444200</v>
          </cell>
          <cell r="G1762">
            <v>85444200</v>
          </cell>
          <cell r="H1762" t="str">
            <v>PONTE DE COBRE DE CORRENTE DA FASE A, COM TERMINIAS DE LATAO NAS EXTREMIDADES, COM TRANSFORMADOR NAO BLINDADO MAGNETICAMENTE, MUNIDA DE CONECTOR 2PIN PARA CONEXAO, CORRENTE MaXIMA DE 20A, PARA APLICAcAO EM ATe 240V</v>
          </cell>
        </row>
        <row r="1763">
          <cell r="B1763">
            <v>5051400670</v>
          </cell>
          <cell r="D1763">
            <v>20293005</v>
          </cell>
          <cell r="E1763">
            <v>85444200</v>
          </cell>
          <cell r="F1763">
            <v>85444200</v>
          </cell>
          <cell r="G1763">
            <v>85444200</v>
          </cell>
          <cell r="H1763" t="str">
            <v>PONTE DE COBRE DE CORRENTE DA FASE C, COM TERMINIAS DE LATAO NAS EXTREMIDADES, COM TRANSFORMADOR NAO BLINDADO MAGNETICAMENTE, MUNIDA DE CONECTOR 2PIN PARA CONEXAO, CORRENTE MaXIMA DE 20A, PARA APLICAcAO EM ATe 240V</v>
          </cell>
        </row>
        <row r="1764">
          <cell r="B1764">
            <v>5051400680</v>
          </cell>
          <cell r="D1764">
            <v>20293006</v>
          </cell>
          <cell r="E1764">
            <v>85444200</v>
          </cell>
          <cell r="F1764">
            <v>85444200</v>
          </cell>
          <cell r="G1764">
            <v>85444200</v>
          </cell>
          <cell r="H1764" t="str">
            <v>PONTE DE COBRE DE CORRENTE DA FASE B, COM TERMINIAS DE LATAO NAS EXTREMIDADES, COM TRANSFORMADOR NAO BLINDADO MAGNETICAMENTE, MUNIDA DE CONECTOR 2PIN PARA CONEXAO, CORRENTE MaXIMA DE 20A, PARA APLICAcAO EM ATe 240V</v>
          </cell>
        </row>
        <row r="1765">
          <cell r="B1765">
            <v>5051400650</v>
          </cell>
          <cell r="D1765">
            <v>20293003</v>
          </cell>
          <cell r="E1765">
            <v>85369090</v>
          </cell>
          <cell r="F1765">
            <v>85369090</v>
          </cell>
          <cell r="G1765">
            <v>85369090</v>
          </cell>
          <cell r="H1765" t="str">
            <v>TERMINAL DO NEUTRO EM LATAO ESTANHADO, COM 2 TERMINAIS NAS EXTREMIDADES, PARA CONEXAO DE CIRCUITO ELeTRICO COM TENSAO ATe 240V, TORQUE DE 3N.M</v>
          </cell>
        </row>
        <row r="1766">
          <cell r="B1766">
            <v>5051600460</v>
          </cell>
          <cell r="D1766">
            <v>20600801</v>
          </cell>
          <cell r="E1766">
            <v>85364100</v>
          </cell>
          <cell r="F1766">
            <v>85364100</v>
          </cell>
          <cell r="G1766">
            <v>85364100</v>
          </cell>
          <cell r="H1766" t="str">
            <v>RELe DE TENSAO 12V, FORMA CONSTRUTIVA ELETROMECANICO DE PESO LÍQUIDO APROXIMADO 490g a 560g,</v>
          </cell>
        </row>
        <row r="1767">
          <cell r="B1767">
            <v>3090305360</v>
          </cell>
          <cell r="D1767">
            <v>10731500</v>
          </cell>
          <cell r="E1767">
            <v>74198090</v>
          </cell>
          <cell r="F1767">
            <v>74198090</v>
          </cell>
          <cell r="G1767">
            <v>74198090</v>
          </cell>
          <cell r="H1767" t="str">
            <v>Arame cortado em fio de cobre, em U, distAncia central 10mm, F0.8mm, 17.5mm superfície estanhada PTH (3090305360)</v>
          </cell>
        </row>
        <row r="1768">
          <cell r="B1768">
            <v>3010315050</v>
          </cell>
          <cell r="D1768">
            <v>20600602</v>
          </cell>
          <cell r="E1768">
            <v>85364100</v>
          </cell>
          <cell r="F1768">
            <v>85364100</v>
          </cell>
          <cell r="G1768">
            <v>85364100</v>
          </cell>
          <cell r="H1768" t="str">
            <v>Rele de tensAo 12V, forma construtiva eletromecAnico de peso líquido aproximado de 80g a 95g.</v>
          </cell>
        </row>
        <row r="1769">
          <cell r="B1769">
            <v>5041600290</v>
          </cell>
          <cell r="D1769">
            <v>20600604</v>
          </cell>
          <cell r="E1769">
            <v>85364100</v>
          </cell>
          <cell r="F1769">
            <v>85364100</v>
          </cell>
          <cell r="G1769">
            <v>85364100</v>
          </cell>
          <cell r="H1769" t="str">
            <v>RELe DE TENSAO 12V, FORMA CONSTRUTIVA ELETROMECANICO DE PESO LÍQUIDO APROXIMADO DE 255g  a 295g.</v>
          </cell>
        </row>
        <row r="1770">
          <cell r="B1770">
            <v>5041600280</v>
          </cell>
          <cell r="D1770">
            <v>20600606</v>
          </cell>
          <cell r="E1770">
            <v>85364100</v>
          </cell>
          <cell r="F1770">
            <v>85364100</v>
          </cell>
          <cell r="G1770">
            <v>85364100</v>
          </cell>
          <cell r="H1770" t="str">
            <v>RELe DE TENSAO 12V, FORMA CONSTRUTIVA ELETROMECANICO DE PESO LÍQUIDO APROXIMADO DE 330g a 360g.</v>
          </cell>
        </row>
        <row r="1771">
          <cell r="B1771" t="str">
            <v>HXB7023E.R210</v>
          </cell>
          <cell r="D1771">
            <v>40264657</v>
          </cell>
          <cell r="E1771">
            <v>90283031</v>
          </cell>
          <cell r="F1771" t="str">
            <v>Not applicable</v>
          </cell>
          <cell r="G1771">
            <v>90283031</v>
          </cell>
          <cell r="H1771" t="str">
            <v>Medidor de energia eletrica (contador de eletricidade) trifasico digital Cronos 7023-NG+ 120V, 240V 3 Fases 4 Fios 15(100)A + RS485 (HXB7023E.R210)</v>
          </cell>
        </row>
        <row r="1772">
          <cell r="B1772">
            <v>40146001</v>
          </cell>
          <cell r="D1772">
            <v>92131</v>
          </cell>
          <cell r="E1772">
            <v>90289010</v>
          </cell>
          <cell r="F1772">
            <v>90289010</v>
          </cell>
          <cell r="G1772">
            <v>90289010</v>
          </cell>
          <cell r="H1772" t="str">
            <v>PCBA (placa de circuito impresso montada), , parte para montagem de contadores de eletricidade Cronos 7021NG+ 120V,240V 1 Elem. 2 Fios 15(100)A + EA + Aux + ER + Bat + RS485</v>
          </cell>
        </row>
        <row r="1773">
          <cell r="B1773">
            <v>3021701279</v>
          </cell>
          <cell r="D1773">
            <v>20457400</v>
          </cell>
          <cell r="E1773">
            <v>90289010</v>
          </cell>
          <cell r="F1773">
            <v>90289010</v>
          </cell>
          <cell r="G1773">
            <v>90289010</v>
          </cell>
          <cell r="H1773" t="str">
            <v>Tampa para porta optica High End, parte para montagem de contadores de eletricidade (3021701279)</v>
          </cell>
        </row>
        <row r="1774">
          <cell r="B1774">
            <v>4039807080</v>
          </cell>
          <cell r="D1774">
            <v>71999</v>
          </cell>
          <cell r="E1774">
            <v>90319010</v>
          </cell>
          <cell r="F1774" t="str">
            <v>Not applicable</v>
          </cell>
          <cell r="G1774">
            <v>90319010</v>
          </cell>
          <cell r="H1774" t="str">
            <v>Dispositivo Auto FCT, parte para uso em bancada de ensaios de FCT e calibracAo para medidores de energia eletrica (ref. 4039807080)</v>
          </cell>
        </row>
        <row r="1775">
          <cell r="B1775">
            <v>4010104440</v>
          </cell>
          <cell r="D1775">
            <v>101669</v>
          </cell>
          <cell r="E1775">
            <v>73269090</v>
          </cell>
          <cell r="F1775" t="str">
            <v>Not applicable</v>
          </cell>
          <cell r="G1775">
            <v>73269090</v>
          </cell>
          <cell r="H1775" t="str">
            <v>GABARITO DE PASTA DE SOLDA SMD - Stencil, DE AcO, OBTIDO POR DOBRAGEM (REF. 4010104440)</v>
          </cell>
        </row>
        <row r="1776">
          <cell r="B1776" t="str">
            <v>HXCUJR14001</v>
          </cell>
          <cell r="D1776">
            <v>20692610</v>
          </cell>
          <cell r="E1776">
            <v>85447090</v>
          </cell>
          <cell r="F1776" t="str">
            <v>Not applicable</v>
          </cell>
          <cell r="G1776">
            <v>85447090</v>
          </cell>
          <cell r="H1776" t="str">
            <v>Cabo de fibra optica, munido de conexAo USB (HXCUJ.R140)</v>
          </cell>
        </row>
        <row r="1777">
          <cell r="B1777">
            <v>5050903860</v>
          </cell>
          <cell r="D1777">
            <v>40257900</v>
          </cell>
          <cell r="E1777">
            <v>90289010</v>
          </cell>
          <cell r="F1777">
            <v>90289010</v>
          </cell>
          <cell r="G1777">
            <v>90289010</v>
          </cell>
          <cell r="H1777" t="str">
            <v>SUBCONJUNTO DE MONTAGEM PLaSTICA BLOCO DE TERMINAIS E PARTES METaLICAS DOS TERMINAIS DE CORRENTE E TENSAO PARTE PARA MONTAGEM DE CONTADORES DE ELETRICIDADE (5050903860)</v>
          </cell>
        </row>
        <row r="1778">
          <cell r="B1778">
            <v>3040502470</v>
          </cell>
          <cell r="D1778">
            <v>20582900</v>
          </cell>
          <cell r="E1778">
            <v>85369090</v>
          </cell>
          <cell r="F1778">
            <v>85369090</v>
          </cell>
          <cell r="G1778">
            <v>85369090</v>
          </cell>
          <cell r="H1778" t="str">
            <v>TERMINAL DE TENSAO EM LATAO ESTANHADO, FIO AMARELO (90mm), FIO VERDE (100mm), FIO VERMELHO (140mm), FIO PRETO (150mm), COM CONECTOR NA EXTREMIDADE 4PIN, PARA CONEXAO DE CIRCUITO ELeTRICO COM TENSAO ATe 240V, TORQUE DE 3,5N.M (3040502470)</v>
          </cell>
        </row>
        <row r="1779">
          <cell r="B1779">
            <v>3030109460</v>
          </cell>
          <cell r="D1779">
            <v>21169100</v>
          </cell>
          <cell r="E1779">
            <v>73181500</v>
          </cell>
          <cell r="F1779">
            <v>73181500</v>
          </cell>
          <cell r="G1779">
            <v>73181500</v>
          </cell>
          <cell r="H1779" t="str">
            <v>PARAFUSO M4x9mm EM AcO INOX SUS304, FABRICADO POR USINAGEM, CABEcA TIPO PANELA COM FENDA PHILLIPS,  SEM ACABAMENTO SUPERFICIAL (3030109460)</v>
          </cell>
        </row>
        <row r="1780">
          <cell r="B1780">
            <v>3040702390</v>
          </cell>
          <cell r="D1780">
            <v>20581502</v>
          </cell>
          <cell r="E1780">
            <v>85369090</v>
          </cell>
          <cell r="F1780">
            <v>85369090</v>
          </cell>
          <cell r="G1780">
            <v>85369090</v>
          </cell>
          <cell r="H1780" t="str">
            <v>TERMINAL DE CORRENTE EM LATAO HPb62 NIQUELADO, DIMENSoES 41,2x38x21mm, PARA CONEXAO DE CIRCUITO ELeTRICO COM TENSAO ATe 240V, TORQUE DE 22N.M (3040702390)</v>
          </cell>
        </row>
        <row r="1781">
          <cell r="B1781">
            <v>3010502850</v>
          </cell>
          <cell r="D1781">
            <v>20296000</v>
          </cell>
          <cell r="E1781">
            <v>85444200</v>
          </cell>
          <cell r="F1781">
            <v>85444200</v>
          </cell>
          <cell r="G1781">
            <v>85444200</v>
          </cell>
          <cell r="H1781" t="str">
            <v>PONTE DE COBRE ESTANHADA, DIMENSoES 60,6x38x27mm, MUNIDA DE FIO COM CONECTOR (100mm) PARA CONEXAO, CORRENTE MaXIMA DE 200A, PARA APLICAcAO EM ATe 240V (3010502850)</v>
          </cell>
        </row>
        <row r="1782">
          <cell r="B1782" t="str">
            <v>PSD200R2100121500602</v>
          </cell>
          <cell r="D1782">
            <v>92974</v>
          </cell>
          <cell r="E1782">
            <v>85176272</v>
          </cell>
          <cell r="F1782" t="str">
            <v>Not applicable</v>
          </cell>
          <cell r="G1782">
            <v>85176272</v>
          </cell>
          <cell r="H1782" t="str">
            <v>Modulo de comunicacAo de dados em redes sem fio (WLAN - Wifi + Bluetooth), para transmissAo e recepcAo de dados, digital, de frequencia 2.4GHZ e taxa de transmissAo aproximada de 1,38Mbit/s - 802.11b/g/n. TensAo de funcionamento 5V - (PSD200-F1)</v>
          </cell>
        </row>
        <row r="1783">
          <cell r="B1783" t="str">
            <v>GT1-8KT1R11001</v>
          </cell>
          <cell r="D1783">
            <v>95930</v>
          </cell>
          <cell r="E1783">
            <v>85044090</v>
          </cell>
          <cell r="F1783" t="str">
            <v>Not applicable</v>
          </cell>
          <cell r="G1783">
            <v>85044090</v>
          </cell>
          <cell r="H1783" t="str">
            <v>Inversores para sistemas fotovoltaicos, tipo string, para rede monofasica, com potencia nominal de saída de 8.000W a 40 graus celsius, com potencia maxima de saída de 8.800W a 40 graus celsius, e tensAo nominal de saída 230 Vca, de marca XXXX, modelo YYYY, ano de fabricacAo ZZZZ e numeros de serie de AAAA a BBBB - para conversAo de energia corrente contínua em energia corrente alternada, de tecnologia de controle microprocessado, corrente nominal de saída de 34.8A, "on-grid", faixa de frequencia 50/60 Hz, eficiencia maxima de 98.2por cento, gabinetes com grau de protecAo IP65, projetados para suportar operacAo em temperaturas na faixa de -30 a 60 graus Celsius,  MPPT tripla</v>
          </cell>
        </row>
        <row r="1784">
          <cell r="B1784" t="str">
            <v>HXW5218W5FL</v>
          </cell>
          <cell r="D1784">
            <v>5633930100</v>
          </cell>
          <cell r="E1784">
            <v>90282010</v>
          </cell>
          <cell r="F1784" t="str">
            <v>Not applicable</v>
          </cell>
          <cell r="G1784">
            <v>90282010</v>
          </cell>
          <cell r="H1784" t="str">
            <v>Hidrometro Ultrassonico (contador de líquido) Res.; LatAo; DN20-190 mm; Q3=2,5 m³/h; R250; Pulso (ZLW-DN20) com peso líquido unitario aproximado entre 1kg e 2,5kgs.</v>
          </cell>
        </row>
        <row r="1785">
          <cell r="B1785" t="str">
            <v>HXW5318W5F9</v>
          </cell>
          <cell r="D1785">
            <v>5635970100</v>
          </cell>
          <cell r="E1785">
            <v>90282010</v>
          </cell>
          <cell r="F1785" t="str">
            <v>Not applicable</v>
          </cell>
          <cell r="G1785">
            <v>90282010</v>
          </cell>
          <cell r="H1785" t="str">
            <v>Hidrometro Ultrassonico (contador de líquido) Res.; LatAo; DN25-260 mm; Q3 = 6,3 m³/h; R250; Pulso; (ZLW-DN25) com peso líquido unitario aproximado entre 1,5kg e 3kgs.</v>
          </cell>
        </row>
        <row r="1786">
          <cell r="B1786" t="str">
            <v>HXW5213W5F4</v>
          </cell>
          <cell r="D1786">
            <v>5634930100</v>
          </cell>
          <cell r="E1786">
            <v>90282010</v>
          </cell>
          <cell r="F1786" t="str">
            <v>Not applicable</v>
          </cell>
          <cell r="G1786">
            <v>90282010</v>
          </cell>
          <cell r="H1786" t="str">
            <v>Hidrometro (contador de líquido) Ultrassonico Res.; com peso líquido unitario aproximado entre 1kg e 3kgs;LatAo; DN20-190; Q3=4 m³/h; R250; Pulso (ZLW-DN20)</v>
          </cell>
        </row>
        <row r="1787">
          <cell r="B1787">
            <v>5041600260</v>
          </cell>
          <cell r="D1787">
            <v>20600603</v>
          </cell>
          <cell r="E1787">
            <v>85364100</v>
          </cell>
          <cell r="F1787">
            <v>85364100</v>
          </cell>
          <cell r="G1787">
            <v>85364100</v>
          </cell>
          <cell r="H1787" t="str">
            <v>RELe DE TENSAO 12V, FORMA CONSTRUTIVA ELETROMECANICO DE PESO APROXIMADO 450g a 500g</v>
          </cell>
        </row>
        <row r="1788">
          <cell r="B1788" t="str">
            <v>HXWSG100R21204</v>
          </cell>
          <cell r="D1788">
            <v>20694418</v>
          </cell>
          <cell r="E1788">
            <v>85176294</v>
          </cell>
          <cell r="F1788">
            <v>85176294</v>
          </cell>
          <cell r="G1788">
            <v>85176294</v>
          </cell>
          <cell r="H1788" t="str">
            <v>Sub-roteadores de radio frequencia, tradutores (conversores) de protocolos para interconexoes de redes (gateways),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80 ~ 300 VAC.</v>
          </cell>
        </row>
        <row r="1789">
          <cell r="B1789">
            <v>3030702090</v>
          </cell>
          <cell r="D1789">
            <v>21184200</v>
          </cell>
          <cell r="E1789">
            <v>73181500</v>
          </cell>
          <cell r="F1789">
            <v>73181500</v>
          </cell>
          <cell r="G1789">
            <v>73181500</v>
          </cell>
          <cell r="H1789" t="str">
            <v>PARAFUSO HEXAGONAL M8x30mm, EM AcO INOXIDaVEL SUS304, PROCESSO DE FABRICAcAO POR USINAGEM, SEM TRATAMENTO SUPERFICIAL</v>
          </cell>
        </row>
        <row r="1790">
          <cell r="B1790">
            <v>3031300310</v>
          </cell>
          <cell r="D1790">
            <v>20292406</v>
          </cell>
          <cell r="E1790">
            <v>73182100</v>
          </cell>
          <cell r="F1790">
            <v>73182100</v>
          </cell>
          <cell r="G1790">
            <v>73182100</v>
          </cell>
          <cell r="H1790" t="str">
            <v>ARRUELA DE PRESSAO F8, ESPESSURA 1mm, EM AcO INOXIDaVEL SUS304, PROCESSO DE FABRICAcAO POR USINAGEM, SEM TRATAMENTO SUPERFICIAL</v>
          </cell>
        </row>
        <row r="1791">
          <cell r="B1791">
            <v>3031100450</v>
          </cell>
          <cell r="D1791">
            <v>20290812</v>
          </cell>
          <cell r="E1791">
            <v>73182200</v>
          </cell>
          <cell r="F1791">
            <v>73182200</v>
          </cell>
          <cell r="G1791">
            <v>73182200</v>
          </cell>
          <cell r="H1791" t="str">
            <v>ARRUELA LISA F8, DIAMETRO INT. 4mm, DIAMETRO EXT. 15mm, EM MATeRIA-PRIMA BASE DE AcO INOXIDaVEL SUS304, PROCESSO DE FABRICAcAO POR USINAGEM, SEM TRATAMENTO SUPERFICIAL</v>
          </cell>
        </row>
        <row r="1792">
          <cell r="B1792">
            <v>4039895400</v>
          </cell>
          <cell r="D1792" t="str">
            <v>PENDING</v>
          </cell>
          <cell r="E1792">
            <v>70200090</v>
          </cell>
          <cell r="F1792" t="str">
            <v>Not applicable</v>
          </cell>
          <cell r="G1792">
            <v>70200090</v>
          </cell>
          <cell r="H1792" t="str">
            <v xml:space="preserve">Bandeja de fibra de vidro para soldagem de componentes eletronicos </v>
          </cell>
        </row>
        <row r="1793">
          <cell r="B1793">
            <v>4030401350</v>
          </cell>
          <cell r="D1793">
            <v>71540</v>
          </cell>
          <cell r="E1793">
            <v>85369090</v>
          </cell>
          <cell r="F1793" t="str">
            <v>Not applicable</v>
          </cell>
          <cell r="G1793">
            <v>85369090</v>
          </cell>
          <cell r="H1793" t="str">
            <v>Soquete para conexAo de circuito eletrico de tensAo ate 320V - para programacAo de firmware em medidores de energia eletrica (ref.4030401350)</v>
          </cell>
        </row>
        <row r="1794">
          <cell r="B1794">
            <v>4030400280</v>
          </cell>
          <cell r="D1794">
            <v>93629</v>
          </cell>
          <cell r="E1794">
            <v>84719019</v>
          </cell>
          <cell r="F1794" t="str">
            <v>Not applicable</v>
          </cell>
          <cell r="G1794">
            <v>84719019</v>
          </cell>
          <cell r="H1794" t="str">
            <v>Gravadora automatica de dados de firmware para medidores de energia eletrica (programadora de firmware) (ref. 4030400280)</v>
          </cell>
        </row>
        <row r="1795">
          <cell r="B1795">
            <v>4020405150</v>
          </cell>
          <cell r="D1795">
            <v>91858</v>
          </cell>
          <cell r="E1795">
            <v>84799090</v>
          </cell>
          <cell r="F1795" t="str">
            <v>Not applicable</v>
          </cell>
          <cell r="G1795">
            <v>84799090</v>
          </cell>
          <cell r="H1795" t="str">
            <v>Espelho de vidro nAo emoldurado, parte para uso em maquina de insercAo automatica de componentes eletronicos SM471 por montagem em superfície SMD (ref.4020405150)</v>
          </cell>
        </row>
        <row r="1796">
          <cell r="B1796" t="str">
            <v>GT1-3K6S1</v>
          </cell>
          <cell r="D1796">
            <v>98200</v>
          </cell>
          <cell r="E1796">
            <v>85044090</v>
          </cell>
          <cell r="F1796" t="str">
            <v>Not applicable</v>
          </cell>
          <cell r="H1796" t="str">
            <v xml:space="preserve">Inversores para sistemas fotovoltaicos string, para rede monofasica, com potencia nominal de saída de 3.600W a 40 graus Celsius, com potencia maxima de saída de 3.960W a 40 graus Celsius, e tensAo nominal de saída de 220VCA, de marca XXXX, modelo YYYY, ano de fabricacAo ZZZZ e numeros de serie de AAAA a BBBB - para conversAo de energia corrente contínua em energia corrente alternada, de tecnologia de controle microprocessado, corrente nominal de saída 15.7A, faixa de frequencia 50/60 Hz, eficiencia maxima de 98,2por cento, gabinetes com grau de protecAo IP65, projetados para suportar operacAo em temperaturas na faixa de -30 a 60 graus Celsius. MPPT dupla. </v>
          </cell>
        </row>
        <row r="1797">
          <cell r="B1797" t="str">
            <v>60030003200106-1</v>
          </cell>
          <cell r="D1797">
            <v>95256</v>
          </cell>
          <cell r="E1797">
            <v>39269090</v>
          </cell>
          <cell r="F1797" t="str">
            <v>Not applicable</v>
          </cell>
          <cell r="G1797">
            <v>39269090</v>
          </cell>
          <cell r="H1797" t="str">
            <v>Suporte para montagem de compressor de ar, de plastico (material de policarbonato)</v>
          </cell>
        </row>
        <row r="1798">
          <cell r="B1798" t="str">
            <v>GADGET-RF.R120</v>
          </cell>
          <cell r="D1798">
            <v>20600103</v>
          </cell>
          <cell r="E1798">
            <v>85176272</v>
          </cell>
          <cell r="F1798">
            <v>85176272</v>
          </cell>
          <cell r="G1798">
            <v>85176279</v>
          </cell>
          <cell r="H1798" t="str">
            <v>Modulos de comunicacAo de dados sem fio (recepcAo, conversAo e transmissAo), digitais, emissores de radio frequencia com receptor incorporado, capazes de operar na faixa ISM de frequencias 902 a 928 MHz,com suporte à tecnologia "LoRa" e taxa de transmissAo de ate 22 kbps</v>
          </cell>
        </row>
        <row r="1799">
          <cell r="B1799" t="str">
            <v>HSD100.R310</v>
          </cell>
          <cell r="E1799">
            <v>85176272</v>
          </cell>
          <cell r="F1799">
            <v>85176272</v>
          </cell>
          <cell r="H1799" t="str">
            <v>Modulos de comunicacAo de dados sem fio (recepcAo, conversAo e transmissAo), digitais, emissores de radio frequencia com receptor incorporado, capazes de operar na faixa ISM de frequencias 902 a 928 MHz,com suporte à tecnologia "LoRa" e taxa de transmissAo de ate 22 kbps</v>
          </cell>
        </row>
        <row r="1800">
          <cell r="B1800">
            <v>4020403810</v>
          </cell>
          <cell r="D1800">
            <v>95440</v>
          </cell>
          <cell r="E1800">
            <v>84799090</v>
          </cell>
          <cell r="F1800" t="str">
            <v>Not applicable</v>
          </cell>
          <cell r="G1800">
            <v>84799090</v>
          </cell>
          <cell r="H1800" t="str">
            <v>Filtro EP07-901542, parte para uso em maquina de insercAo de componentes eletronicos (ref.4020403810)</v>
          </cell>
        </row>
        <row r="1801">
          <cell r="B1801">
            <v>4020403890</v>
          </cell>
          <cell r="D1801">
            <v>84711</v>
          </cell>
          <cell r="E1801">
            <v>84799090</v>
          </cell>
          <cell r="F1801" t="str">
            <v>Not applicable</v>
          </cell>
          <cell r="G1801">
            <v>84799090</v>
          </cell>
          <cell r="H1801" t="str">
            <v>Placa de montagem, parte para uso em maquina de insercAo automatica de componentes eletronicos SM481 por montagem em superfície SMD - SM481 Samsung part number AM03-000696A (ref:4020403890)</v>
          </cell>
        </row>
        <row r="1802">
          <cell r="B1802">
            <v>4020405140</v>
          </cell>
          <cell r="D1802">
            <v>95441</v>
          </cell>
          <cell r="E1802">
            <v>84799090</v>
          </cell>
          <cell r="F1802" t="str">
            <v>Not applicable</v>
          </cell>
          <cell r="G1802">
            <v>84799090</v>
          </cell>
          <cell r="H1802" t="str">
            <v>Cabo AM03-010263B, parte para uso em maquina de insercAo automatica de componentes eletronicos por montagem em superfície SMD (ref.4020405140)</v>
          </cell>
        </row>
        <row r="1803">
          <cell r="B1803">
            <v>4020405570</v>
          </cell>
          <cell r="D1803">
            <v>91685</v>
          </cell>
          <cell r="E1803">
            <v>84799090</v>
          </cell>
          <cell r="F1803" t="str">
            <v>Not applicable</v>
          </cell>
          <cell r="G1803">
            <v>84799090</v>
          </cell>
          <cell r="H1803" t="str">
            <v>Controlador J0140109-005 AM03-005366A, parte para uso em maquina de insercAo automatica de componentes eletronicos por montagem em superfície SMD (ref.4020405570)</v>
          </cell>
        </row>
        <row r="1804">
          <cell r="B1804">
            <v>4020407510</v>
          </cell>
          <cell r="D1804">
            <v>95442</v>
          </cell>
          <cell r="E1804">
            <v>84799090</v>
          </cell>
          <cell r="F1804" t="str">
            <v>Not applicable</v>
          </cell>
          <cell r="G1804">
            <v>84799090</v>
          </cell>
          <cell r="H1804" t="str">
            <v>Polia J71551848A, parte para uso em maquina de insercAo de componentes eletronicos (ref.4020407510)</v>
          </cell>
        </row>
        <row r="1805">
          <cell r="B1805">
            <v>4020407520</v>
          </cell>
          <cell r="D1805">
            <v>95443</v>
          </cell>
          <cell r="E1805">
            <v>84799090</v>
          </cell>
          <cell r="F1805" t="str">
            <v>Not applicable</v>
          </cell>
          <cell r="G1805">
            <v>84799090</v>
          </cell>
          <cell r="H1805" t="str">
            <v>Rolamento de esferas MC03-900033, parte para uso em maquina de insercAo de componentes eletronicos  (ref.4020407520)</v>
          </cell>
        </row>
        <row r="1806">
          <cell r="B1806">
            <v>4020407730</v>
          </cell>
          <cell r="D1806">
            <v>91855</v>
          </cell>
          <cell r="E1806">
            <v>84799090</v>
          </cell>
          <cell r="F1806" t="str">
            <v>Not applicable</v>
          </cell>
          <cell r="G1806">
            <v>84799090</v>
          </cell>
          <cell r="H1806" t="str">
            <v>Espelho de vidro nAo emoldurado, parte para uso em maquina montadora de componentes eletronicos (ref. 4020407730)</v>
          </cell>
        </row>
        <row r="1807">
          <cell r="B1807">
            <v>4020408550</v>
          </cell>
          <cell r="D1807">
            <v>92501</v>
          </cell>
          <cell r="E1807">
            <v>84799090</v>
          </cell>
          <cell r="F1807" t="str">
            <v>Not applicable</v>
          </cell>
          <cell r="G1807">
            <v>84799090</v>
          </cell>
          <cell r="H1807" t="str">
            <v>Placa de luz AM03-005100B, parte para uso em maquina de insercAo de componentes eletronicos (ref.4020408550)</v>
          </cell>
        </row>
        <row r="1808">
          <cell r="B1808">
            <v>4020408610</v>
          </cell>
          <cell r="D1808">
            <v>95444</v>
          </cell>
          <cell r="E1808">
            <v>84799090</v>
          </cell>
          <cell r="F1808" t="str">
            <v>Not applicable</v>
          </cell>
          <cell r="G1808">
            <v>84799090</v>
          </cell>
          <cell r="H1808" t="str">
            <v>Aplicador de graxa especial Pick and Place, parte para uso em maquina de insercAo de componentes eletronicos (ref.4020408610)</v>
          </cell>
        </row>
        <row r="1809">
          <cell r="B1809">
            <v>4020408630</v>
          </cell>
          <cell r="D1809">
            <v>95439</v>
          </cell>
          <cell r="E1809">
            <v>84799090</v>
          </cell>
          <cell r="F1809" t="str">
            <v>Not applicable</v>
          </cell>
          <cell r="G1809">
            <v>84799090</v>
          </cell>
          <cell r="H1809" t="str">
            <v>Cabo AM03-005553B, parte para uso em maquina de insercAo de componentes eletronicos (ref.4020408630)</v>
          </cell>
        </row>
        <row r="1810">
          <cell r="B1810">
            <v>4020408750</v>
          </cell>
          <cell r="D1810">
            <v>95438</v>
          </cell>
          <cell r="E1810">
            <v>84799090</v>
          </cell>
          <cell r="F1810" t="str">
            <v>Not applicable</v>
          </cell>
          <cell r="G1810">
            <v>84799090</v>
          </cell>
          <cell r="H1810" t="str">
            <v>Fonte de energia EPO6-000384, parte para uso em maquina de insercAo de componentes eletronicos (ref.4020408750)</v>
          </cell>
        </row>
        <row r="1811">
          <cell r="B1811">
            <v>4020408760</v>
          </cell>
          <cell r="D1811">
            <v>95437</v>
          </cell>
          <cell r="E1811">
            <v>84799090</v>
          </cell>
          <cell r="F1811" t="str">
            <v>Not applicable</v>
          </cell>
          <cell r="G1811">
            <v>84799090</v>
          </cell>
          <cell r="H1811" t="str">
            <v>Polia MC11-000434A, parte para uso em maquina de insercAo de componentes eletronicos (ref.4020408760)</v>
          </cell>
        </row>
        <row r="1812">
          <cell r="B1812">
            <v>4039805650</v>
          </cell>
          <cell r="D1812">
            <v>93624</v>
          </cell>
          <cell r="E1812">
            <v>90318099</v>
          </cell>
          <cell r="F1812" t="str">
            <v>Not applicable</v>
          </cell>
          <cell r="G1812">
            <v>90318099</v>
          </cell>
          <cell r="H1812" t="str">
            <v>Dispositivo de teste de inicializacAo 1P2W para medidores eletricos (ref. 4039805650)</v>
          </cell>
        </row>
        <row r="1813">
          <cell r="B1813">
            <v>4010200090</v>
          </cell>
          <cell r="D1813">
            <v>95429</v>
          </cell>
          <cell r="E1813">
            <v>82032090</v>
          </cell>
          <cell r="F1813" t="str">
            <v>Not applicable</v>
          </cell>
          <cell r="G1813">
            <v>82032090</v>
          </cell>
          <cell r="H1813" t="str">
            <v>Alicate de vedacAo, manual, nAo cortante (ref.4010200090)</v>
          </cell>
        </row>
        <row r="1814">
          <cell r="B1814">
            <v>4020803760</v>
          </cell>
          <cell r="D1814">
            <v>93627</v>
          </cell>
          <cell r="E1814">
            <v>84829910</v>
          </cell>
          <cell r="F1814" t="str">
            <v>Not applicable</v>
          </cell>
          <cell r="G1814">
            <v>84829910</v>
          </cell>
          <cell r="H1814" t="str">
            <v>Selo de vedacAo de aco, parte para uso em rolamentos de esferas/roletes/agulhas (ref.4020803760)</v>
          </cell>
        </row>
        <row r="1815">
          <cell r="B1815">
            <v>4039890370</v>
          </cell>
          <cell r="D1815">
            <v>93628</v>
          </cell>
          <cell r="E1815">
            <v>85177900</v>
          </cell>
          <cell r="F1815" t="str">
            <v>Not applicable</v>
          </cell>
          <cell r="G1815">
            <v>85177900</v>
          </cell>
          <cell r="H1815" t="str">
            <v>Cabo de comunicacAo por infravermelho, parte para montagem de equipamento de comunicacAo de dados (ref.4039890370)</v>
          </cell>
        </row>
        <row r="1816">
          <cell r="B1816">
            <v>4039890520</v>
          </cell>
          <cell r="D1816">
            <v>75953</v>
          </cell>
          <cell r="E1816">
            <v>85177900</v>
          </cell>
          <cell r="F1816" t="str">
            <v>Not applicable</v>
          </cell>
          <cell r="G1816">
            <v>85177900</v>
          </cell>
          <cell r="H1816" t="str">
            <v>Cabo de comunicacAo optica, parte para montagem de equipamento de comunicacAo de dados (ref.4039890520)</v>
          </cell>
        </row>
        <row r="1817">
          <cell r="B1817">
            <v>4039802530</v>
          </cell>
          <cell r="D1817">
            <v>97035</v>
          </cell>
          <cell r="E1817">
            <v>84719019</v>
          </cell>
          <cell r="F1817" t="str">
            <v>Not applicable</v>
          </cell>
          <cell r="G1817">
            <v>84719019</v>
          </cell>
          <cell r="H1817" t="str">
            <v>Ferramenta automatica para processamento de dados do dispositivo de firmware do modulo PLC G3 (ref.4039802530)</v>
          </cell>
        </row>
        <row r="1818">
          <cell r="B1818">
            <v>4020408780</v>
          </cell>
          <cell r="D1818">
            <v>95436</v>
          </cell>
          <cell r="E1818">
            <v>84141000</v>
          </cell>
          <cell r="F1818" t="str">
            <v>Not applicable</v>
          </cell>
          <cell r="G1818">
            <v>84141000</v>
          </cell>
          <cell r="H1818" t="str">
            <v>Bomba de vacuo KHA400A-301-G1 para maquina de insercAo de componentes eletronico (ref.4020408780)</v>
          </cell>
        </row>
        <row r="1819">
          <cell r="B1819">
            <v>4020402680</v>
          </cell>
          <cell r="D1819">
            <v>95435</v>
          </cell>
          <cell r="E1819">
            <v>40103900</v>
          </cell>
          <cell r="F1819" t="str">
            <v>Not applicable</v>
          </cell>
          <cell r="G1819">
            <v>40103900</v>
          </cell>
          <cell r="H1819" t="str">
            <v>Correia de transmissAo sem fim, de secAo trapezoidal, nAo estriadas MC05-900044 (ref: 4020402680)</v>
          </cell>
        </row>
        <row r="1820">
          <cell r="B1820">
            <v>4020407850</v>
          </cell>
          <cell r="D1820">
            <v>91870</v>
          </cell>
          <cell r="E1820">
            <v>40103900</v>
          </cell>
          <cell r="F1820" t="str">
            <v>Not applicable</v>
          </cell>
          <cell r="G1820">
            <v>40103900</v>
          </cell>
          <cell r="H1820" t="str">
            <v>Correia de transmissAo sem fim, de secAo trapezoidal, nAo estriadas MC05-900075 (ref: 4020407850)</v>
          </cell>
        </row>
        <row r="1821">
          <cell r="B1821">
            <v>4020408770</v>
          </cell>
          <cell r="D1821">
            <v>95430</v>
          </cell>
          <cell r="E1821">
            <v>85043229</v>
          </cell>
          <cell r="F1821" t="str">
            <v>Not applicable</v>
          </cell>
          <cell r="G1821">
            <v>85043229</v>
          </cell>
          <cell r="H1821" t="str">
            <v>Transformador eletrico, de potencia 3,5kVA, de frequencia 200Hz, trifasico, EP23-000028A, para maquina de insercAo de componentes eletronicos (ref.4020408770)</v>
          </cell>
        </row>
        <row r="1822">
          <cell r="B1822">
            <v>2150150470</v>
          </cell>
          <cell r="D1822">
            <v>20661751</v>
          </cell>
          <cell r="E1822">
            <v>85340033</v>
          </cell>
          <cell r="F1822" t="str">
            <v>Not applicable</v>
          </cell>
          <cell r="G1822">
            <v>85340033</v>
          </cell>
          <cell r="H1822" t="str">
            <v>PLACA DE CIRCUITO IMPRESSO, DE NATUREZA DO MATERIAL BASE RÍGIDO, COMPOSIcAO DA PLACA DE ISOLANTE DE RESINA EPoXIDA E TECIDO DE FIBRA DE VIDRO, ESTRUTURA DE DUPLA-FACE E INTERLIGAcAO ENTRE FACES POR FUROS METALIZADOS,  288,0mm x 164,14mm </v>
          </cell>
        </row>
        <row r="1823">
          <cell r="B1823">
            <v>2041100301</v>
          </cell>
          <cell r="D1823">
            <v>20640724</v>
          </cell>
          <cell r="E1823">
            <v>85414111</v>
          </cell>
          <cell r="F1823">
            <v>85414111</v>
          </cell>
          <cell r="G1823">
            <v>85414111</v>
          </cell>
          <cell r="H1823" t="str">
            <v>DIODO EMISSOR DE LUZ (LED) NAO MONTADO; vermelho Intensidade luminosa 18~54mcd; Corrente direta 30mA </v>
          </cell>
        </row>
        <row r="1824">
          <cell r="B1824">
            <v>2020303291</v>
          </cell>
          <cell r="D1824">
            <v>20672682</v>
          </cell>
          <cell r="E1824">
            <v>85322200</v>
          </cell>
          <cell r="F1824">
            <v>85322200</v>
          </cell>
          <cell r="G1824">
            <v>85322200</v>
          </cell>
          <cell r="H1824" t="str">
            <v>Capacitor (condensador eletrico fixo) eletrolítico de alumínio para montagem PTH; CapacitAncia 10uF; TensAo nominal 50Vdc; TolerAncia 20por cento; Terminal radial; DiAmetro 5mm; Comprimento 11mm</v>
          </cell>
        </row>
        <row r="1825">
          <cell r="B1825">
            <v>2010111700</v>
          </cell>
          <cell r="D1825">
            <v>20660982</v>
          </cell>
          <cell r="E1825">
            <v>85332120</v>
          </cell>
          <cell r="F1825">
            <v>85332120</v>
          </cell>
          <cell r="G1825">
            <v>85332120</v>
          </cell>
          <cell r="H1825" t="str">
            <v>Resistor proprio para montagem SMD; Resistencia 1M ohms; encapsulamento 1206; TolerAncia 1por cento;  potencia 0,25 (1/4) W</v>
          </cell>
        </row>
        <row r="1826">
          <cell r="B1826" t="str">
            <v>702070254003-1</v>
          </cell>
          <cell r="D1826">
            <v>95572</v>
          </cell>
          <cell r="E1826">
            <v>90318099</v>
          </cell>
          <cell r="F1826" t="str">
            <v>Not applicable</v>
          </cell>
          <cell r="G1826">
            <v>90318099</v>
          </cell>
          <cell r="H1826" t="str">
            <v>Maquinas de verificacAo e calibracAo automatica de medidores de agua com capacidade para os diAmetros nominais: 15 mm, 20 mm e 25 mm. Utiliza de referencia em principio gravimetrico atraves de balanca e regulagem de vazAo atraves de medidores eletromagneticos podendo atingir ate 10 m³/h para ensaios; Funcionamento em circuito cíclico, podendo armazenar ate 1000L de agua; Equipado com sistema de estabilizacAo de pressAo, sensores de temperatura e pressAo</v>
          </cell>
        </row>
        <row r="1827">
          <cell r="B1827" t="str">
            <v>702070254003-2</v>
          </cell>
          <cell r="D1827">
            <v>95573</v>
          </cell>
          <cell r="E1827">
            <v>73101090</v>
          </cell>
          <cell r="F1827" t="str">
            <v>Not applicable</v>
          </cell>
          <cell r="G1827">
            <v>73101090</v>
          </cell>
          <cell r="H1827" t="str">
            <v>Tanque de compensacAo, de capacidade aproximada de 230 litros, de aco</v>
          </cell>
        </row>
        <row r="1828">
          <cell r="B1828" t="str">
            <v>702070254003-3</v>
          </cell>
          <cell r="D1828">
            <v>95574</v>
          </cell>
          <cell r="E1828">
            <v>84137090</v>
          </cell>
          <cell r="F1828" t="str">
            <v>Not applicable</v>
          </cell>
          <cell r="G1828">
            <v>84137090</v>
          </cell>
          <cell r="H1828" t="str">
            <v>Bomba centrífuga multiestagio vertical, para líquidos, de vazAo maxima aproximada de 2900 litros/minuto</v>
          </cell>
        </row>
        <row r="1829">
          <cell r="B1829" t="str">
            <v>702070254003-4</v>
          </cell>
          <cell r="D1829">
            <v>95575</v>
          </cell>
          <cell r="E1829">
            <v>84135090</v>
          </cell>
          <cell r="F1829" t="str">
            <v>Not applicable</v>
          </cell>
          <cell r="G1829">
            <v>84135090</v>
          </cell>
          <cell r="H1829" t="str">
            <v>Bomba volumetrica alternativa, de pistAo, de potencia 3KW, para líquidos</v>
          </cell>
        </row>
        <row r="1830">
          <cell r="B1830" t="str">
            <v>702070254003-5</v>
          </cell>
          <cell r="D1830">
            <v>95576</v>
          </cell>
          <cell r="E1830">
            <v>84198999</v>
          </cell>
          <cell r="F1830" t="str">
            <v>Not applicable</v>
          </cell>
          <cell r="G1830">
            <v>84198999</v>
          </cell>
          <cell r="H1830" t="str">
            <v>Torre de arrefecimento de agua, tipo chiller, para uso industrial</v>
          </cell>
        </row>
        <row r="1831">
          <cell r="B1831">
            <v>2040301237</v>
          </cell>
          <cell r="D1831">
            <v>20691814</v>
          </cell>
          <cell r="E1831">
            <v>85423939</v>
          </cell>
          <cell r="F1831">
            <v>85423939</v>
          </cell>
          <cell r="G1831">
            <v>85423939</v>
          </cell>
          <cell r="H1831" t="str">
            <v>Circuito integrado eletronico tipo optoacoplador, montado, proprio para montagem em superficie SMD - Unidirecional; 50,0mA; 300~450If=5mAVce=5V/200~400If=2mAVce=5V; 80,0V; 5000,0V; 5 LTV-816S-TP-D3-TX-CU</v>
          </cell>
        </row>
        <row r="1832">
          <cell r="B1832">
            <v>2020303081</v>
          </cell>
          <cell r="D1832">
            <v>20672683</v>
          </cell>
          <cell r="E1832">
            <v>85322200</v>
          </cell>
          <cell r="F1832">
            <v>85322200</v>
          </cell>
          <cell r="G1832">
            <v>85322200</v>
          </cell>
          <cell r="H1832" t="str">
            <v>Capacitor (condensador eletrico fixo) eletrolítico de alumínio para montagem PTH; CapacitAncia 47uF; TensAo nominal 25Vdc; TolerAncia 20por cento; Terminal radial; DiAmetro 2mm; Comprimento 11mm </v>
          </cell>
        </row>
        <row r="1833">
          <cell r="B1833">
            <v>2020302921</v>
          </cell>
          <cell r="D1833">
            <v>20672684</v>
          </cell>
          <cell r="E1833">
            <v>85322200</v>
          </cell>
          <cell r="F1833">
            <v>85322200</v>
          </cell>
          <cell r="G1833">
            <v>85322200</v>
          </cell>
          <cell r="H1833" t="str">
            <v>Capacitor (condensador eletrico fixo) eletrolítico de alumínio para montagem PTH; CapacitAncia 1000uF; TensAo nominal 25Vdc; TolerAncia 20por cento; Terminal radial; DiAmetro 5mm; Comprimento 16mm </v>
          </cell>
        </row>
        <row r="1834">
          <cell r="B1834">
            <v>2010102040</v>
          </cell>
          <cell r="D1834">
            <v>20660983</v>
          </cell>
          <cell r="E1834">
            <v>85332120</v>
          </cell>
          <cell r="F1834">
            <v>85332120</v>
          </cell>
          <cell r="G1834">
            <v>85332120</v>
          </cell>
          <cell r="H1834" t="str">
            <v>Resistor proprio para montagem em superfície (SMD),encapsulamento 0402, resistencia de 240 ohms, tolerAncia 1por cento,  potencia 0,0625 (1/16)W </v>
          </cell>
        </row>
        <row r="1835">
          <cell r="B1835">
            <v>2052700180</v>
          </cell>
          <cell r="D1835">
            <v>20691636</v>
          </cell>
          <cell r="E1835">
            <v>85423939</v>
          </cell>
          <cell r="F1835">
            <v>85423939</v>
          </cell>
          <cell r="G1835">
            <v>85423939</v>
          </cell>
          <cell r="H1835" t="str">
            <v>Circuito integrado eletronico tipo regulador de tensAo Low Drop-out, montado, proprio para montagem em superfície SMD - 3.3V SOT-89 100mA </v>
          </cell>
        </row>
        <row r="1836">
          <cell r="B1836">
            <v>2052900030</v>
          </cell>
          <cell r="D1836">
            <v>20691637</v>
          </cell>
          <cell r="E1836">
            <v>85423939</v>
          </cell>
          <cell r="F1836">
            <v>85423939</v>
          </cell>
          <cell r="G1836">
            <v>85423939</v>
          </cell>
          <cell r="H1836" t="str">
            <v>Circuito integrado eletronico tipo regulador de tensAo Low Drop-out montado, proprio para montagem em superfície SMD - 1.0~6.0V SOT-23-3</v>
          </cell>
        </row>
        <row r="1837">
          <cell r="B1837">
            <v>2060302410</v>
          </cell>
          <cell r="D1837">
            <v>20630114</v>
          </cell>
          <cell r="E1837">
            <v>85411021</v>
          </cell>
          <cell r="F1837">
            <v>85411021</v>
          </cell>
          <cell r="G1837">
            <v>85411021</v>
          </cell>
          <cell r="H1837" t="str">
            <v>DISPOSITIVO SEMICONDUTOR TIPO DIODO ZENER, MONTADO, PRoPRIO PARA MONTAGEM EM SUPERFÍCIE SMD DE INTENSIDADE DE CORRENTE 1A (2060302410)</v>
          </cell>
        </row>
        <row r="1838">
          <cell r="B1838">
            <v>2053500020</v>
          </cell>
          <cell r="D1838">
            <v>20691635</v>
          </cell>
          <cell r="E1838">
            <v>85423939</v>
          </cell>
          <cell r="F1838">
            <v>85423939</v>
          </cell>
          <cell r="G1838">
            <v>85423939</v>
          </cell>
          <cell r="H1838" t="str">
            <v>Circuito integrado eletronico tipo regulador de tensAo, montado, proprio para montagem em superfície SMD - 0~36V SOT23-3 </v>
          </cell>
        </row>
        <row r="1839">
          <cell r="B1839">
            <v>2054300280</v>
          </cell>
          <cell r="D1839">
            <v>20680128</v>
          </cell>
          <cell r="E1839">
            <v>85423221</v>
          </cell>
          <cell r="F1839">
            <v>85423221</v>
          </cell>
          <cell r="G1839">
            <v>85423221</v>
          </cell>
          <cell r="H1839" t="str">
            <v>Circuito integrado eletronico de memoria flash montado, proprio para montagem em superfície SMD; Capacidade de memoria 8 Mbytes (64 Mbits); encapsulamento 8pin SOP 208-mil </v>
          </cell>
        </row>
        <row r="1840">
          <cell r="B1840">
            <v>2061500010</v>
          </cell>
          <cell r="D1840">
            <v>20633763</v>
          </cell>
          <cell r="E1840">
            <v>85411022</v>
          </cell>
          <cell r="F1840">
            <v>85411022</v>
          </cell>
          <cell r="G1840">
            <v>85411022</v>
          </cell>
          <cell r="H1840" t="str">
            <v>DISPOSITIVO SEMICONDUTOR TIPO DIODO schottky montado, proprio para montagem em superfície SMD, de intensidade de corrente 0,2A (2061500010)</v>
          </cell>
        </row>
        <row r="1841">
          <cell r="B1841">
            <v>2061500020</v>
          </cell>
          <cell r="D1841">
            <v>20633764</v>
          </cell>
          <cell r="E1841">
            <v>85411022</v>
          </cell>
          <cell r="F1841">
            <v>85411022</v>
          </cell>
          <cell r="G1841">
            <v>85411022</v>
          </cell>
          <cell r="H1841" t="str">
            <v>DISPOSITIVO SEMICONDUTOR TIPO DIODO schottky montado, proprio para montagem em superfície SMD, de intensidade de corrente 0,2A (2061500020)</v>
          </cell>
        </row>
        <row r="1842">
          <cell r="B1842">
            <v>2061500050</v>
          </cell>
          <cell r="D1842">
            <v>20633765</v>
          </cell>
          <cell r="E1842">
            <v>85411022</v>
          </cell>
          <cell r="F1842">
            <v>85411022</v>
          </cell>
          <cell r="G1842">
            <v>85411022</v>
          </cell>
          <cell r="H1842" t="str">
            <v>DISPOSITIVO SEMICONDUTOR TIPO DIODO de recuperacAo rapida montado, proprio para montagem em superfície SMD, de intensidade de corrente 0,2A (2061500050)</v>
          </cell>
        </row>
        <row r="1843">
          <cell r="B1843">
            <v>2061500070</v>
          </cell>
          <cell r="D1843">
            <v>20633766</v>
          </cell>
          <cell r="E1843">
            <v>85411022</v>
          </cell>
          <cell r="F1843">
            <v>85411022</v>
          </cell>
          <cell r="G1843">
            <v>85411022</v>
          </cell>
          <cell r="H1843" t="str">
            <v>DISPOSITIVO SEMICONDUTOR TIPO DIODO de recuperacAo rapida montado, proprio para montagem em superfície SMD, de intensidade de corrente 0,2A (2061500070)</v>
          </cell>
        </row>
        <row r="1844">
          <cell r="B1844">
            <v>2061500130</v>
          </cell>
          <cell r="D1844">
            <v>20633767</v>
          </cell>
          <cell r="E1844">
            <v>85411022</v>
          </cell>
          <cell r="F1844">
            <v>85411022</v>
          </cell>
          <cell r="G1844">
            <v>85411022</v>
          </cell>
          <cell r="H1844" t="str">
            <v>DISPOSITIVO SEMICONDUTOR TIPO DIODO de recuperacAo rapida montado, proprio para montagem em superfície SMD, de intensidade de corrente 2A (2061500130)</v>
          </cell>
        </row>
        <row r="1845">
          <cell r="B1845">
            <v>2061500140</v>
          </cell>
          <cell r="D1845">
            <v>20633768</v>
          </cell>
          <cell r="E1845">
            <v>85411022</v>
          </cell>
          <cell r="F1845">
            <v>85411022</v>
          </cell>
          <cell r="G1845">
            <v>85411022</v>
          </cell>
          <cell r="H1845" t="str">
            <v>DISPOSITIVO SEMICONDUTOR TIPO DIODO de recuperacAo rapida montado, proprio para montagem em superfície SMD, de intensidade de corrente 3A</v>
          </cell>
        </row>
        <row r="1846">
          <cell r="B1846">
            <v>2061500150</v>
          </cell>
          <cell r="D1846">
            <v>20633769</v>
          </cell>
          <cell r="E1846">
            <v>85411022</v>
          </cell>
          <cell r="F1846">
            <v>85411022</v>
          </cell>
          <cell r="G1846">
            <v>85411022</v>
          </cell>
          <cell r="H1846" t="str">
            <v>DISPOSITIVO SEMICONDUTOR TIPO DIODO de recuperacAo rapida montado, proprio para montagem em superfície SMD, de intendisade de corrente 1A</v>
          </cell>
        </row>
        <row r="1847">
          <cell r="B1847">
            <v>2052700020</v>
          </cell>
          <cell r="D1847">
            <v>20690392</v>
          </cell>
          <cell r="E1847">
            <v>85423939</v>
          </cell>
          <cell r="F1847">
            <v>85423939</v>
          </cell>
          <cell r="G1847">
            <v>85423939</v>
          </cell>
          <cell r="H1847" t="str">
            <v>Circuito integrado eletronico tipo regulador de tensAo Low Drop-out, montado, proprio para montagem em superfície SMD - 2,7V~36V - SOT89 - 150mA</v>
          </cell>
        </row>
        <row r="1848">
          <cell r="B1848">
            <v>2010103970</v>
          </cell>
          <cell r="D1848">
            <v>20660985</v>
          </cell>
          <cell r="E1848">
            <v>85332120</v>
          </cell>
          <cell r="F1848">
            <v>85332120</v>
          </cell>
          <cell r="G1848">
            <v>85332120</v>
          </cell>
          <cell r="H1848" t="str">
            <v>Resistor proprio para montagem em superfície (SMD), encapsulamento 0805, resistencia de 2M ohms, tolerAncia 1por cento, potencia 0,125 (1/8)W</v>
          </cell>
        </row>
        <row r="1849">
          <cell r="B1849">
            <v>2010106030</v>
          </cell>
          <cell r="D1849">
            <v>20660986</v>
          </cell>
          <cell r="E1849">
            <v>85332120</v>
          </cell>
          <cell r="F1849">
            <v>85332120</v>
          </cell>
          <cell r="G1849">
            <v>85332120</v>
          </cell>
          <cell r="H1849" t="str">
            <v>Resistor proprio para montagem em superfície (SMD), encapsulamento 0402, resistencia de 2.2k ohms, tolerAncia 1por cento, potencia 0,0625 (1/16)W</v>
          </cell>
        </row>
        <row r="1850">
          <cell r="B1850">
            <v>2010111340</v>
          </cell>
          <cell r="D1850">
            <v>20660987</v>
          </cell>
          <cell r="E1850">
            <v>85332120</v>
          </cell>
          <cell r="F1850">
            <v>85332120</v>
          </cell>
          <cell r="G1850">
            <v>85332120</v>
          </cell>
          <cell r="H1850" t="str">
            <v>Resistor proprio para montagem em superfície (SMD), encapsulamento 0805, resistencia 33 ohms,  tolerAncia 1por cento,  potencia 0,125 (1/8) W</v>
          </cell>
        </row>
        <row r="1851">
          <cell r="B1851">
            <v>2011500030</v>
          </cell>
          <cell r="D1851">
            <v>20660988</v>
          </cell>
          <cell r="E1851">
            <v>85332120</v>
          </cell>
          <cell r="F1851">
            <v>85332120</v>
          </cell>
          <cell r="G1851">
            <v>85332120</v>
          </cell>
          <cell r="H1851" t="str">
            <v>Resistor proprio para montagem em superfície (SMD), encapsulamento melf 0204, resistencia 3 ohms,  tolerAncia 1por cento,  potencia 0,4 (2/5) W</v>
          </cell>
        </row>
        <row r="1852">
          <cell r="B1852">
            <v>2011101963</v>
          </cell>
          <cell r="D1852">
            <v>20680114</v>
          </cell>
          <cell r="E1852">
            <v>85334012</v>
          </cell>
          <cell r="F1852">
            <v>85334012</v>
          </cell>
          <cell r="G1852">
            <v>85334012</v>
          </cell>
          <cell r="H1852" t="str">
            <v>VARISTOR (RESISTeNCIA ELeTRICA VARIaVEL NAO LINEAR SEMICONDUTORA) DE TENSAO 820V 10por cento 510VAC 10000A 18.0*8.4/9.7mm</v>
          </cell>
        </row>
        <row r="1853">
          <cell r="B1853">
            <v>2020101690</v>
          </cell>
          <cell r="D1853">
            <v>20672573</v>
          </cell>
          <cell r="E1853">
            <v>85322410</v>
          </cell>
          <cell r="F1853" t="str">
            <v>Not applicable</v>
          </cell>
          <cell r="G1853">
            <v>85322410</v>
          </cell>
          <cell r="H1853" t="str">
            <v>CAPACITOR (CONDENSADOR ELeTRICO FIXO) COM DIELeTRICO DE CERAMICA, DE CAMADAS MuLTIPLAS, PRoPRIO PARA MONTAGEM EM SUPERFÍCIE SMD; CapacitAncia 220nF; TensAo nominal 10.0Vdc; TolerAncia 10por cento; Encapsulamento 0402</v>
          </cell>
        </row>
        <row r="1854">
          <cell r="B1854">
            <v>2052500340</v>
          </cell>
          <cell r="D1854">
            <v>20691634</v>
          </cell>
          <cell r="E1854">
            <v>85423939</v>
          </cell>
          <cell r="F1854">
            <v>85423939</v>
          </cell>
          <cell r="G1854">
            <v>85423939</v>
          </cell>
          <cell r="H1854" t="str">
            <v>Circuito integrado eletronico tipo regulador de tensAo DCDC, montado, proprio para montagem em superfície SMD - 4,7V~40V SOT-23-6 0.6A</v>
          </cell>
        </row>
        <row r="1855">
          <cell r="B1855">
            <v>2030302030</v>
          </cell>
          <cell r="D1855">
            <v>20650131</v>
          </cell>
          <cell r="E1855">
            <v>85045010</v>
          </cell>
          <cell r="F1855" t="str">
            <v>Need to update benefit</v>
          </cell>
          <cell r="G1855">
            <v>85045010</v>
          </cell>
          <cell r="H1855" t="str">
            <v>Bobina de auto-inducAo (Indutor fixo) de 2.2 mH, para montagem por insercAo (PTH), tolerAncia de 10por cento, 6 Ohms de resistencia DC, RAD-3mm/7.5 mm de diAmetro e 11 mm de altura.</v>
          </cell>
        </row>
        <row r="1856">
          <cell r="B1856">
            <v>2061500160</v>
          </cell>
          <cell r="D1856">
            <v>20633770</v>
          </cell>
          <cell r="E1856">
            <v>85411022</v>
          </cell>
          <cell r="F1856">
            <v>85411022</v>
          </cell>
          <cell r="G1856">
            <v>85411022</v>
          </cell>
          <cell r="H1856" t="str">
            <v>DISPOSITIVO SEMICONDUTOR TIPO DIODO de recuperacAo rapida montado, proprio para montagem em superfície SMD, de intensidade de corrente 2A (2061500160)</v>
          </cell>
        </row>
        <row r="1857">
          <cell r="B1857">
            <v>2010103960</v>
          </cell>
          <cell r="D1857">
            <v>20624444</v>
          </cell>
          <cell r="E1857">
            <v>85332120</v>
          </cell>
          <cell r="F1857">
            <v>85332120</v>
          </cell>
          <cell r="G1857">
            <v>85332120</v>
          </cell>
          <cell r="H1857" t="str">
            <v>Resistor proprio para montagem em superfície (SMD), encapsulamento 0805, resistencia de 2 ohms, tolerAncia 1por cento, potencia 0,125 (1/8)W</v>
          </cell>
        </row>
        <row r="1858">
          <cell r="B1858">
            <v>2052700170</v>
          </cell>
          <cell r="D1858">
            <v>20690393</v>
          </cell>
          <cell r="E1858">
            <v>85423939</v>
          </cell>
          <cell r="F1858">
            <v>85423939</v>
          </cell>
          <cell r="G1858">
            <v>85423939</v>
          </cell>
          <cell r="H1858" t="str">
            <v>Circuito integrado eletronico do tipo regulador de tensAo Low Drop-out, montado, proprio para montagem em superfície SMD - 2,7V~36V - SOT89 - 150mA</v>
          </cell>
        </row>
        <row r="1859">
          <cell r="B1859">
            <v>4030400530</v>
          </cell>
          <cell r="D1859">
            <v>95521</v>
          </cell>
          <cell r="E1859">
            <v>84719019</v>
          </cell>
          <cell r="F1859" t="str">
            <v>Not applicable</v>
          </cell>
          <cell r="G1859">
            <v>84719019</v>
          </cell>
          <cell r="H1859" t="str">
            <v>Gravadora automatica de dados de Firmware FPQ-48-0.5-06 FPQ-48 (ref.4030400530)</v>
          </cell>
        </row>
        <row r="1860">
          <cell r="B1860">
            <v>4070402130</v>
          </cell>
          <cell r="D1860">
            <v>82885</v>
          </cell>
          <cell r="E1860">
            <v>84733049</v>
          </cell>
          <cell r="F1860" t="str">
            <v>Not applicable</v>
          </cell>
          <cell r="G1860">
            <v>84733049</v>
          </cell>
          <cell r="H1860" t="str">
            <v>Placa de circuito impresso com componentes eletronicos, montada, para comunicacAo de dados serial MOXA-8 (CP-168EL-A), acessorio para uso em maquinas automaticas para processamentos de dados (4070402130)</v>
          </cell>
        </row>
        <row r="1861">
          <cell r="B1861" t="str">
            <v>GT1-5KD1</v>
          </cell>
          <cell r="D1861">
            <v>98194</v>
          </cell>
          <cell r="E1861">
            <v>85044090</v>
          </cell>
          <cell r="F1861" t="str">
            <v>Not applicable</v>
          </cell>
          <cell r="G1861">
            <v>85044090</v>
          </cell>
          <cell r="H1861" t="str">
            <v>Inversores para sistemas fotovoltaicos "on-grid" do tipo string, para redes monofasicas, com potencia nominal de saída de 5.000W a 40 graus Celsius, com potencia maxima de saída de 5.000W a 40 graus Celsius e tensAo nominal de saída de 220/230/240 Vca, de marca XXXX, modelo YYYY, ano de fabricacAo ZZZZ e numeros de serie de AAAA a BBBB - para conversAo de energia corrente contínua em energia corrente alternada, de tecnologia de controle microprocessado, corrente nominal de saída 21.7A, faixa de frequencia 50/60 Hz, eficiencia maxima de 98,4por cento, gabinetes com grau de protecAo IP65, projetados para suportar operacAo em temperaturas na faixa de -30 a 60 graus Celsius. MPPT dupla.</v>
          </cell>
        </row>
        <row r="1862">
          <cell r="B1862" t="str">
            <v>HXAP1000R21107</v>
          </cell>
          <cell r="D1862">
            <v>20694421</v>
          </cell>
          <cell r="E1862">
            <v>85176241</v>
          </cell>
          <cell r="F1862">
            <v>85176241</v>
          </cell>
          <cell r="G1862">
            <v>85176241</v>
          </cell>
          <cell r="H1862"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1863">
          <cell r="B1863" t="str">
            <v>MJN53R31201-CPL.V2</v>
          </cell>
          <cell r="D1863">
            <v>20601200</v>
          </cell>
          <cell r="E1863">
            <v>85176272</v>
          </cell>
          <cell r="F1863">
            <v>85176272</v>
          </cell>
          <cell r="G1863">
            <v>85176272</v>
          </cell>
          <cell r="H1863"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8VDC e modelo MJN53.R31201.</v>
          </cell>
        </row>
        <row r="1864">
          <cell r="B1864" t="str">
            <v>MJN53R31202-CPL.V2</v>
          </cell>
          <cell r="D1864">
            <v>20601201</v>
          </cell>
          <cell r="E1864">
            <v>85176272</v>
          </cell>
          <cell r="F1864">
            <v>85176272</v>
          </cell>
          <cell r="G1864">
            <v>85176272</v>
          </cell>
          <cell r="H1864"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8VDC e modelo MJN53.R31202.</v>
          </cell>
        </row>
        <row r="1865">
          <cell r="B1865" t="str">
            <v>MJN72R12001-CPL.V2</v>
          </cell>
          <cell r="D1865">
            <v>20601202</v>
          </cell>
          <cell r="E1865">
            <v>85176272</v>
          </cell>
          <cell r="F1865">
            <v>85176272</v>
          </cell>
          <cell r="G1865">
            <v>85176272</v>
          </cell>
          <cell r="H1865"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 e modelo MJN72.R12001.</v>
          </cell>
        </row>
        <row r="1866">
          <cell r="B1866" t="str">
            <v>MJN72R12002-CPL.V2</v>
          </cell>
          <cell r="D1866">
            <v>20601203</v>
          </cell>
          <cell r="E1866">
            <v>85176272</v>
          </cell>
          <cell r="F1866">
            <v>85176272</v>
          </cell>
          <cell r="G1866">
            <v>85176272</v>
          </cell>
          <cell r="H1866"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 e modelo MJN72.R12002, Ano de fabricacAo XXXX, numero de serie YYYY a ZZZZ.</v>
          </cell>
        </row>
        <row r="1867">
          <cell r="B1867">
            <v>2010102540</v>
          </cell>
          <cell r="D1867">
            <v>20660984</v>
          </cell>
          <cell r="E1867">
            <v>85332120</v>
          </cell>
          <cell r="F1867">
            <v>85332120</v>
          </cell>
          <cell r="G1867">
            <v>85332120</v>
          </cell>
          <cell r="H1867" t="str">
            <v>Resistor proprio para montagem em superfície (SMD),encapsulamento 0603, resistencia de 100 ohms, tolerAncia 1por cento, potencia 0,1 (1/10)W</v>
          </cell>
        </row>
        <row r="1868">
          <cell r="B1868">
            <v>2130101421</v>
          </cell>
          <cell r="D1868">
            <v>20601300</v>
          </cell>
          <cell r="E1868">
            <v>85414111</v>
          </cell>
          <cell r="F1868">
            <v>85414111</v>
          </cell>
          <cell r="G1868">
            <v>85414111</v>
          </cell>
          <cell r="H1868" t="str">
            <v>Diodo emissor de luz (LED) nAo montado para funcAo backlight; GBLP10W3-S8838-18.2; 3V; white; 86.1 * 38.6 * 19.2mm ;19.1mm</v>
          </cell>
        </row>
        <row r="1869">
          <cell r="B1869" t="str">
            <v>HXWSG100R21003-CPL.V2</v>
          </cell>
          <cell r="D1869">
            <v>20694422</v>
          </cell>
          <cell r="E1869">
            <v>85176272</v>
          </cell>
          <cell r="F1869">
            <v>85176272</v>
          </cell>
          <cell r="G1869">
            <v>85176272</v>
          </cell>
          <cell r="H1869" t="str">
            <v>Repetidores de sinal de radio frequencia,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80 ~ 300 VAC - de marca XXXX, modelo YYYY, ano de fabricacAo ZZZZ e numeros de serie de AAAA a BBBB.</v>
          </cell>
        </row>
        <row r="1870">
          <cell r="B1870">
            <v>4030401150</v>
          </cell>
          <cell r="D1870">
            <v>71540</v>
          </cell>
          <cell r="E1870">
            <v>85369090</v>
          </cell>
          <cell r="F1870" t="str">
            <v>Not applicable</v>
          </cell>
          <cell r="G1870">
            <v>85369090</v>
          </cell>
          <cell r="H1870" t="str">
            <v>Soquete de tensAo 120V a 240V PARA CONEXAO DE CIRCUITO ELeTRICO, para programacAo de firmware em medidores de energia eletrica (ref.4030401150)</v>
          </cell>
        </row>
        <row r="1871">
          <cell r="B1871">
            <v>4030300080</v>
          </cell>
          <cell r="D1871">
            <v>88335</v>
          </cell>
          <cell r="E1871">
            <v>85369090</v>
          </cell>
          <cell r="F1871" t="str">
            <v>Not applicable</v>
          </cell>
          <cell r="G1871">
            <v>85369090</v>
          </cell>
          <cell r="H1871" t="str">
            <v>Agulha de Contato Eletrico, PARA CONEXAO DE CIRCUITO ELeTRICO, tensAo de 120V a 240V, Ponta Fina Ф1.7-R100-5W*P100-E2 (ref.4030300080)</v>
          </cell>
        </row>
        <row r="1872">
          <cell r="B1872">
            <v>4030300090</v>
          </cell>
          <cell r="D1872">
            <v>88333</v>
          </cell>
          <cell r="E1872">
            <v>85369090</v>
          </cell>
          <cell r="F1872" t="str">
            <v>Not applicable</v>
          </cell>
          <cell r="G1872">
            <v>85369090</v>
          </cell>
          <cell r="H1872" t="str">
            <v>Agulha de Contato Eletrico, PARA CONEXAO DE CIRCUITO ELeTRICO, tensAo de 120V a 240V, Tipo Coroa P100-Q2*R100-5W (ref. 4030300090)</v>
          </cell>
        </row>
        <row r="1873">
          <cell r="B1873">
            <v>4030300100</v>
          </cell>
          <cell r="D1873">
            <v>88334</v>
          </cell>
          <cell r="E1873">
            <v>85369090</v>
          </cell>
          <cell r="F1873" t="str">
            <v>Not applicable</v>
          </cell>
          <cell r="G1873">
            <v>85369090</v>
          </cell>
          <cell r="H1873" t="str">
            <v>Agulha de Contato Eletrico, PARA CONEXAO DE CIRCUITO ELeTRICO, tensAo de 120V a 240V, Tipo Conica Ф1.7-R100-5W*P100-E2 (ref.4030300100)</v>
          </cell>
        </row>
        <row r="1874">
          <cell r="B1874">
            <v>4030300040</v>
          </cell>
          <cell r="D1874">
            <v>76238</v>
          </cell>
          <cell r="E1874">
            <v>85369090</v>
          </cell>
          <cell r="F1874" t="str">
            <v>Not applicable</v>
          </cell>
          <cell r="G1874">
            <v>85369090</v>
          </cell>
          <cell r="H1874" t="str">
            <v>Agulha de Contato Eletrico, PARA CONEXAO DE CIRCUITO ELeTRICO, tensAo de 120V a 240V, 78mm；Φ2.7mm；Φ4.0mm (ref.4030300040)</v>
          </cell>
        </row>
        <row r="1875">
          <cell r="B1875">
            <v>4030300150</v>
          </cell>
          <cell r="D1875">
            <v>76239</v>
          </cell>
          <cell r="E1875">
            <v>85369090</v>
          </cell>
          <cell r="F1875" t="str">
            <v>Not applicable</v>
          </cell>
          <cell r="G1875">
            <v>85369090</v>
          </cell>
          <cell r="H1875" t="str">
            <v>Agulha de Contato Eletrico, PARA CONEXAO DE CIRCUITO ELeTRICO, tensAo de 120V a 240V, 52mm；Φ2.7mm；Φ4.0mm (ref.4030300150)</v>
          </cell>
        </row>
        <row r="1876">
          <cell r="B1876">
            <v>4020400440</v>
          </cell>
          <cell r="D1876">
            <v>85369</v>
          </cell>
          <cell r="E1876">
            <v>84799090</v>
          </cell>
          <cell r="F1876" t="str">
            <v>Not applicable</v>
          </cell>
          <cell r="G1876">
            <v>84799090</v>
          </cell>
          <cell r="H1876" t="str">
            <v>Elemento de filtro de succcAo modelo VYF44-M-50M J3601018A, parte de maquina para montagem de componentes eletronicos em superfícies SMD de placas de circuito impresso (ref.4020400440)</v>
          </cell>
        </row>
        <row r="1877">
          <cell r="B1877">
            <v>4020804670</v>
          </cell>
          <cell r="D1877">
            <v>93630</v>
          </cell>
          <cell r="E1877">
            <v>84679900</v>
          </cell>
          <cell r="F1877" t="str">
            <v>Not applicable</v>
          </cell>
          <cell r="G1877">
            <v>84679900</v>
          </cell>
          <cell r="H1877" t="str">
            <v>Bit parte de parafusadeira de motor eletrico, 5*150* (ref. 4020804670)</v>
          </cell>
        </row>
        <row r="1878">
          <cell r="B1878">
            <v>4010204700</v>
          </cell>
          <cell r="D1878">
            <v>75998</v>
          </cell>
          <cell r="E1878">
            <v>84672992</v>
          </cell>
          <cell r="F1878" t="str">
            <v>Not applicable</v>
          </cell>
          <cell r="G1878">
            <v>84672992</v>
          </cell>
          <cell r="H1878" t="str">
            <v>Parafusadeira com motor eletrico incorporado, de uso manual (ref. 4010204700)</v>
          </cell>
        </row>
        <row r="1879">
          <cell r="B1879">
            <v>4040400060</v>
          </cell>
          <cell r="D1879">
            <v>49983</v>
          </cell>
          <cell r="E1879">
            <v>39199090</v>
          </cell>
          <cell r="F1879" t="str">
            <v>Not applicable</v>
          </cell>
          <cell r="G1879">
            <v>39199090</v>
          </cell>
          <cell r="H1879" t="str">
            <v>Fita autoadesiva do tipo etiqueta - joint stock tape - em cortes quadrangulares, de material de polietileno (PET)</v>
          </cell>
        </row>
        <row r="1880">
          <cell r="B1880" t="str">
            <v>HXAP1000R21103</v>
          </cell>
          <cell r="D1880">
            <v>20694403</v>
          </cell>
          <cell r="E1880">
            <v>85176241</v>
          </cell>
          <cell r="F1880">
            <v>85176241</v>
          </cell>
          <cell r="G1880">
            <v>85176241</v>
          </cell>
          <cell r="H1880"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1881">
          <cell r="B1881" t="str">
            <v>GT1-2K2S1</v>
          </cell>
          <cell r="D1881">
            <v>98201</v>
          </cell>
          <cell r="E1881">
            <v>85044090</v>
          </cell>
          <cell r="F1881" t="str">
            <v>Not applicable</v>
          </cell>
          <cell r="H1881" t="str">
            <v>Inversores para sistemas fotovoltaicos, tipo string, para rede monofasica, com potencia nominal de saída de 2.200W a 40 graus celsius, com potencia maxima de saída de 2.200W a 40 graus celsius, e tensAo nominal de saída 220, 230 e/ou 230Vca, de marca XXXX, modelo YYYY, ano de fabricacAo ZZZZ e numeros de serie de AAAA a BBBB - para conversAo de energia corrente contínua em energia corrente alternada, de tecnologia de controle microprocessado,  tensAo de alimentacAo 220 a 240 Vca, corrente nominal de saída de 9.6A  "on-grid", faixa de frequencia 50/60 Hz, eficiencia maxima de 97.5por cento, gabinete com grau de protecAo IP65, projetado para suportar operacAo em temperaturas na faixa de -30 a 60 graus Celsius, unica MPPT</v>
          </cell>
        </row>
        <row r="1882">
          <cell r="B1882" t="str">
            <v>GT1-1K6S1</v>
          </cell>
          <cell r="D1882">
            <v>98193</v>
          </cell>
          <cell r="E1882">
            <v>85044090</v>
          </cell>
          <cell r="F1882" t="str">
            <v>Not applicable</v>
          </cell>
          <cell r="H1882" t="str">
            <v>Inversores para sistemas fotovoltaicos, tipo string, para rede monofasica, com potencia nominal de saída de 1.600W a 40 graus celsius, com potencia maxima de saída de 1.600W a 40 graus celsius, e tensAo nominal de saída 220, 230 e/ou 240Vca, de marca XXXX, modelo YYYY, ano de fabricacAo ZZZZ e numeros de serie de AAAA a BBBB - para conversAo de energia corrente contínua em energia corrente alternada, de tecnologia de controle microprocessado,  corrente nominal de saída de 7.0A  "on-grid", faixa de frequencia 50/60 Hz, eficiencia maxima de 97.5por cento, gabinete com grau de protecAo IP65, projetado para suportar operacAo em temperaturas na faixa de -30 a 60 graus Celsius, unica MPPT</v>
          </cell>
        </row>
        <row r="1883">
          <cell r="B1883" t="str">
            <v>GF1-3K48L1R11003</v>
          </cell>
          <cell r="D1883">
            <v>95927</v>
          </cell>
          <cell r="E1883">
            <v>85044090</v>
          </cell>
          <cell r="F1883" t="str">
            <v>Not applicable</v>
          </cell>
          <cell r="H1883" t="str">
            <v>Inversores para sistemas fotovoltaicos "off-grid", tipo "string", para rede monofasica, com potencia nominal de saída de 3.000W a 40 graus Celsius, com potencia maxima de saída de 3.000W a 40 graus Celsius e tensAo nominal de saída de 120Vca, de marca XXXX, modelo YYYY, ano de fabricacAo ZZZZ e numeros de serie de AAAA a BBBB - para conversAo de energia corrente contínua em energia corrente alternada, de tecnologia de controle microprocessado, tensAo de alimentacAo 120 Vca, corrente nominal de saída de 14A, faixa de frequencia 50/60 Hz, eficiencia maxima de 94por cento, gabinete com grau de protecAo IP21, projetado para suportar operacAo em temperaturas na faixa de -10 a 55 graus Celsius, uma MPPT</v>
          </cell>
        </row>
        <row r="1884">
          <cell r="B1884" t="str">
            <v>GF1-5K48S1R11003</v>
          </cell>
          <cell r="D1884">
            <v>95926</v>
          </cell>
          <cell r="E1884">
            <v>85044090</v>
          </cell>
          <cell r="F1884" t="str">
            <v>Not applicable</v>
          </cell>
          <cell r="H1884" t="str">
            <v>Inversores para sistemas fotovoltaicos "off-grid", tipo "string", para rede monofasica, com potencia nominal de saída de 5.000W a 40 graus Celsius, com potencia maxima de saída de 5.000W a 40 graus Celsius e tensAo nominal de saída de 230Vca, de marca XXXX, modelo YYYY, ano de fabricacAo ZZZZ e numeros de serie de AAAA a BBBB - para conversAo de energia corrente contínua em energia corrente alternada, de tecnologia de controle microprocessado, tensAo de alimentacAo 230 Vca, corrente nominal de saída de 23.9A, faixa de frequencia 50/60 Hz, eficiencia maxima de 95por cento, gabinete com grau de protecAo IP21, projetado para suportar operacAo em temperaturas na faixa de -10 a 55 graus Celsius, uma MPPT</v>
          </cell>
        </row>
        <row r="1885">
          <cell r="B1885">
            <v>2010100090</v>
          </cell>
          <cell r="D1885">
            <v>20660991</v>
          </cell>
          <cell r="E1885">
            <v>85332120</v>
          </cell>
          <cell r="F1885">
            <v>85332120</v>
          </cell>
          <cell r="G1885">
            <v>85332120</v>
          </cell>
          <cell r="H1885" t="str">
            <v>Resistor proprio para montagem em superfície (SMD),encapsulamento 0805, resistencia de 100k ohms, tolerAncia 1por cento,  potencia 0,125 (1/8)W</v>
          </cell>
        </row>
        <row r="1886">
          <cell r="B1886">
            <v>2010102100</v>
          </cell>
          <cell r="D1886">
            <v>20660992</v>
          </cell>
          <cell r="E1886">
            <v>85332120</v>
          </cell>
          <cell r="F1886">
            <v>85332120</v>
          </cell>
          <cell r="G1886">
            <v>85332120</v>
          </cell>
          <cell r="H1886" t="str">
            <v>Resistor proprio para montagem em superfície (SMD),encapsulamento 0603, resistencia de 390k ohms, tolerAncia 5por cento,  potencia 0,1 (1/10)W</v>
          </cell>
        </row>
        <row r="1887">
          <cell r="B1887">
            <v>2010102580</v>
          </cell>
          <cell r="D1887">
            <v>20660993</v>
          </cell>
          <cell r="E1887">
            <v>85332120</v>
          </cell>
          <cell r="F1887">
            <v>85332120</v>
          </cell>
          <cell r="G1887">
            <v>85332120</v>
          </cell>
          <cell r="H1887" t="str">
            <v>Resistor proprio para montagem em superfície (SMD),encapsulamento 0603, resistencia de 750 ohms, tolerAncia 1por cento, potencia 0,1 (1/10)W</v>
          </cell>
        </row>
        <row r="1888">
          <cell r="B1888">
            <v>2010103730</v>
          </cell>
          <cell r="D1888">
            <v>20660994</v>
          </cell>
          <cell r="E1888">
            <v>85332120</v>
          </cell>
          <cell r="F1888">
            <v>85332120</v>
          </cell>
          <cell r="G1888">
            <v>85332120</v>
          </cell>
          <cell r="H1888" t="str">
            <v>Resistor proprio para montagem em superfície (SMD),encapsulamento 0805, resistencia de 750 ohms, tolerAncia 1por cento, potencia 0,125 (1/8)W</v>
          </cell>
        </row>
        <row r="1889">
          <cell r="B1889">
            <v>2010110200</v>
          </cell>
          <cell r="D1889">
            <v>20660995</v>
          </cell>
          <cell r="E1889">
            <v>85332120</v>
          </cell>
          <cell r="F1889">
            <v>85332120</v>
          </cell>
          <cell r="G1889">
            <v>85332120</v>
          </cell>
          <cell r="H1889" t="str">
            <v>Resistor proprio para montagem em superfície (SMD), encapsulamento 0402, resistencia 200k ohms,  tolerAncia 5por cento,  potencia 0,0625 (1/16) W</v>
          </cell>
        </row>
        <row r="1890">
          <cell r="B1890">
            <v>2010110600</v>
          </cell>
          <cell r="D1890">
            <v>20660996</v>
          </cell>
          <cell r="E1890">
            <v>85332120</v>
          </cell>
          <cell r="F1890">
            <v>85332120</v>
          </cell>
          <cell r="G1890">
            <v>85332120</v>
          </cell>
          <cell r="H1890" t="str">
            <v>Resistor proprio para montagem em superfície (SMD), encapsulamento 0603, resistencia 2.2k ohms,  tolerAncia 5por cento,  potencia 0,1 (1/10) W</v>
          </cell>
        </row>
        <row r="1891">
          <cell r="B1891">
            <v>2010111190</v>
          </cell>
          <cell r="D1891">
            <v>20660997</v>
          </cell>
          <cell r="E1891">
            <v>85332120</v>
          </cell>
          <cell r="F1891">
            <v>85332120</v>
          </cell>
          <cell r="G1891">
            <v>85332120</v>
          </cell>
          <cell r="H1891" t="str">
            <v>Resistor proprio para montagem em superfície (SMD), encapsulamento 0402, resistencia 22R ohms,  tolerAncia 5por cento,  potencia 0,0625 (1/16) W</v>
          </cell>
        </row>
        <row r="1892">
          <cell r="B1892">
            <v>2010111440</v>
          </cell>
          <cell r="D1892">
            <v>20660998</v>
          </cell>
          <cell r="E1892">
            <v>85332120</v>
          </cell>
          <cell r="F1892">
            <v>85332120</v>
          </cell>
          <cell r="G1892">
            <v>85332120</v>
          </cell>
          <cell r="H1892" t="str">
            <v>Resistor proprio para montagem em superfície (SMD), encapsulamento 0805, resistencia 300k ohms,  tolerAncia 5por cento,  potencia 0,125 (1/8) W</v>
          </cell>
        </row>
        <row r="1893">
          <cell r="B1893">
            <v>2010111570</v>
          </cell>
          <cell r="D1893">
            <v>20660999</v>
          </cell>
          <cell r="E1893">
            <v>85332120</v>
          </cell>
          <cell r="F1893">
            <v>85332120</v>
          </cell>
          <cell r="G1893">
            <v>85332120</v>
          </cell>
          <cell r="H1893" t="str">
            <v>Resistor proprio para montagem em superfície (SMD), encapsulamento 0805, resistencia 2.2 ohms,  tolerAncia 5por cento,  potencia 0,125 (1/8) W</v>
          </cell>
        </row>
        <row r="1894">
          <cell r="B1894">
            <v>2010112260</v>
          </cell>
          <cell r="D1894">
            <v>20660901</v>
          </cell>
          <cell r="E1894">
            <v>85332120</v>
          </cell>
          <cell r="F1894">
            <v>85332120</v>
          </cell>
          <cell r="G1894">
            <v>85332120</v>
          </cell>
          <cell r="H1894" t="str">
            <v>RESISTOR PROPRIO PARA MONTAGEM EM SUPERFÍCIE (SMD), ENCAPSULAMENTO 0603 RESISTENCIA 10 OHMS,  TOLERANCIA 5POR CENTO,  POTENCIA 0,1 (1/10) W</v>
          </cell>
        </row>
        <row r="1895">
          <cell r="B1895">
            <v>2011500040</v>
          </cell>
          <cell r="D1895">
            <v>20660937</v>
          </cell>
          <cell r="E1895">
            <v>85332120</v>
          </cell>
          <cell r="F1895">
            <v>85332120</v>
          </cell>
          <cell r="G1895">
            <v>85332120</v>
          </cell>
          <cell r="H1895" t="str">
            <v>Resistor proprio para montagem em superfície (SMD), encapsulamento melf 0204, resistencia 5.1 ohms,  tolerAncia 1por cento,  potencia 0,4 (2/5) W</v>
          </cell>
        </row>
        <row r="1896">
          <cell r="B1896">
            <v>2011500100</v>
          </cell>
          <cell r="D1896">
            <v>20660945</v>
          </cell>
          <cell r="E1896">
            <v>85332120</v>
          </cell>
          <cell r="F1896">
            <v>85332120</v>
          </cell>
          <cell r="G1896">
            <v>85332120</v>
          </cell>
          <cell r="H1896" t="str">
            <v>Resistor proprio para montagem em superfície (SMD), encapsulamento melf 0204, resistencia 20 ohms,  tolerAncia 1por cento,  potencia 0,4 (2/5) W</v>
          </cell>
        </row>
        <row r="1897">
          <cell r="B1897">
            <v>2020101070</v>
          </cell>
          <cell r="D1897">
            <v>20672508</v>
          </cell>
          <cell r="E1897">
            <v>85322410</v>
          </cell>
          <cell r="F1897" t="str">
            <v>Not applicable</v>
          </cell>
          <cell r="G1897">
            <v>85322410</v>
          </cell>
          <cell r="H1897" t="str">
            <v>CAPACITOR (CONDENSADOR ELeTRICO FIXO) COM DIELeTRICO DE CERAMICA, DE CAMADAS MuLTIPLAS, PRoPRIO PARA MONTAGEM EM SUPERFÍCIE SMD; CapacitAncia 1.0 nF; TensAo nominal 200Vdc; TolerAncia 10por cento; Encapsulamento 0805</v>
          </cell>
        </row>
        <row r="1898">
          <cell r="B1898">
            <v>2020105680</v>
          </cell>
          <cell r="D1898">
            <v>20672509</v>
          </cell>
          <cell r="E1898">
            <v>85322410</v>
          </cell>
          <cell r="F1898" t="str">
            <v>Not applicable</v>
          </cell>
          <cell r="G1898">
            <v>85322410</v>
          </cell>
          <cell r="H1898" t="str">
            <v>CAPACITOR (CONDENSADOR ELeTRICO FIXO) COM DIELeTRICO DE CERAMICA, DE CAMADAS MuLTIPLAS, PRoPRIO PARA MONTAGEM EM SUPERFÍCIE SMD; CapacitAncia 22pF; TensAo nominal 100Vdc; TolerAncia 5por cento; Encapsulamento 0805</v>
          </cell>
        </row>
        <row r="1899">
          <cell r="B1899">
            <v>2020300162</v>
          </cell>
          <cell r="D1899">
            <v>20672686</v>
          </cell>
          <cell r="E1899">
            <v>85322200</v>
          </cell>
          <cell r="F1899">
            <v>85322200</v>
          </cell>
          <cell r="G1899">
            <v>85322200</v>
          </cell>
          <cell r="H1899" t="str">
            <v>Capacitor (condensador eletrico fixo) eletrolítico de alumínio para montagem PTH; CapacitAncia 47uF; TensAo nominal 450Vdc; TolerAncia 20por cento; Terminal radial; DiAmetro 7.5mm; Comprimento 25mm</v>
          </cell>
        </row>
        <row r="1900">
          <cell r="B1900">
            <v>2020302731</v>
          </cell>
          <cell r="D1900">
            <v>20672687</v>
          </cell>
          <cell r="E1900">
            <v>85322200</v>
          </cell>
          <cell r="F1900">
            <v>85322200</v>
          </cell>
          <cell r="G1900">
            <v>85322200</v>
          </cell>
          <cell r="H1900" t="str">
            <v>Capacitor (condensador eletrico fixo) eletrolítico de alumínio para montagem PTH; CapacitAncia 1.0uF; TensAo nominal 50Vdc; TolerAncia 20por cento; Terminal radial; DiAmetro 2mm; Comprimento 11mm</v>
          </cell>
        </row>
        <row r="1901">
          <cell r="B1901">
            <v>2020302752</v>
          </cell>
          <cell r="D1901">
            <v>20672685</v>
          </cell>
          <cell r="E1901">
            <v>85322200</v>
          </cell>
          <cell r="F1901">
            <v>85322200</v>
          </cell>
          <cell r="G1901">
            <v>85322200</v>
          </cell>
          <cell r="H1901" t="str">
            <v>Capacitor (condensador eletrico fixo) eletrolítico de alumínio para montagem PTH; CapacitAncia 100uF; TensAo nominal 16Vdc; TolerAncia 20por cento; Terminal radial; DiAmetro 2mm; Comprimento 11mm</v>
          </cell>
        </row>
        <row r="1902">
          <cell r="B1902">
            <v>2060501481</v>
          </cell>
          <cell r="D1902">
            <v>20630812</v>
          </cell>
          <cell r="E1902">
            <v>85411021</v>
          </cell>
          <cell r="F1902">
            <v>85411021</v>
          </cell>
          <cell r="G1902">
            <v>85411021</v>
          </cell>
          <cell r="H1902" t="str">
            <v>DISPOSITIVO SEMICONDUTOR TIPO DIODO ZENER, MONTADO, PRoPRIO PARA MONTAGEM EM SUPERFÍCIE SMD DE INTENSIDADE DE CORRENTE 1A (2060501481)</v>
          </cell>
        </row>
        <row r="1903">
          <cell r="B1903">
            <v>2120304241</v>
          </cell>
          <cell r="D1903">
            <v>20661019</v>
          </cell>
          <cell r="E1903">
            <v>85241100</v>
          </cell>
          <cell r="F1903">
            <v>85241100</v>
          </cell>
          <cell r="G1903">
            <v>85241100</v>
          </cell>
          <cell r="H1903" t="str">
            <v>Modulo de visualizacAo (ecrA), de cristal líquido (LCD), sem controlador (drivers) nem circuitos de controle para medidores eletronicos de energia eletrica utilizados em processo de  montagem  por insercAo (PTH), com tensAo de operacAo 3V e dimensoes 65 x 30 mm</v>
          </cell>
        </row>
        <row r="1904">
          <cell r="B1904">
            <v>2150153150</v>
          </cell>
          <cell r="D1904">
            <v>20661752</v>
          </cell>
          <cell r="E1904">
            <v>85340033</v>
          </cell>
          <cell r="F1904" t="str">
            <v>Not applicable</v>
          </cell>
          <cell r="G1904">
            <v>85340033</v>
          </cell>
          <cell r="H1904" t="str">
            <v>PLACA DE CIRCUITO IMPRESSO, DE NATUREZA DO MATERIAL BASE RÍGIDO, COMPOSIcAO DA PLACA DE ISOLANTE DE RESINA EPoXIDA E TECIDO DE FIBRA DE VIDRO, ESTRUTURA DE DUPLA-FACE E INTERLIGAcAO ENTRE FACES POR FUROS METALIZADOS, 236,0mm x 175,64mm </v>
          </cell>
        </row>
        <row r="1905">
          <cell r="B1905">
            <v>4020604040</v>
          </cell>
          <cell r="D1905">
            <v>95522</v>
          </cell>
          <cell r="E1905">
            <v>85369090</v>
          </cell>
          <cell r="F1905" t="str">
            <v>Not applicable</v>
          </cell>
          <cell r="G1905">
            <v>85369090</v>
          </cell>
          <cell r="H1905" t="str">
            <v>Conector de cobre cromado para bancada de testes de medidores eletricos, PARA CONEXAO DE CIRCUITO ELeTRICO, para tensAo de 120V a 240V (ref. 4020604040)</v>
          </cell>
        </row>
        <row r="1906">
          <cell r="B1906">
            <v>4020109760</v>
          </cell>
          <cell r="D1906">
            <v>95523</v>
          </cell>
          <cell r="E1906">
            <v>84799090</v>
          </cell>
          <cell r="F1906" t="str">
            <v>Not applicable</v>
          </cell>
          <cell r="G1906">
            <v>84679900</v>
          </cell>
          <cell r="H1906" t="str">
            <v>Garra pneumatica CHK-ES1-08, parte de robo industrial com funcAo de braco robotico para maquinas injetoras de plasticos (ref.4020109760)</v>
          </cell>
        </row>
        <row r="1907">
          <cell r="B1907">
            <v>7020500510</v>
          </cell>
          <cell r="D1907">
            <v>95524</v>
          </cell>
          <cell r="E1907">
            <v>84719019</v>
          </cell>
          <cell r="F1907" t="str">
            <v>Not applicable</v>
          </cell>
          <cell r="G1907">
            <v>84719019</v>
          </cell>
          <cell r="H1907" t="str">
            <v>Maquina de gravacAo de dados em circuitos impressos, modelo AT3-310 A2 (ref.7020500510)</v>
          </cell>
        </row>
        <row r="1908">
          <cell r="B1908">
            <v>5094000470</v>
          </cell>
          <cell r="D1908">
            <v>20601204</v>
          </cell>
          <cell r="E1908">
            <v>85176272</v>
          </cell>
          <cell r="F1908">
            <v>85176272</v>
          </cell>
          <cell r="G1908">
            <v>85176272</v>
          </cell>
          <cell r="H1908"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v>
          </cell>
        </row>
        <row r="1909">
          <cell r="B1909">
            <v>2052500230</v>
          </cell>
          <cell r="D1909">
            <v>20694423</v>
          </cell>
          <cell r="E1909">
            <v>85044030</v>
          </cell>
          <cell r="F1909">
            <v>85044030</v>
          </cell>
          <cell r="G1909">
            <v>85044030</v>
          </cell>
          <cell r="H1909" t="str">
            <v>Conversores estaticos de corrente contínua (DC-DC), microprocessado, para tensAo de entrada maxima de 27 VDC e corrente maxima de saída de 1 A.</v>
          </cell>
        </row>
        <row r="1910">
          <cell r="B1910">
            <v>2030302110</v>
          </cell>
          <cell r="D1910">
            <v>20650132</v>
          </cell>
          <cell r="E1910">
            <v>85045010</v>
          </cell>
          <cell r="F1910" t="str">
            <v>Need to update benefit</v>
          </cell>
          <cell r="G1910">
            <v>85045000</v>
          </cell>
          <cell r="H1910" t="str">
            <v>Bobina de auto-inducao (indutor) de 2.2 uH, para montagem por insercao (PTH), de frequencia de 1kHz, tolerancia de 10%, intensidade de corrente de 1A, 0.1Ω de resistencia DC, de dimensoes de 5mm de comprimento, 5mm de largura e 7.5mm de altura (2030302110) PTH</v>
          </cell>
        </row>
        <row r="1911">
          <cell r="B1911">
            <v>2061500110</v>
          </cell>
          <cell r="D1911">
            <v>20633775</v>
          </cell>
          <cell r="E1911">
            <v>85411022</v>
          </cell>
          <cell r="F1911">
            <v>85411022</v>
          </cell>
          <cell r="G1911">
            <v>85411022</v>
          </cell>
          <cell r="H1911" t="str">
            <v>DISPOSITIVO SEMICONDUTOR TIPO DIODO de recuperacAo rapida, montado, proprio para montagem em superfície SMD, de intensidade de corrente 3A</v>
          </cell>
        </row>
        <row r="1912">
          <cell r="B1912">
            <v>2061500220</v>
          </cell>
          <cell r="D1912">
            <v>20633776</v>
          </cell>
          <cell r="E1912">
            <v>85411022</v>
          </cell>
          <cell r="F1912">
            <v>85411022</v>
          </cell>
          <cell r="G1912">
            <v>85411022</v>
          </cell>
          <cell r="H1912" t="str">
            <v>DISPOSITIVO SEMICONDUTOR TIPO DIODO schottky, montado, proprio para montagem em superfície SMD, de intensidade de corrente 3A</v>
          </cell>
        </row>
        <row r="1913">
          <cell r="B1913">
            <v>2054300010</v>
          </cell>
          <cell r="D1913">
            <v>20680130</v>
          </cell>
          <cell r="E1913">
            <v>85423221</v>
          </cell>
          <cell r="F1913">
            <v>85423221</v>
          </cell>
          <cell r="G1913">
            <v>85423221</v>
          </cell>
          <cell r="H1913" t="str">
            <v>Circuito integrado eletronico do tipo memoria montado, proprio para montagem em superfície SMD, do tipo FLASH; Capacidade de armazenamento 0,5 Mbytes; encapsulamento 8pin SOP 105-mil</v>
          </cell>
        </row>
        <row r="1914">
          <cell r="B1914">
            <v>2054300060</v>
          </cell>
          <cell r="D1914">
            <v>20680131</v>
          </cell>
          <cell r="E1914">
            <v>85423221</v>
          </cell>
          <cell r="F1914">
            <v>85423221</v>
          </cell>
          <cell r="G1914">
            <v>85423221</v>
          </cell>
          <cell r="H1914" t="str">
            <v>Circuito integrado eletronico do tipo memoria montado, proprio para montagem em superfície SMD, do tipo FLASH; Capacidade de armazenamento 2 Mbytes; encapsulamento 8pin SOP 208-mil</v>
          </cell>
        </row>
        <row r="1915">
          <cell r="B1915">
            <v>2054300070</v>
          </cell>
          <cell r="D1915">
            <v>20680129</v>
          </cell>
          <cell r="E1915">
            <v>85423221</v>
          </cell>
          <cell r="F1915">
            <v>85423221</v>
          </cell>
          <cell r="G1915">
            <v>85423221</v>
          </cell>
          <cell r="H1915" t="str">
            <v>Circuito integrado eletronico do tipo memoria montado, proprio para montagem em superfície SMD, do tipo FLASH; Capacidade de armazenamento 2 Mbytes; encapsulamento 8pin SOP 208-mil</v>
          </cell>
        </row>
        <row r="1916">
          <cell r="B1916">
            <v>2052500100</v>
          </cell>
          <cell r="D1916">
            <v>20691639</v>
          </cell>
          <cell r="E1916">
            <v>85423939</v>
          </cell>
          <cell r="F1916">
            <v>85423939</v>
          </cell>
          <cell r="G1916">
            <v>85423939</v>
          </cell>
          <cell r="H1916" t="str">
            <v>Circuito integrado eletronico tipo regulador de tensAo DCDC, montado, proprio para montagem em superfície SMD - 3,5V~28V SOIC8 3000,0mA</v>
          </cell>
        </row>
        <row r="1917">
          <cell r="B1917">
            <v>2052700040</v>
          </cell>
          <cell r="D1917">
            <v>20690395</v>
          </cell>
          <cell r="E1917">
            <v>85423939</v>
          </cell>
          <cell r="F1917">
            <v>85423939</v>
          </cell>
          <cell r="G1917">
            <v>85423939</v>
          </cell>
          <cell r="H1917" t="str">
            <v>Circuito integrado eletronico tipo regulador de tensAo Low Drop-out, montado, proprio para montagem em superfície SMD - 3.3V SOT89 120mA</v>
          </cell>
        </row>
        <row r="1918">
          <cell r="B1918">
            <v>2052700220</v>
          </cell>
          <cell r="D1918">
            <v>20691640</v>
          </cell>
          <cell r="E1918">
            <v>85423939</v>
          </cell>
          <cell r="F1918">
            <v>85423939</v>
          </cell>
          <cell r="G1918">
            <v>85423939</v>
          </cell>
          <cell r="H1918" t="str">
            <v>Circuito integrado eletronico tipo regulador de tensAo, montado, proprio para montagem em superfície SMD - 4,75~18V SOT-223</v>
          </cell>
        </row>
        <row r="1919">
          <cell r="B1919">
            <v>2053500010</v>
          </cell>
          <cell r="D1919">
            <v>20691641</v>
          </cell>
          <cell r="E1919">
            <v>85423939</v>
          </cell>
          <cell r="F1919">
            <v>85423939</v>
          </cell>
          <cell r="G1919">
            <v>85423939</v>
          </cell>
          <cell r="H1919" t="str">
            <v>Circuito integrado eletronico tipo regulador de tensAo Low Drop-out, montado, proprio para montagem SMD - 2.5~36V SOT-23-3</v>
          </cell>
        </row>
        <row r="1920">
          <cell r="B1920">
            <v>2062100010</v>
          </cell>
          <cell r="D1920">
            <v>20680254</v>
          </cell>
          <cell r="E1920">
            <v>85412920</v>
          </cell>
          <cell r="F1920">
            <v>85412920</v>
          </cell>
          <cell r="G1920">
            <v>85412920</v>
          </cell>
          <cell r="H1920" t="str">
            <v>Transistor mosfet NMOS, montado, para montagem PTH, de capacidade de dissipacAo de 140W; TensAo de drenagem 900V; corrente de drenagem 4A; resistencia de 4,2 ohms; encapsulamento TO-220</v>
          </cell>
        </row>
        <row r="1921">
          <cell r="B1921">
            <v>2062100020</v>
          </cell>
          <cell r="D1921">
            <v>20680253</v>
          </cell>
          <cell r="E1921">
            <v>85412920</v>
          </cell>
          <cell r="F1921">
            <v>85412920</v>
          </cell>
          <cell r="G1921">
            <v>85412920</v>
          </cell>
          <cell r="H1921" t="str">
            <v>Transistor mosfet NMOS, montado, para montagem PTH, de capacidade de dissipacAo de 140W; TensAo de drenagem 900V; corrente de drenagem 4A; resistencia de 4,2 ohms; encapsulamento TO-220</v>
          </cell>
        </row>
        <row r="1922">
          <cell r="B1922">
            <v>2054300030</v>
          </cell>
          <cell r="D1922">
            <v>20680132</v>
          </cell>
          <cell r="E1922">
            <v>85423221</v>
          </cell>
          <cell r="F1922">
            <v>85423221</v>
          </cell>
          <cell r="G1922">
            <v>85423221</v>
          </cell>
          <cell r="H1922" t="str">
            <v>Circuito integrado eletronico do tipo memoria, montado, proprio para montagem em superfície SMD, do tipo FLASH; Capacidade de armazenamento 0,5 Mbytes; encapsulamento 8pin SOP 105-mil</v>
          </cell>
        </row>
        <row r="1923">
          <cell r="B1923">
            <v>2054100020</v>
          </cell>
          <cell r="D1923">
            <v>20660393</v>
          </cell>
          <cell r="E1923">
            <v>85423229</v>
          </cell>
          <cell r="F1923">
            <v>85423229</v>
          </cell>
          <cell r="G1923">
            <v>85423229</v>
          </cell>
          <cell r="H1923" t="str">
            <v>Circuito integrado eletronico do tipo memoria, montado,proprio para montagem em superfície SMD do tipo FRAM; TensAo de saída ajustavel 2,7~3,6V; Capacidade de armazenamento 0,008 Mbytes; Encapsulamento 8pin SOP 150mil</v>
          </cell>
        </row>
        <row r="1924">
          <cell r="B1924">
            <v>2052700140</v>
          </cell>
          <cell r="D1924">
            <v>20691643</v>
          </cell>
          <cell r="E1924">
            <v>85423939</v>
          </cell>
          <cell r="F1924">
            <v>85423939</v>
          </cell>
          <cell r="G1924">
            <v>85423939</v>
          </cell>
          <cell r="H1924" t="str">
            <v>Circuito integrado eletronico tipo regulador de tensAo Low Drop-out, montado, proprio para montagem em superfície SMD - 6,0V~24V SOT-23-5 150mA</v>
          </cell>
        </row>
        <row r="1925">
          <cell r="B1925">
            <v>2052700150</v>
          </cell>
          <cell r="D1925">
            <v>20691642</v>
          </cell>
          <cell r="E1925">
            <v>85423939</v>
          </cell>
          <cell r="F1925">
            <v>85423939</v>
          </cell>
          <cell r="G1925">
            <v>85423939</v>
          </cell>
          <cell r="H1925" t="str">
            <v>Circuito integrado eletronico tipo regulador de tensAo Low Drop-out, montado, proprio para montagem em superfície SMD - 6,0V~24V - SOT-23-5 - 150mA</v>
          </cell>
        </row>
        <row r="1926">
          <cell r="B1926">
            <v>2053500030</v>
          </cell>
          <cell r="D1926">
            <v>20691644</v>
          </cell>
          <cell r="E1926">
            <v>85423939</v>
          </cell>
          <cell r="F1926">
            <v>85423939</v>
          </cell>
          <cell r="G1926">
            <v>85423939</v>
          </cell>
          <cell r="H1926" t="str">
            <v>Circuito integrado eletronico tipo regulador de tensAo montado, proprio para montagem em superfície SMD - 2.5~36V SOT-23-3.</v>
          </cell>
        </row>
        <row r="1927">
          <cell r="B1927">
            <v>2090104540</v>
          </cell>
          <cell r="D1927">
            <v>20661941</v>
          </cell>
          <cell r="E1927">
            <v>85369040</v>
          </cell>
          <cell r="F1927">
            <v>85369040</v>
          </cell>
          <cell r="G1927">
            <v>85369040</v>
          </cell>
          <cell r="H1927" t="str">
            <v>Conector para circuito impresso, de tensAo ate 320V, macho, para montagem PTH, 2x6 pinos,DistAncia entre pinos 2,54mm; comprimento 26,5/27,5mm</v>
          </cell>
        </row>
        <row r="1928">
          <cell r="B1928">
            <v>2090106180</v>
          </cell>
          <cell r="D1928">
            <v>20661939</v>
          </cell>
          <cell r="E1928">
            <v>85369090</v>
          </cell>
          <cell r="F1928">
            <v>85369090</v>
          </cell>
          <cell r="G1928">
            <v>85369090</v>
          </cell>
          <cell r="H1928" t="str">
            <v>Pino macho para conexAo de circuitos eletricos, para tensAo de ate 320V, para montagem PTH, 1x2 pinos, distAncia entre pinos 2,54mm; comprimento 15 mm</v>
          </cell>
        </row>
        <row r="1929">
          <cell r="B1929">
            <v>2090106200</v>
          </cell>
          <cell r="D1929">
            <v>20661940</v>
          </cell>
          <cell r="E1929">
            <v>85369090</v>
          </cell>
          <cell r="F1929">
            <v>85369090</v>
          </cell>
          <cell r="G1929">
            <v>85369090</v>
          </cell>
          <cell r="H1929" t="str">
            <v>Pino macho para conexAo de circuitos eletricos, para tensAo de ate 320V, para montagem PTH, 1x5 pinos, distAncia entre pinos 2,54mm; comprimento 15 mm</v>
          </cell>
        </row>
        <row r="1930">
          <cell r="B1930">
            <v>2100301740</v>
          </cell>
          <cell r="D1930">
            <v>20691599</v>
          </cell>
          <cell r="E1930">
            <v>85043199</v>
          </cell>
          <cell r="F1930">
            <v>85043199</v>
          </cell>
          <cell r="G1930">
            <v>85043199</v>
          </cell>
          <cell r="H1930" t="str">
            <v>Transformador de pulso com Potencia de 0.000033 kVA para montagem em superfície SMD, capacitAncia de 5.0pF, indutAncia de 80uH, tensAo de 3000V dimensoes 11,6x11,7x10 mm</v>
          </cell>
        </row>
        <row r="1931">
          <cell r="B1931">
            <v>2061500230</v>
          </cell>
          <cell r="D1931">
            <v>20633777</v>
          </cell>
          <cell r="E1931">
            <v>85411022</v>
          </cell>
          <cell r="F1931">
            <v>85411022</v>
          </cell>
          <cell r="G1931">
            <v>85411022</v>
          </cell>
          <cell r="H1931" t="str">
            <v>DISPOSITIVO SEMICONDUTOR TIPO DIODO schottky, montado, proprio para montagem em superfície SMD, de intensidade de corrente 0,0005A</v>
          </cell>
        </row>
        <row r="1932">
          <cell r="B1932">
            <v>7020501220</v>
          </cell>
          <cell r="D1932">
            <v>83328</v>
          </cell>
          <cell r="E1932">
            <v>84798999</v>
          </cell>
          <cell r="F1932" t="str">
            <v>Not applicable</v>
          </cell>
          <cell r="G1932">
            <v>84798999</v>
          </cell>
          <cell r="H1932" t="str">
            <v>Ex 306 Máquinas automáticas para montagem de componente em placas de circuito impresso.
CARACTERÍSTICAS ESPECÍFICAS:
Maquina para montagem automatica de componentes eletronicos em superícies SMD de placas de circuito impresso, marca AAAA, modelo BBBB, ano de fabricacAo YYYY, numero de serie XXXX (ref.7020501220)</v>
          </cell>
        </row>
        <row r="1933">
          <cell r="B1933">
            <v>7020501110</v>
          </cell>
          <cell r="D1933">
            <v>83172</v>
          </cell>
          <cell r="E1933">
            <v>84799090</v>
          </cell>
          <cell r="F1933" t="str">
            <v>Not applicable</v>
          </cell>
          <cell r="G1933">
            <v>84799090</v>
          </cell>
          <cell r="H1933" t="str">
            <v>Alimentador (feeder), parte de maquina para montagem de componentes eletronicos em superfícies SMD de placas de circuito impresso, com acionamento eletrico, 8mm (ref.7020501110)</v>
          </cell>
        </row>
        <row r="1934">
          <cell r="B1934">
            <v>4020407660</v>
          </cell>
          <cell r="D1934">
            <v>49938</v>
          </cell>
          <cell r="E1934">
            <v>84799090</v>
          </cell>
          <cell r="F1934" t="str">
            <v>Not applicable</v>
          </cell>
          <cell r="G1934">
            <v>84799090</v>
          </cell>
          <cell r="H1934" t="str">
            <v>Bocal (nozzle) CN065, parte de maquina para montagem de componentes eletronicos em superfícies SMD de placas de circuito impresso (ref. 4020407660)</v>
          </cell>
        </row>
        <row r="1935">
          <cell r="B1935" t="str">
            <v>GADGET-G3.R120</v>
          </cell>
          <cell r="D1935">
            <v>88552</v>
          </cell>
          <cell r="E1935">
            <v>84719019</v>
          </cell>
          <cell r="F1935" t="str">
            <v>Not applicable</v>
          </cell>
          <cell r="G1935">
            <v>84719019</v>
          </cell>
          <cell r="H1935" t="str">
            <v>Gravador de dados (programador de firmware) para medidores de energia eletrica (GADGET-G3.R120)</v>
          </cell>
        </row>
        <row r="1936">
          <cell r="B1936">
            <v>4020603080</v>
          </cell>
          <cell r="D1936">
            <v>75663</v>
          </cell>
          <cell r="E1936">
            <v>85176259</v>
          </cell>
          <cell r="F1936" t="str">
            <v>Not applicable</v>
          </cell>
          <cell r="G1936">
            <v>85176259</v>
          </cell>
          <cell r="H1936" t="str">
            <v>Servidor serial com 32 portas, 220V, rede RS232 e interface RJ45, para recepcAo e transmissAo de dados em rede com fio (ref.4020603080)</v>
          </cell>
        </row>
        <row r="1937">
          <cell r="B1937">
            <v>4020211230</v>
          </cell>
          <cell r="D1937" t="str">
            <v>PENDING</v>
          </cell>
          <cell r="E1937">
            <v>85043199</v>
          </cell>
          <cell r="F1937" t="str">
            <v>Not applicable</v>
          </cell>
          <cell r="H1937" t="str">
            <v>Transformador de corrente para dispositivo de inspecAo de medidor de energia eletrica (ref. 4020211230)</v>
          </cell>
        </row>
        <row r="1938">
          <cell r="B1938">
            <v>4020602820</v>
          </cell>
          <cell r="D1938" t="str">
            <v>PENDING</v>
          </cell>
          <cell r="E1938">
            <v>85049090</v>
          </cell>
          <cell r="F1938" t="str">
            <v>Not applicable</v>
          </cell>
          <cell r="H1938" t="str">
            <v>Placa de compensacAo, parte para uso em transformador eletrico de corrente (ref. 4020602820)</v>
          </cell>
        </row>
        <row r="1939">
          <cell r="B1939">
            <v>4020106760</v>
          </cell>
          <cell r="D1939">
            <v>87402</v>
          </cell>
          <cell r="E1939">
            <v>85365090</v>
          </cell>
          <cell r="F1939" t="str">
            <v>Not applicable</v>
          </cell>
          <cell r="G1939">
            <v>85353019</v>
          </cell>
          <cell r="H1939" t="str">
            <v>Fonte de alimentacAo com interruptor para circuito eletrico de plataforma de calibracAo, tensAo 24V, corrente nominal 100A (4020106760)</v>
          </cell>
        </row>
        <row r="1940">
          <cell r="B1940">
            <v>4020101240</v>
          </cell>
          <cell r="D1940" t="str">
            <v>PENDING</v>
          </cell>
          <cell r="E1940">
            <v>85365090</v>
          </cell>
          <cell r="F1940" t="str">
            <v>Not applicable</v>
          </cell>
          <cell r="H1940" t="str">
            <v>Fonte de alimentacAo com comutador para circuito eletrico de plataforma de calibracAo, tensAo 24V, corrente nominal 100A (4020106760)</v>
          </cell>
        </row>
        <row r="1941">
          <cell r="B1941">
            <v>4020601090</v>
          </cell>
          <cell r="D1941">
            <v>64651</v>
          </cell>
          <cell r="E1941">
            <v>85369090</v>
          </cell>
          <cell r="F1941" t="str">
            <v>Not applicable</v>
          </cell>
          <cell r="G1941">
            <v>85369090</v>
          </cell>
          <cell r="H1941" t="str">
            <v>Conector-suporte para conexAo de circuito eletrico, de tensAo ate 320V, para estigma de corrente, para bancada de medidores eletricos (ref. 4020601090)</v>
          </cell>
        </row>
        <row r="1942">
          <cell r="B1942">
            <v>4020600130</v>
          </cell>
          <cell r="D1942">
            <v>64652</v>
          </cell>
          <cell r="E1942">
            <v>85369090</v>
          </cell>
          <cell r="F1942" t="str">
            <v>Not applicable</v>
          </cell>
          <cell r="G1942">
            <v>85369090</v>
          </cell>
          <cell r="H1942" t="str">
            <v>Conectores para conexAo de circuito eletrico, de tensAo ate 320V, para bancadas de medidores de energia eletrica (ref. 4020600130)</v>
          </cell>
        </row>
        <row r="1943">
          <cell r="B1943">
            <v>7029901230</v>
          </cell>
          <cell r="D1943">
            <v>96805</v>
          </cell>
          <cell r="E1943">
            <v>90309090</v>
          </cell>
          <cell r="F1943" t="str">
            <v>Not applicable</v>
          </cell>
          <cell r="G1943">
            <v>90309090</v>
          </cell>
          <cell r="H1943" t="str">
            <v>Chassi para teste de precisAo, parte de relogio de grandezas eletricas de tensAo e potencia</v>
          </cell>
        </row>
        <row r="1944">
          <cell r="B1944">
            <v>4020604410</v>
          </cell>
          <cell r="D1944">
            <v>96797</v>
          </cell>
          <cell r="E1944">
            <v>90309090</v>
          </cell>
          <cell r="F1944" t="str">
            <v>Not applicable</v>
          </cell>
          <cell r="G1944">
            <v>90309090</v>
          </cell>
          <cell r="H1944" t="str">
            <v>Pino para coleta (coletor) de pulso fotoeletrico, parte de maquina de calibracAo e verificacAo RTC</v>
          </cell>
        </row>
        <row r="1945">
          <cell r="B1945">
            <v>4020102480</v>
          </cell>
          <cell r="D1945">
            <v>96798</v>
          </cell>
          <cell r="E1945">
            <v>85366990</v>
          </cell>
          <cell r="F1945" t="str">
            <v>Not applicable</v>
          </cell>
          <cell r="G1945">
            <v>85366990</v>
          </cell>
          <cell r="H1945" t="str">
            <v>Plug de 9 pinos, para conexAo de circuitos eletricos, de tensAo de ate 750V</v>
          </cell>
        </row>
        <row r="1946">
          <cell r="B1946">
            <v>4020102490</v>
          </cell>
          <cell r="D1946">
            <v>96800</v>
          </cell>
          <cell r="E1946">
            <v>85369090</v>
          </cell>
          <cell r="F1946" t="str">
            <v>Not applicable</v>
          </cell>
          <cell r="G1946">
            <v>85369090</v>
          </cell>
          <cell r="H1946" t="str">
            <v>Soquete de 9 pinos, para conexAo de circuitos eletricos, de tensAo de ate 750V</v>
          </cell>
        </row>
        <row r="1947">
          <cell r="B1947">
            <v>4020100310</v>
          </cell>
          <cell r="D1947">
            <v>24983</v>
          </cell>
          <cell r="E1947">
            <v>85444900</v>
          </cell>
          <cell r="F1947" t="str">
            <v>Not applicable</v>
          </cell>
          <cell r="G1947">
            <v>85444900</v>
          </cell>
          <cell r="H1947" t="str">
            <v>Cabo PP, condutor eletrico, de tensAo ate 750V, isolado para uso eletrico, fios condutores de cobre, de tres vias de 4mm² de seccAo transversal e isolacAo de PVC</v>
          </cell>
        </row>
        <row r="1948">
          <cell r="B1948">
            <v>4020306610</v>
          </cell>
          <cell r="D1948">
            <v>91557</v>
          </cell>
          <cell r="E1948">
            <v>84779000</v>
          </cell>
          <cell r="F1948" t="str">
            <v>Not applicable</v>
          </cell>
          <cell r="G1948">
            <v>84779000</v>
          </cell>
          <cell r="H1948" t="str">
            <v>Rosca completa com flange e canhAo D-50, parte para uso em maquina de moldagem por injecAo</v>
          </cell>
        </row>
        <row r="1949">
          <cell r="B1949">
            <v>4020304190</v>
          </cell>
          <cell r="D1949">
            <v>97255</v>
          </cell>
          <cell r="E1949">
            <v>84779000</v>
          </cell>
          <cell r="F1949" t="str">
            <v>Not applicable</v>
          </cell>
          <cell r="G1949">
            <v>84779000</v>
          </cell>
          <cell r="H1949" t="str">
            <v>Rosca completa com flange e canhAo D-40, parte para uso em maquina de moldagem por injecAo</v>
          </cell>
        </row>
        <row r="1950">
          <cell r="B1950">
            <v>4020304220</v>
          </cell>
          <cell r="D1950">
            <v>97256</v>
          </cell>
          <cell r="E1950">
            <v>84779000</v>
          </cell>
          <cell r="F1950" t="str">
            <v>Not applicable</v>
          </cell>
          <cell r="G1950">
            <v>84779000</v>
          </cell>
          <cell r="H1950" t="str">
            <v>Rosca completa com flange e canhAo D-45, parte para uso em maquina de moldagem por injecAo</v>
          </cell>
        </row>
        <row r="1951">
          <cell r="B1951">
            <v>4020305820</v>
          </cell>
          <cell r="D1951">
            <v>81137</v>
          </cell>
          <cell r="E1951">
            <v>84779000</v>
          </cell>
          <cell r="F1951" t="str">
            <v>Not applicable</v>
          </cell>
          <cell r="G1951">
            <v>84779000</v>
          </cell>
          <cell r="H1951" t="str">
            <v>Parafuso alternativo B-D45, parte para uso em maquina de moldagem por injecAo</v>
          </cell>
        </row>
        <row r="1952">
          <cell r="B1952">
            <v>4020306600</v>
          </cell>
          <cell r="D1952">
            <v>91556</v>
          </cell>
          <cell r="E1952">
            <v>84779000</v>
          </cell>
          <cell r="F1952" t="str">
            <v>Not applicable</v>
          </cell>
          <cell r="G1952">
            <v>84779000</v>
          </cell>
          <cell r="H1952" t="str">
            <v>Rosca completa com flange e canhAo D-40, parte para uso em maquina de moldagem por injecAo</v>
          </cell>
        </row>
        <row r="1953">
          <cell r="B1953">
            <v>4020604300</v>
          </cell>
          <cell r="D1953">
            <v>88991</v>
          </cell>
          <cell r="E1953">
            <v>74152900</v>
          </cell>
          <cell r="F1953" t="str">
            <v>Not applicable</v>
          </cell>
          <cell r="G1953">
            <v>74152900</v>
          </cell>
          <cell r="H1953" t="str">
            <v>Pino nAo roscado de cobre para bancada de testes de medidores eletricos (ref. 4020604300)</v>
          </cell>
        </row>
        <row r="1954">
          <cell r="B1954">
            <v>4020408900</v>
          </cell>
          <cell r="D1954">
            <v>96781</v>
          </cell>
          <cell r="E1954">
            <v>84818092</v>
          </cell>
          <cell r="F1954" t="str">
            <v>Not applicable</v>
          </cell>
          <cell r="G1954">
            <v>84818092</v>
          </cell>
          <cell r="H1954" t="str">
            <v>Valvula Solenoide EMX 08-T/C, do tipo utilizado em equipamentos a gas (ref.4020408900)</v>
          </cell>
        </row>
        <row r="1955">
          <cell r="B1955">
            <v>4030400870</v>
          </cell>
          <cell r="D1955">
            <v>95950</v>
          </cell>
          <cell r="E1955">
            <v>84719019</v>
          </cell>
          <cell r="F1955" t="str">
            <v>Not applicable</v>
          </cell>
          <cell r="G1955">
            <v>84719019</v>
          </cell>
          <cell r="H1955" t="str">
            <v>Gravadora automatica de dados de firmware FM33A048  (ref. 4030400870)</v>
          </cell>
        </row>
        <row r="1956">
          <cell r="B1956">
            <v>4020109870</v>
          </cell>
          <cell r="D1956">
            <v>96191</v>
          </cell>
          <cell r="E1956">
            <v>90328919</v>
          </cell>
          <cell r="F1956" t="str">
            <v>Not applicable</v>
          </cell>
          <cell r="G1956">
            <v>90328919</v>
          </cell>
          <cell r="H1956" t="str">
            <v>Instrumento regulador de voltagem, nAo eletronico - SDVC20-S - faixa de tensAo de entrada: 85-260VAC, corrente maxima de saída: 5A, potencia maxima de saída: 1100VA; (ref.4020109870)</v>
          </cell>
        </row>
        <row r="1957">
          <cell r="B1957">
            <v>4020409180</v>
          </cell>
          <cell r="D1957">
            <v>91861</v>
          </cell>
          <cell r="E1957">
            <v>84799090</v>
          </cell>
          <cell r="F1957" t="str">
            <v>Not applicable</v>
          </cell>
          <cell r="G1957">
            <v>84799090</v>
          </cell>
          <cell r="H1957" t="str">
            <v>Circuito impresso de vacuo, parte para uso em maquina de insercAo automatica de componentes eletronicos SM482 por montagem em superfície SMD - AM03-015254A (Ref. 4020409180)</v>
          </cell>
        </row>
        <row r="1958">
          <cell r="B1958">
            <v>4020409190</v>
          </cell>
          <cell r="D1958">
            <v>91857</v>
          </cell>
          <cell r="E1958">
            <v>84799090</v>
          </cell>
          <cell r="F1958" t="str">
            <v>Not applicable</v>
          </cell>
          <cell r="G1958">
            <v>84799090</v>
          </cell>
          <cell r="H1958" t="str">
            <v>Placa do sensor de pressAo, parte para uso em maquina de insercAo automatica de componentes eletronicos por montagem em superfície SMD - AM03-005340A para uso na maquina de insercAo de componentes eletronicos (ref.4020409190)</v>
          </cell>
        </row>
        <row r="1959">
          <cell r="B1959">
            <v>4020409200</v>
          </cell>
          <cell r="D1959">
            <v>96193</v>
          </cell>
          <cell r="E1959">
            <v>84799090</v>
          </cell>
          <cell r="F1959" t="str">
            <v>Not applicable</v>
          </cell>
          <cell r="G1959">
            <v>84799090</v>
          </cell>
          <cell r="H1959" t="str">
            <v>Cabo de cAmera frontal, parte para uso em maquina de insercAo automatica de componentes eletronicos SM471 por montagem em superfície SMD (ref.4020409200)</v>
          </cell>
        </row>
        <row r="1960">
          <cell r="B1960">
            <v>4020804680</v>
          </cell>
          <cell r="D1960">
            <v>96192</v>
          </cell>
          <cell r="E1960">
            <v>84313900</v>
          </cell>
          <cell r="F1960" t="str">
            <v>Not applicable</v>
          </cell>
          <cell r="G1960">
            <v>84313900</v>
          </cell>
          <cell r="H1960" t="str">
            <v>Amortecedor AIRTAC 28-B-V parte de linha de trabalho com esteiras para montagem de medidores eletricos (ref.4020804680)</v>
          </cell>
        </row>
        <row r="1961">
          <cell r="B1961">
            <v>4029801380</v>
          </cell>
          <cell r="D1961">
            <v>72629</v>
          </cell>
          <cell r="E1961">
            <v>90328984</v>
          </cell>
          <cell r="F1961" t="str">
            <v>Not applicable</v>
          </cell>
          <cell r="G1961">
            <v>90328984</v>
          </cell>
          <cell r="H1961" t="str">
            <v>Instrumento para controle controlador de velocidade de motores eletricos por variacAo de frequencia - US-52; 60W; (ref.4029801380)</v>
          </cell>
        </row>
        <row r="1962">
          <cell r="B1962">
            <v>4020110440</v>
          </cell>
          <cell r="D1962">
            <v>96194</v>
          </cell>
          <cell r="E1962">
            <v>85369090</v>
          </cell>
          <cell r="F1962" t="str">
            <v>Not applicable</v>
          </cell>
          <cell r="G1962">
            <v>85369090</v>
          </cell>
          <cell r="H1962" t="str">
            <v>Conectores para conexAo de circuito eletrico, de tensAo ate 320V, para cabos planos constituídos por condutores paralelos isolados individualmente (ref.4020110440)</v>
          </cell>
        </row>
        <row r="1963">
          <cell r="B1963">
            <v>4020602170</v>
          </cell>
          <cell r="D1963">
            <v>88309</v>
          </cell>
          <cell r="E1963">
            <v>90319090</v>
          </cell>
          <cell r="F1963" t="str">
            <v>Not applicable</v>
          </cell>
          <cell r="H1963" t="str">
            <v>Placa mAe para fonte de sinal, parte para uso em dispositivo de calibracAo e teste funcional de medidores eletricos, modelo PE-153ZH-0V02  (ref.4020602170)</v>
          </cell>
        </row>
        <row r="1964">
          <cell r="B1964">
            <v>4020604160</v>
          </cell>
          <cell r="D1964">
            <v>88316</v>
          </cell>
          <cell r="E1964">
            <v>85423999</v>
          </cell>
          <cell r="F1964" t="str">
            <v>Not applicable</v>
          </cell>
          <cell r="H1964" t="str">
            <v>CIRCUITO INTEGRADO ELETRoNICO TIPO CONVERSOR DAC8408F, MONTADO, PRoPRIO PARA MONTAGEM POR INSERcAO PTH (ref.4020604160)</v>
          </cell>
        </row>
        <row r="1965">
          <cell r="B1965">
            <v>4020604180</v>
          </cell>
          <cell r="D1965">
            <v>88318</v>
          </cell>
          <cell r="E1965">
            <v>85423999</v>
          </cell>
          <cell r="F1965" t="str">
            <v>Not applicable</v>
          </cell>
          <cell r="H1965" t="str">
            <v>CIRCUITO INTEGRADO ELETRoNICO TIPO MATRIZ LoGICA PROGRAMaVEL IDT7005S315J PLCC, MONTADO, PRoPRIO PARA MONTAGEM POR INSERcAO PTH (ref.4020604180)</v>
          </cell>
        </row>
        <row r="1966">
          <cell r="B1966">
            <v>4020604170</v>
          </cell>
          <cell r="D1966">
            <v>88317</v>
          </cell>
          <cell r="E1966">
            <v>85423999</v>
          </cell>
          <cell r="F1966" t="str">
            <v>Not applicable</v>
          </cell>
          <cell r="H1966" t="str">
            <v>CIRCUITO INTEGRADO ELETRoNICO TIPO MATRIZ LoGICA PROGRAMaVEL EPM7064SL C44-10, MONTADO, PRoPRIO PARA MONTAGEM POR INSERcAO PTH (ref.4020604170)</v>
          </cell>
        </row>
        <row r="1967">
          <cell r="B1967">
            <v>4020200670</v>
          </cell>
          <cell r="D1967">
            <v>96233</v>
          </cell>
          <cell r="E1967">
            <v>40101200</v>
          </cell>
          <cell r="F1967" t="str">
            <v>Not applicable</v>
          </cell>
          <cell r="H1967" t="str">
            <v>Correia Transportadora, reforcada com material textil de poliester (ref.4020200670)</v>
          </cell>
        </row>
        <row r="1968">
          <cell r="B1968">
            <v>4030600280</v>
          </cell>
          <cell r="D1968">
            <v>87403</v>
          </cell>
          <cell r="E1968">
            <v>84829120</v>
          </cell>
          <cell r="F1968" t="str">
            <v>Not applicable</v>
          </cell>
          <cell r="G1968">
            <v>84829120</v>
          </cell>
          <cell r="H1968" t="str">
            <v>Rolete cilíndrico, 25 * 400 mm; parte de rolamento para correia de linha de montagem. (ref.4030600280)</v>
          </cell>
        </row>
        <row r="1969">
          <cell r="B1969">
            <v>4030600200</v>
          </cell>
          <cell r="D1969">
            <v>96234</v>
          </cell>
          <cell r="E1969">
            <v>73269090</v>
          </cell>
          <cell r="F1969" t="str">
            <v>Not applicable</v>
          </cell>
          <cell r="G1969">
            <v>73269090</v>
          </cell>
          <cell r="H1969" t="str">
            <v>Suporte em aco, obtido por dobragem, para rolete da correia transportadora (ref.4030600200)</v>
          </cell>
        </row>
        <row r="1970">
          <cell r="B1970">
            <v>2010900941</v>
          </cell>
          <cell r="D1970">
            <v>20691815</v>
          </cell>
          <cell r="E1970">
            <v>85334011</v>
          </cell>
          <cell r="F1970">
            <v>85334011</v>
          </cell>
          <cell r="G1970">
            <v>85334011</v>
          </cell>
          <cell r="H1970" t="str">
            <v>TERMISTOR (RESISTeNCIA ELeTRICA VARIaVEL NAO LINEAR SEMICONDUTORA) proprio para montagem PTH, resistencia de 20~25 ohms, tolerAncia de 30por cento, dimensoes 11.0*15.0*5.0mm/RAD-5.0mm</v>
          </cell>
        </row>
        <row r="1971">
          <cell r="B1971">
            <v>3030109940</v>
          </cell>
          <cell r="D1971">
            <v>21166400</v>
          </cell>
          <cell r="E1971">
            <v>73181500</v>
          </cell>
          <cell r="F1971">
            <v>73181500</v>
          </cell>
          <cell r="G1971">
            <v>73181500</v>
          </cell>
          <cell r="H1971" t="str">
            <v>Parafuso Headless M10*400mm, de materia-prima base em Aco Inox, processo de fabricacAo por usinagem e acabamento superficial sem tratamento  (3030109940)</v>
          </cell>
        </row>
        <row r="1972">
          <cell r="B1972">
            <v>3030900630</v>
          </cell>
          <cell r="D1972">
            <v>20265300</v>
          </cell>
          <cell r="E1972">
            <v>73181600</v>
          </cell>
          <cell r="F1972">
            <v>73181600</v>
          </cell>
          <cell r="G1972">
            <v>73181600</v>
          </cell>
          <cell r="H1972" t="str">
            <v>Porca Quadrada M10 16mm*9.5mm, de materia-prima base em aco baixo carbono, de processo de fabricacAo por usinagem e acabamento superficial sem tratamento (3030900630)</v>
          </cell>
        </row>
        <row r="1973">
          <cell r="B1973">
            <v>3031300320</v>
          </cell>
          <cell r="D1973">
            <v>20269500</v>
          </cell>
          <cell r="E1973">
            <v>73182100</v>
          </cell>
          <cell r="F1973">
            <v>73182100</v>
          </cell>
          <cell r="G1973">
            <v>73182100</v>
          </cell>
          <cell r="H1973" t="str">
            <v>Arruela de PressAo Ø10.2mm, materia-prima base em Aco Inox, processo de fabricacAo por usinagem, acabamento superficial sem tratamento (3031300320)</v>
          </cell>
        </row>
        <row r="1974">
          <cell r="B1974">
            <v>3031101950</v>
          </cell>
          <cell r="D1974">
            <v>20290806</v>
          </cell>
          <cell r="E1974">
            <v>73182100</v>
          </cell>
          <cell r="F1974">
            <v>73182100</v>
          </cell>
          <cell r="G1974">
            <v>73182100</v>
          </cell>
          <cell r="H1974" t="str">
            <v>Arruela de pressAo Ø10.5mm 20mm*2mm, materia-prima base em Aco Inox, processo de fabricacAo por usinagem, acabamento superficial sem tratamento (3031101950)</v>
          </cell>
        </row>
        <row r="1975">
          <cell r="B1975">
            <v>2990205285</v>
          </cell>
          <cell r="D1975">
            <v>20292210</v>
          </cell>
          <cell r="E1975">
            <v>85177190</v>
          </cell>
          <cell r="F1975">
            <v>85177190</v>
          </cell>
          <cell r="G1975">
            <v>85177190</v>
          </cell>
          <cell r="H1975" t="str">
            <v>Antena de Fibra de Vidro (1,1 m) - 902~928MHz, 50ohms, 8dbi, PARA UTILIZAcAO EM CONJUNTO COM EQUIPAMENTOS DE COMUNICAcAO DE DADOS POR REDES SEM FIO (299020528501)</v>
          </cell>
        </row>
        <row r="1976">
          <cell r="B1976">
            <v>3990200223</v>
          </cell>
          <cell r="D1976">
            <v>20265122</v>
          </cell>
          <cell r="E1976">
            <v>73181600</v>
          </cell>
          <cell r="F1976">
            <v>73181600</v>
          </cell>
          <cell r="G1976">
            <v>73181600</v>
          </cell>
          <cell r="H1976" t="str">
            <v>Porca M3 - de materia-prima base em Aco Inox, de processo de fabricacAo por usinagem e acabamento superficial sem tratamento (3990200223)</v>
          </cell>
        </row>
        <row r="1977">
          <cell r="B1977">
            <v>3990200226</v>
          </cell>
          <cell r="D1977">
            <v>21110125</v>
          </cell>
          <cell r="E1977">
            <v>73181500</v>
          </cell>
          <cell r="F1977">
            <v>73181500</v>
          </cell>
          <cell r="G1977">
            <v>73181500</v>
          </cell>
          <cell r="H1977" t="str">
            <v>Parafuso Combinado - M3x10mm - de materia-prima base Aco Inox, de processo de fabricacAo por usinagem e acabamento superficial sem tratamento (3990200226)</v>
          </cell>
        </row>
        <row r="1978">
          <cell r="B1978">
            <v>3090305370</v>
          </cell>
          <cell r="D1978">
            <v>10731501</v>
          </cell>
          <cell r="E1978">
            <v>74198090</v>
          </cell>
          <cell r="F1978">
            <v>74198090</v>
          </cell>
          <cell r="G1978">
            <v>74198090</v>
          </cell>
          <cell r="H1978" t="str">
            <v>Arame cortado em fio de cobre, em U, distAncia central 5mm, F0.6mm, 11.5mm superfície estanhada PTH (3090305370)</v>
          </cell>
        </row>
        <row r="1979">
          <cell r="B1979">
            <v>3030702050</v>
          </cell>
          <cell r="D1979">
            <v>21184300</v>
          </cell>
          <cell r="E1979">
            <v>73181500</v>
          </cell>
          <cell r="F1979">
            <v>73181500</v>
          </cell>
          <cell r="G1979">
            <v>73181500</v>
          </cell>
          <cell r="H1979" t="str">
            <v>PARAFUSO M10x25mm, MATeRIA-PRIMA BASE EM AcO INOXIDaVEL SUS304, PROCESSO DE FABRICAcAO SEM TRATAMENTO E ACABAMENTO SUPERFICIAL SEM TRATAMENTO</v>
          </cell>
        </row>
        <row r="1980">
          <cell r="B1980">
            <v>2030302040</v>
          </cell>
          <cell r="D1980">
            <v>20650133</v>
          </cell>
          <cell r="E1980">
            <v>85045010</v>
          </cell>
          <cell r="F1980" t="str">
            <v>Need to update benefit</v>
          </cell>
          <cell r="G1980">
            <v>85045000</v>
          </cell>
          <cell r="H1980" t="str">
            <v>Bobina de auto-inducao (indutor) de 3.9 mH, para montagem por insercao (PTH), de frequencia de 1kHz, tolerancia de 10%, intensidade de corrente de 1A, 0.1Ω de resistencia DC, de dimensoes de 12mm de comprimento, 17mm de largura e 12mm de altura (2030302040) PTH</v>
          </cell>
        </row>
        <row r="1981">
          <cell r="B1981">
            <v>2030302050</v>
          </cell>
          <cell r="D1981">
            <v>20650134</v>
          </cell>
          <cell r="E1981">
            <v>85045010</v>
          </cell>
          <cell r="F1981" t="str">
            <v>Need to update benefit</v>
          </cell>
          <cell r="G1981">
            <v>85045000</v>
          </cell>
          <cell r="H1981" t="str">
            <v>Bobina de auto-inducao (indutor) de 950uH, para montagem por insercao (PTH), de frequencia de 1kHz, tolerancia de 10%, intensidade de corrente de 40A, 2Ω de resistencia DC, de dimensoes de 13.5mm de comprimento, 5mm de largura e 5mm de altura (2030302050) PTH</v>
          </cell>
        </row>
        <row r="1982">
          <cell r="B1982">
            <v>2040400061</v>
          </cell>
          <cell r="D1982">
            <v>20630607</v>
          </cell>
          <cell r="E1982">
            <v>85414122</v>
          </cell>
          <cell r="F1982">
            <v>85414122</v>
          </cell>
          <cell r="G1982">
            <v>85414122</v>
          </cell>
          <cell r="H1982" t="str">
            <v>Diodo emissor de luz (LED), montado do tipo fototransistor, cinza azulado, dimensoes 5.8*8.7mm, comprimento 25.8mm</v>
          </cell>
        </row>
        <row r="1983">
          <cell r="B1983">
            <v>2052300010</v>
          </cell>
          <cell r="D1983">
            <v>20660394</v>
          </cell>
          <cell r="E1983">
            <v>85423939</v>
          </cell>
          <cell r="F1983">
            <v>85423939</v>
          </cell>
          <cell r="G1983">
            <v>85423939</v>
          </cell>
          <cell r="H1983" t="str">
            <v>Circuito integrado eletronico tipo Ponte-H driver de rele, montado, proprios para montagem em superfície SMD - SOT23-6 5~30V</v>
          </cell>
        </row>
        <row r="1984">
          <cell r="B1984">
            <v>2052700200</v>
          </cell>
          <cell r="D1984">
            <v>20691645</v>
          </cell>
          <cell r="E1984">
            <v>85423939</v>
          </cell>
          <cell r="F1984">
            <v>85423939</v>
          </cell>
          <cell r="G1984">
            <v>85423939</v>
          </cell>
          <cell r="H1984" t="str">
            <v>Circuito integrado eletronico tipo regulador de tensAo Low Drop-out, montado, proprio para montagem em superfície SMD - 5V SOT-89 120mA </v>
          </cell>
        </row>
        <row r="1985">
          <cell r="B1985">
            <v>2060102310</v>
          </cell>
          <cell r="D1985">
            <v>20630907</v>
          </cell>
          <cell r="E1985">
            <v>85411029</v>
          </cell>
          <cell r="F1985">
            <v>85411029</v>
          </cell>
          <cell r="G1985">
            <v>85411029</v>
          </cell>
          <cell r="H1985" t="str">
            <v>Dispositivo semi condutor do tipo diodo retificador de tensAo, montado, proprio para montagem em superfície SMD de intensidade de corrente de 30A</v>
          </cell>
        </row>
        <row r="1986">
          <cell r="B1986">
            <v>2062100030</v>
          </cell>
          <cell r="D1986">
            <v>20680255</v>
          </cell>
          <cell r="E1986">
            <v>85412920</v>
          </cell>
          <cell r="F1986">
            <v>85412920</v>
          </cell>
          <cell r="G1986">
            <v>85412920</v>
          </cell>
          <cell r="H1986" t="str">
            <v>Transistor mosfet NMOS, montado, para montagem por insercAo PTH, de capacidade de dissipacAo de 32W; TensAo de drenagem 1500V; corrente de drenagem 2.5A; resistencia de 10.5 ohms; encapsulamento TO220F-3FS</v>
          </cell>
        </row>
        <row r="1987">
          <cell r="B1987">
            <v>2100300494</v>
          </cell>
          <cell r="D1987">
            <v>20691533</v>
          </cell>
          <cell r="E1987">
            <v>85043199</v>
          </cell>
          <cell r="F1987">
            <v>85043199</v>
          </cell>
          <cell r="G1987">
            <v>85043199</v>
          </cell>
          <cell r="H1987" t="str">
            <v>Transformador eletrico tipo Bobina enrolada de alta frequencia (freq 200KHz) ;potencia ate 0,0125kVA; para montagem por insercAo PTH, 80uH 2 grupos 18mm * 17mm * 18mm; EE16; 4200/1500VAC</v>
          </cell>
        </row>
        <row r="1988">
          <cell r="B1988">
            <v>3010103360</v>
          </cell>
          <cell r="D1988">
            <v>20661803</v>
          </cell>
          <cell r="E1988">
            <v>85043111</v>
          </cell>
          <cell r="F1988">
            <v>85043111</v>
          </cell>
          <cell r="G1988">
            <v>85043111</v>
          </cell>
          <cell r="H1988" t="str">
            <v>Transformador eletrico de corrente, com corrente eletrica nominal de 5A e corrente eletrica maxima de 100A. Potencia aparente de 0,0000625VA e frequencia de trabalho de 60Hz. RelacAo de transformacAo 5(100)A/2,5mA, classe 0,1 e resistencia de carga de 10 Ohms</v>
          </cell>
        </row>
        <row r="1989">
          <cell r="B1989">
            <v>3051506520</v>
          </cell>
          <cell r="D1989">
            <v>20694304</v>
          </cell>
          <cell r="E1989">
            <v>73261900</v>
          </cell>
          <cell r="F1989">
            <v>73261900</v>
          </cell>
          <cell r="G1989">
            <v>73261900</v>
          </cell>
          <cell r="H1989" t="str">
            <v>Chapa estampada em aco inoxidavel SUS304 - 2,0mm, referencia 30523-AP-01/30523-AP-02, para protecAo anti-roubo para AP</v>
          </cell>
        </row>
        <row r="1990">
          <cell r="B1990">
            <v>3051506510</v>
          </cell>
          <cell r="D1990">
            <v>20694305</v>
          </cell>
          <cell r="E1990">
            <v>73261900</v>
          </cell>
          <cell r="F1990">
            <v>73261900</v>
          </cell>
          <cell r="G1990">
            <v>73261900</v>
          </cell>
          <cell r="H1990" t="str">
            <v>Chapa estampada em aco inoxidavel em aco inoxidavel SUS304 - 2,0mm, referencia: 30523-WSG-01/30523-WSG-02, para protecAo anti-roubo para WSG</v>
          </cell>
        </row>
        <row r="1991">
          <cell r="B1991" t="str">
            <v>5636B70113</v>
          </cell>
          <cell r="C1991" t="str">
            <v>5636B70113</v>
          </cell>
          <cell r="D1991" t="str">
            <v>5636B70113</v>
          </cell>
          <cell r="E1991">
            <v>90282010</v>
          </cell>
          <cell r="F1991">
            <v>90282010</v>
          </cell>
          <cell r="G1991">
            <v>90282010</v>
          </cell>
          <cell r="H1991" t="str">
            <v>HIDROMETRO ULTRASSONICO (CONTADOR DE LÍQUIDOS), HID. ULTRASSONICO RES.; LATAO; DN25-260 MM; Q3= 10 M3/H; R400; PULSO (ZLW-DN25), COM PESO LÍQUIDO UNITARIO APROXIMADO DE 1,5KG A 2,5KGS.</v>
          </cell>
        </row>
        <row r="1992">
          <cell r="B1992" t="str">
            <v>A0220400E11R11002</v>
          </cell>
          <cell r="D1992">
            <v>97029</v>
          </cell>
          <cell r="E1992">
            <v>85437099</v>
          </cell>
          <cell r="F1992" t="str">
            <v>Not applicable</v>
          </cell>
          <cell r="H1992" t="str">
            <v>Unidades para abastecimento eletrico veicular, adaptavel a parede ou à base de fixacAo de solo, em aco e plastico, com conector Tipo 2, trifasico, de potencia 22kW e corrente 32A, com "interface" de comunicacAo, com alimentacAo de 400Vac e grau de protecAo IP54 com plug de abastecimento - marca Livoltek, modelo XXXX, ano de fabricacAo YYY e numeros de serie de AAAA a BBBB</v>
          </cell>
        </row>
        <row r="1993">
          <cell r="B1993" t="str">
            <v>5635B70117</v>
          </cell>
          <cell r="D1993" t="str">
            <v>5635B70117</v>
          </cell>
          <cell r="E1993">
            <v>90282010</v>
          </cell>
          <cell r="F1993" t="str">
            <v>Not applicable</v>
          </cell>
          <cell r="H1993" t="str">
            <v>Hidrometro Ultrassonico (contador de líquido) Res.; com peso líquido unitario aproximado entre 1,5kg e 3kg; LatAo; DN25-260 mm; Q3=6,3 m³/h; R400; Pulso (ZLW-DN25)</v>
          </cell>
        </row>
        <row r="1994">
          <cell r="B1994" t="str">
            <v>565CB60002</v>
          </cell>
          <cell r="D1994" t="str">
            <v>565CB60002</v>
          </cell>
          <cell r="E1994">
            <v>90282010</v>
          </cell>
          <cell r="F1994" t="str">
            <v>Not applicable</v>
          </cell>
          <cell r="H1994" t="str">
            <v>Hidrometro Ultrassonico Ind (contador de líquidos); com peso líquido unitario entre 19kg e 24kg; Aco; DN100-250 mm; Q3=100 m³/h; R400; Pulso; MODBUS; COPASA (ZLW-DN100)</v>
          </cell>
        </row>
        <row r="1995">
          <cell r="B1995" t="str">
            <v>565AB80102</v>
          </cell>
          <cell r="D1995" t="str">
            <v>565AB80102</v>
          </cell>
          <cell r="E1995">
            <v>90282010</v>
          </cell>
          <cell r="F1995" t="str">
            <v>Not applicable</v>
          </cell>
          <cell r="G1995">
            <v>90282010</v>
          </cell>
          <cell r="H1995" t="str">
            <v>Hidrômetro ultrassônico  (contador de líquidos) industrial com carcaça de ferro fundido, diâmetro nominal de 50mm, comprimento 270 mm, vazão de 40 m3/h com saída de pulso, com peso líquido unitário aproximado entre 10,0 kg e 15,0 kg.</v>
          </cell>
        </row>
        <row r="1996">
          <cell r="B1996" t="str">
            <v>565BB50002</v>
          </cell>
          <cell r="D1996" t="str">
            <v>565BB50002</v>
          </cell>
          <cell r="E1996">
            <v>90282010</v>
          </cell>
          <cell r="F1996" t="str">
            <v>Not applicable</v>
          </cell>
          <cell r="G1996">
            <v>90282010</v>
          </cell>
          <cell r="H1996" t="str">
            <v>Hidrometro Ultrassonico Ind.(contador de líquidos); Aco; DN80-225 mm; Q3=63 m³/h; R400; Pulso; MODBUS; COPASA (ZLW-DN80) com peso líquido unitario de 13kg ate 18kg</v>
          </cell>
        </row>
        <row r="1997">
          <cell r="B1997">
            <v>2090105710</v>
          </cell>
          <cell r="D1997">
            <v>20661946</v>
          </cell>
          <cell r="E1997">
            <v>85369040</v>
          </cell>
          <cell r="F1997">
            <v>85369040</v>
          </cell>
          <cell r="G1997">
            <v>85369040</v>
          </cell>
          <cell r="H1997" t="str">
            <v>Conector para circuito impresso, com tensAo aproximada entre 0V e 20V, femea, para montagem por insercAo PTH, 1x3 pinos, distAncia entre pinos 2,54mm; dimensoes 7,62x17x2,5mm</v>
          </cell>
        </row>
        <row r="1998">
          <cell r="B1998">
            <v>2090106210</v>
          </cell>
          <cell r="D1998">
            <v>20661944</v>
          </cell>
          <cell r="E1998">
            <v>85444200</v>
          </cell>
          <cell r="F1998">
            <v>85444200</v>
          </cell>
          <cell r="G1998">
            <v>85444200</v>
          </cell>
          <cell r="H1998" t="str">
            <v>Cabo flat, condutor eletrico, com fios de 28AWG, munido de pino de conexAo, com tensAo aproximada entre 0V e 20V, comprimento de 125mm, para montagem por insercAo PTH, 1x14 pinos, distAncia entre pinos 2,54 mm</v>
          </cell>
        </row>
        <row r="1999">
          <cell r="B1999">
            <v>2090903760</v>
          </cell>
          <cell r="D1999">
            <v>20661945</v>
          </cell>
          <cell r="E1999">
            <v>85369040</v>
          </cell>
          <cell r="F1999">
            <v>85369040</v>
          </cell>
          <cell r="G1999">
            <v>85369040</v>
          </cell>
          <cell r="H1999" t="str">
            <v>Conector para circuito impresso, com tensAo aproximada entre 0V e 20V, macho, para conexAo de cabo flat, para montagem por insercAo PTH, 2x7 pinos, distAncia entre pinos 2,54mm</v>
          </cell>
        </row>
        <row r="2000">
          <cell r="B2000">
            <v>2091500170</v>
          </cell>
          <cell r="D2000">
            <v>20661943</v>
          </cell>
          <cell r="E2000">
            <v>85369040</v>
          </cell>
          <cell r="F2000">
            <v>85369040</v>
          </cell>
          <cell r="G2000">
            <v>85369040</v>
          </cell>
          <cell r="H2000" t="str">
            <v>Conector para circuito impresso, com tensAo aproximada entre 0V e 20V, macho, para montagem por insercAo PTH com dois pinos, dimensoes 10x6,7x8,8mm</v>
          </cell>
        </row>
        <row r="2001">
          <cell r="B2001">
            <v>2091500220</v>
          </cell>
          <cell r="D2001">
            <v>20661947</v>
          </cell>
          <cell r="E2001">
            <v>85369040</v>
          </cell>
          <cell r="F2001">
            <v>85369040</v>
          </cell>
          <cell r="G2001">
            <v>85369040</v>
          </cell>
          <cell r="H2001" t="str">
            <v>Conector para circuito impresso, com tensAo aproximada entre 0V e 20V, macho, para montagem por insercAo PTH com dois pinos, dimensoes 7,5x4,8x31mm</v>
          </cell>
        </row>
        <row r="2002">
          <cell r="B2002">
            <v>2100100171</v>
          </cell>
          <cell r="D2002">
            <v>20691537</v>
          </cell>
          <cell r="E2002">
            <v>85043119</v>
          </cell>
          <cell r="F2002">
            <v>85043119</v>
          </cell>
          <cell r="G2002">
            <v>85043119</v>
          </cell>
          <cell r="H2002" t="str">
            <v>Transformador eletrico de frequencia de energia com Potencia de 0,00023 kVA, para montagem por insercAo PTH, com aplicacAo em frequencia de 50 a 60 Hz, dimensoes 31x28x24 mm, PE2809-03, 230V/2x15,5V</v>
          </cell>
        </row>
        <row r="2003">
          <cell r="B2003">
            <v>2100301730</v>
          </cell>
          <cell r="D2003">
            <v>20691534</v>
          </cell>
          <cell r="E2003">
            <v>85043199</v>
          </cell>
          <cell r="F2003">
            <v>85043199</v>
          </cell>
          <cell r="G2003">
            <v>85043199</v>
          </cell>
          <cell r="H2003" t="str">
            <v>Transformador de pulso com Potencia de 0.000033 kVA e Frequencia entre 10000 a 50000Hz, para montagem em superfície SMD, capacitAncia de 3.0pF, indutAncia de 80uH, tensAo de 4000V dimensoes 8,9x5,8x5 mm</v>
          </cell>
        </row>
        <row r="2004">
          <cell r="B2004" t="str">
            <v>BLF51-5R31001</v>
          </cell>
          <cell r="D2004">
            <v>98199</v>
          </cell>
          <cell r="E2004">
            <v>85076000</v>
          </cell>
          <cell r="F2004" t="str">
            <v>Not applicable</v>
          </cell>
          <cell r="G2004">
            <v>85065090</v>
          </cell>
          <cell r="H2004" t="str">
            <v>Modulos de acumuladores eletricos de íons de lítio, com sistemas de monitoramento de baterias (BMS), para aplicacAo em sistemas de armazenamento de energia, estacionarios ou tracionarios, apresentados em involucro ou gabinete unico, com tensAo nominal de 51,2V - de forma retangular, marca Livoltek, modelo XXXX, ano de fabricacAo YYYY, numeros de serie de AAAAA a BBBBB, de volume exterior aproximado de 48.901,94cm³, com classe de protecAo IP21 e capacidade de 5kWh. Maxima corrente de carregamento e descarregamento de 100A e 6000 ciclos de vida util (BLF51-5R31001)</v>
          </cell>
        </row>
        <row r="2005">
          <cell r="B2005" t="str">
            <v>AC1-ATFR11001</v>
          </cell>
          <cell r="D2005" t="str">
            <v>PENDING</v>
          </cell>
          <cell r="E2005">
            <v>85043221</v>
          </cell>
          <cell r="F2005" t="str">
            <v>Not applicable</v>
          </cell>
          <cell r="H2005" t="str">
            <v>Autotransformador monofasico de potencia 5kVA, com frequencia nominal de saida de 60Hz, tensAo de funcionamento de 120/220V, corrente maxima de saída de 23,9A para utilizacAo em inversores "off-grid" híbridos.</v>
          </cell>
        </row>
        <row r="2006">
          <cell r="B2006">
            <v>3040103160</v>
          </cell>
          <cell r="D2006">
            <v>40273300</v>
          </cell>
          <cell r="E2006">
            <v>85444200</v>
          </cell>
          <cell r="F2006">
            <v>85444200</v>
          </cell>
          <cell r="G2006">
            <v>85444200</v>
          </cell>
          <cell r="H2006" t="str">
            <v>Terminal de corrente munido de fio rebitado para conexAo, para aplicacAo em tensAo de ate 240V, isolado para uso eletrico, em Aco carbono com tratamento de Zinco Níquel, com roscas para encaixe de parafusos, dimensoes 30x35x20 mm</v>
          </cell>
        </row>
        <row r="2007">
          <cell r="B2007">
            <v>2060900522</v>
          </cell>
          <cell r="D2007">
            <v>20680249</v>
          </cell>
          <cell r="E2007">
            <v>85412120</v>
          </cell>
          <cell r="F2007">
            <v>85412120</v>
          </cell>
          <cell r="G2007">
            <v>85412120</v>
          </cell>
          <cell r="H2007" t="str">
            <v>Dispositivo semicondutor tipo transistor, montado, proprio para montagem em superfície SMD, de capacidade de dissipacAo 0,35W</v>
          </cell>
        </row>
        <row r="2008">
          <cell r="B2008">
            <v>5111200856</v>
          </cell>
          <cell r="D2008">
            <v>40290925</v>
          </cell>
          <cell r="E2008">
            <v>73261900</v>
          </cell>
          <cell r="F2008">
            <v>73261900</v>
          </cell>
          <cell r="G2008">
            <v>73261900</v>
          </cell>
          <cell r="H2008" t="str">
            <v>Gabinete Metalico Pantheon G6; 51112-BXCH-01; em chapa de aco galvanizado, obtida por estapagem; 1,2mm; 635x342x150mm; sem cobertura; RAL-7035; com advertencia de perigo</v>
          </cell>
        </row>
        <row r="2009">
          <cell r="B2009">
            <v>3013200230</v>
          </cell>
          <cell r="D2009">
            <v>20692025</v>
          </cell>
          <cell r="E2009">
            <v>85177190</v>
          </cell>
          <cell r="F2009">
            <v>85177190</v>
          </cell>
          <cell r="G2009">
            <v>85177190</v>
          </cell>
          <cell r="H2009" t="str">
            <v>Protetor de antenas contra descargas atmosfericas, para montagem em conjunto com antena propria para modulos de comunicacAo de dados por rede sem fio, 81,5 * 62 * 25 mm, 800-1000 MHz</v>
          </cell>
        </row>
        <row r="2010">
          <cell r="B2010">
            <v>3090700080</v>
          </cell>
          <cell r="D2010">
            <v>10410702</v>
          </cell>
          <cell r="E2010">
            <v>73262000</v>
          </cell>
          <cell r="F2010">
            <v>73262000</v>
          </cell>
          <cell r="G2010">
            <v>73262000</v>
          </cell>
          <cell r="H2010" t="str">
            <v>Arame cortado em fio de aco inoxidavel para selo - Comprimento 100mm com Fios 3x0,3mm</v>
          </cell>
        </row>
        <row r="2011">
          <cell r="B2011">
            <v>3051510170</v>
          </cell>
          <cell r="C2011">
            <v>3051510170</v>
          </cell>
          <cell r="E2011">
            <v>73269090</v>
          </cell>
          <cell r="H2011" t="str">
            <v xml:space="preserve"> Kit de placa de montagem metalica SUS201 para P70 em subestacao (3051510170)</v>
          </cell>
        </row>
        <row r="2012">
          <cell r="B2012">
            <v>3051506530</v>
          </cell>
          <cell r="D2012">
            <v>20258606</v>
          </cell>
          <cell r="E2012">
            <v>73269090</v>
          </cell>
          <cell r="F2012">
            <v>73269090</v>
          </cell>
          <cell r="G2012">
            <v>73269090</v>
          </cell>
          <cell r="H2012" t="str">
            <v>Chapa em aco inoxidavel SUS304, obtida por dobragem, para AP - Dimensoes: 300mm x 115mm</v>
          </cell>
        </row>
        <row r="2013">
          <cell r="B2013">
            <v>3051506540</v>
          </cell>
          <cell r="D2013">
            <v>20221301</v>
          </cell>
          <cell r="E2013">
            <v>73261900</v>
          </cell>
          <cell r="F2013">
            <v>73261900</v>
          </cell>
          <cell r="G2013">
            <v>73261900</v>
          </cell>
          <cell r="H2013" t="str">
            <v>Fecho estampado em aco inoxidavel SUS304 - Dimensoes: 2,0mm; 345mm; 40x40mm para AP1000</v>
          </cell>
        </row>
        <row r="2014">
          <cell r="B2014">
            <v>2140500200</v>
          </cell>
          <cell r="D2014">
            <v>20690044</v>
          </cell>
          <cell r="E2014">
            <v>85442000</v>
          </cell>
          <cell r="F2014">
            <v>85442000</v>
          </cell>
          <cell r="G2014">
            <v>85442000</v>
          </cell>
          <cell r="H2014" t="str">
            <v>Cabo coaxial RF (TNC - MCX), condutor eletrico para tensAo maxima de 1.000V, isolado para uso eletrico, comprimento 400 mm,  diAmetro 2,8 mm, para frequencia de 3000 MHz</v>
          </cell>
        </row>
        <row r="2015">
          <cell r="B2015">
            <v>2140300300</v>
          </cell>
          <cell r="D2015">
            <v>20692046</v>
          </cell>
          <cell r="E2015">
            <v>85177900</v>
          </cell>
          <cell r="F2015">
            <v>85177900</v>
          </cell>
          <cell r="G2015">
            <v>85177900</v>
          </cell>
          <cell r="H2015" t="str">
            <v>Adaptador de Antena, parte para montagem de equipamentos de comunicacAo de dados - 36 * 25,4 * 25,4 mm; DC-6 MHz (2140300300)</v>
          </cell>
        </row>
        <row r="2016">
          <cell r="B2016">
            <v>5111200670</v>
          </cell>
          <cell r="D2016">
            <v>40290975</v>
          </cell>
          <cell r="E2016">
            <v>73259910</v>
          </cell>
          <cell r="F2016">
            <v>73259910</v>
          </cell>
          <cell r="H2016" t="str">
            <v>Gabinete metalico (P70), obra moldada de aco inox(SUS201), dimensoes 400 * 500 * 250 mm (5111200670)</v>
          </cell>
        </row>
        <row r="2017">
          <cell r="B2017">
            <v>2140500220</v>
          </cell>
          <cell r="D2017">
            <v>20690045</v>
          </cell>
          <cell r="E2017">
            <v>85442000</v>
          </cell>
          <cell r="F2017">
            <v>85442000</v>
          </cell>
          <cell r="G2017">
            <v>85442000</v>
          </cell>
          <cell r="H2017" t="str">
            <v>Cabo coaxial RF (MCX - N), condutor eletrico para tensAo maxima de 1.000V, isolado para uso eletrico, comprimento 400 mm,  diAmetro 2,8 mm, para frequencia de 3000 MHz</v>
          </cell>
        </row>
        <row r="2018">
          <cell r="B2018">
            <v>3013900590</v>
          </cell>
          <cell r="D2018">
            <v>20694120</v>
          </cell>
          <cell r="E2018">
            <v>85043119</v>
          </cell>
          <cell r="F2018">
            <v>85043119</v>
          </cell>
          <cell r="H2018" t="str">
            <v>Transformador eletrico de tensAo externa, de potencia 0,8kVA (800VA), de frequencia 60Hz, modelo MV JDZW-15, tensAo 13.8kV (3013900590)</v>
          </cell>
        </row>
        <row r="2019">
          <cell r="B2019">
            <v>2140500210</v>
          </cell>
          <cell r="D2019">
            <v>20690046</v>
          </cell>
          <cell r="E2019">
            <v>85442000</v>
          </cell>
          <cell r="F2019">
            <v>85442000</v>
          </cell>
          <cell r="G2019">
            <v>85442000</v>
          </cell>
          <cell r="H2019" t="str">
            <v>Cabo coaxial RF, condutor eletrico para tensAo de ate 320V, isolado para uso eletrico - (TNC - N)  550 mm F5 mm 3000 MHz (2140500210)</v>
          </cell>
        </row>
        <row r="2020">
          <cell r="B2020">
            <v>5111200660</v>
          </cell>
          <cell r="D2020">
            <v>40290965</v>
          </cell>
          <cell r="E2020">
            <v>73259910</v>
          </cell>
          <cell r="F2020">
            <v>73259910</v>
          </cell>
          <cell r="H2020" t="str">
            <v>Gabinete metalico (P60), obra moldada de aco inox(SUS201, dimensoes 300 * 300 * 250 mm (5111200660)</v>
          </cell>
        </row>
        <row r="2021">
          <cell r="B2021">
            <v>2052700030</v>
          </cell>
          <cell r="D2021">
            <v>20690394</v>
          </cell>
          <cell r="E2021">
            <v>85423939</v>
          </cell>
          <cell r="F2021">
            <v>85423939</v>
          </cell>
          <cell r="G2021">
            <v>85423939</v>
          </cell>
          <cell r="H2021" t="str">
            <v>Circuito integrado eletronico tipo regulador de tensAo Low Drop-out, montado, proprio para montagem em superfície SMD - 2,7V~36V SOT89 150mA</v>
          </cell>
        </row>
        <row r="2022">
          <cell r="B2022">
            <v>2061500120</v>
          </cell>
          <cell r="D2022">
            <v>20633774</v>
          </cell>
          <cell r="E2022">
            <v>85411022</v>
          </cell>
          <cell r="F2022">
            <v>85411022</v>
          </cell>
          <cell r="G2022">
            <v>85411022</v>
          </cell>
          <cell r="H2022" t="str">
            <v>DISPOSITIVO SEMICONDUTOR TIPO DIODO de recuperacAo rapida montado, proprio para montagem em superfície SMD, de intensidade de corrente 1A</v>
          </cell>
        </row>
        <row r="2023">
          <cell r="B2023">
            <v>2052700010</v>
          </cell>
          <cell r="D2023">
            <v>20691638</v>
          </cell>
          <cell r="E2023">
            <v>85423939</v>
          </cell>
          <cell r="F2023">
            <v>85423939</v>
          </cell>
          <cell r="G2023">
            <v>85423939</v>
          </cell>
          <cell r="H2023" t="str">
            <v>Circuito integrado eletronico tipo regulador de tensAo, montado, proprio para montagem em superfície SMD - 6,8~35V SOT-89</v>
          </cell>
        </row>
        <row r="2024">
          <cell r="B2024">
            <v>2061500080</v>
          </cell>
          <cell r="D2024">
            <v>20633771</v>
          </cell>
          <cell r="E2024">
            <v>85411022</v>
          </cell>
          <cell r="F2024">
            <v>85411022</v>
          </cell>
          <cell r="G2024">
            <v>85411022</v>
          </cell>
          <cell r="H2024" t="str">
            <v>DISPOSITIVO SEMICONDUTOR TIPO DIODO de recuperacAo rapida montado, proprio para montagem em superfície SMD, de intensidade de corrente 1A</v>
          </cell>
        </row>
        <row r="2025">
          <cell r="B2025">
            <v>2061500200</v>
          </cell>
          <cell r="D2025">
            <v>20633772</v>
          </cell>
          <cell r="E2025">
            <v>85411022</v>
          </cell>
          <cell r="F2025">
            <v>85411022</v>
          </cell>
          <cell r="G2025">
            <v>85411022</v>
          </cell>
          <cell r="H2025" t="str">
            <v>DISPOSITIVO SEMICONDUTOR TIPO DIODO schottky montado, proprio para montagem em superfície SMD, de intensidade de corrente 1A</v>
          </cell>
        </row>
        <row r="2026">
          <cell r="B2026">
            <v>2061500100</v>
          </cell>
          <cell r="D2026">
            <v>20633773</v>
          </cell>
          <cell r="E2026">
            <v>85411022</v>
          </cell>
          <cell r="F2026">
            <v>85411022</v>
          </cell>
          <cell r="G2026">
            <v>85411022</v>
          </cell>
          <cell r="H2026" t="str">
            <v>DISPOSITIVO SEMICONDUTOR TIPO DIODO de recuperacAo rapida montado, proprio para montagem em superfície SMD, de intensidade de corrente 2A</v>
          </cell>
        </row>
        <row r="2027">
          <cell r="B2027">
            <v>2011500020</v>
          </cell>
          <cell r="D2027">
            <v>20660989</v>
          </cell>
          <cell r="E2027">
            <v>85332120</v>
          </cell>
          <cell r="F2027">
            <v>85332120</v>
          </cell>
          <cell r="G2027">
            <v>85332120</v>
          </cell>
          <cell r="H2027" t="str">
            <v>Resistor proprio para montagem em superfície (SMD), encapsulamento melf 0204, resistencia 3 ohms,  tolerAncia 1por cento,  potencia 0,4 (2/5) W</v>
          </cell>
        </row>
        <row r="2028">
          <cell r="B2028">
            <v>2010104910</v>
          </cell>
          <cell r="D2028">
            <v>20660990</v>
          </cell>
          <cell r="E2028">
            <v>85332120</v>
          </cell>
          <cell r="F2028">
            <v>85332120</v>
          </cell>
          <cell r="G2028">
            <v>85332120</v>
          </cell>
          <cell r="H2028" t="str">
            <v>Resistor proprio para montagem em superfície (SMD), encapsulamento 1206, resistencia 51k ohms,  tolerAncia 1por cento,  potencia 0,25 (1/4) W</v>
          </cell>
        </row>
        <row r="2029">
          <cell r="B2029">
            <v>2052300020</v>
          </cell>
          <cell r="D2029">
            <v>20660392</v>
          </cell>
          <cell r="E2029">
            <v>85423939</v>
          </cell>
          <cell r="F2029">
            <v>85423939</v>
          </cell>
          <cell r="G2029">
            <v>85423939</v>
          </cell>
          <cell r="H2029" t="str">
            <v>Circuito integrado eletronico tipo Ponte-H driver de rele, montado, proprio para montagem em superfície SMD - SOP-8 4.5~24V.</v>
          </cell>
        </row>
        <row r="2030">
          <cell r="B2030">
            <v>2120305691</v>
          </cell>
          <cell r="D2030">
            <v>20661018</v>
          </cell>
          <cell r="E2030">
            <v>85241100</v>
          </cell>
          <cell r="F2030">
            <v>85241100</v>
          </cell>
          <cell r="G2030">
            <v>85241100</v>
          </cell>
          <cell r="H2030" t="str">
            <v>Modulo de visualizacAo de tela (ecrA) plana, de cristal líquido, sem controlador (driver) nem circuito de controle, para medidores eletronicos de energia eletrica utilizados em processo de  montagem  por insercAo (PTH), com tensAo de operacAo 3,3V e dimensoes 77 x 36 mm</v>
          </cell>
        </row>
        <row r="2031">
          <cell r="B2031">
            <v>3010912690</v>
          </cell>
          <cell r="D2031">
            <v>20691411</v>
          </cell>
          <cell r="E2031">
            <v>85363090</v>
          </cell>
          <cell r="F2031">
            <v>85363090</v>
          </cell>
          <cell r="H2031" t="str">
            <v>Protetor de Surto para circuito eletrico modelo GS-B+C/4X ,4P (3010912690)</v>
          </cell>
        </row>
        <row r="2032">
          <cell r="B2032">
            <v>8020400230</v>
          </cell>
          <cell r="D2032">
            <v>96154</v>
          </cell>
          <cell r="E2032">
            <v>84137010</v>
          </cell>
          <cell r="F2032" t="str">
            <v>Not applicable</v>
          </cell>
          <cell r="H2032" t="str">
            <v xml:space="preserve"> Eletrobomba centrífuga submersível para líquidos, de vazAo aproximada de 100 litros/minuto - HPY6-125-200-1.5</v>
          </cell>
        </row>
        <row r="2033">
          <cell r="B2033">
            <v>8020400240</v>
          </cell>
          <cell r="D2033">
            <v>96155</v>
          </cell>
          <cell r="E2033">
            <v>84137010</v>
          </cell>
          <cell r="F2033" t="str">
            <v>Not applicable</v>
          </cell>
          <cell r="H2033" t="str">
            <v xml:space="preserve"> Eletrobomba centrífuga submersível para líquidos, de vazAo aproximada de 100 litros/minuto - HGDP6-24-48_0.55</v>
          </cell>
        </row>
        <row r="2034">
          <cell r="B2034">
            <v>3024101069</v>
          </cell>
          <cell r="D2034">
            <v>20470634</v>
          </cell>
          <cell r="E2034">
            <v>39269090</v>
          </cell>
          <cell r="F2034">
            <v>39269090</v>
          </cell>
          <cell r="G2034">
            <v>39269090</v>
          </cell>
          <cell r="H2034" t="str">
            <v>BotAo de plastico, de material de policarbonato (PC+GF10+FR; PANTONE Cool Gray 1U), para comando de mostrador LCD; peso 0.78g.</v>
          </cell>
        </row>
        <row r="2035">
          <cell r="B2035">
            <v>3024100909</v>
          </cell>
          <cell r="D2035">
            <v>20470633</v>
          </cell>
          <cell r="E2035">
            <v>40169990</v>
          </cell>
          <cell r="F2035">
            <v>40169990</v>
          </cell>
          <cell r="G2035">
            <v>40169990</v>
          </cell>
          <cell r="H2035" t="str">
            <v>BotAo de borracha vulcanizada nAo endurecida para o sensor de abertura da tampa; peso 0,44g</v>
          </cell>
        </row>
        <row r="2036">
          <cell r="B2036">
            <v>5040902330</v>
          </cell>
          <cell r="D2036">
            <v>40277200</v>
          </cell>
          <cell r="E2036">
            <v>85043111</v>
          </cell>
          <cell r="F2036">
            <v>85043111</v>
          </cell>
          <cell r="G2036">
            <v>85043111</v>
          </cell>
          <cell r="H2036" t="str">
            <v>Transformador eletrico de corrente, de potencia aparente de 0,0000000625kVA e frequencia de trabalho de 60Hz, com corrente eletrica nominal de 5A e corrente eletrica maxima de 100A. RelacAo de transformacAo 5(100)A/2,5mA, classe 0,1 e resistencia de carga de 10 Ohms, acoplado em terminais de cobre munidos de pinos rígidos para conexAo, para corrente maxima de 100A, para aplicacAo em ate 240V</v>
          </cell>
        </row>
        <row r="2037">
          <cell r="B2037">
            <v>3040701980</v>
          </cell>
          <cell r="D2037">
            <v>20582800</v>
          </cell>
          <cell r="E2037">
            <v>85369090</v>
          </cell>
          <cell r="F2037">
            <v>85369090</v>
          </cell>
          <cell r="G2037">
            <v>85369090</v>
          </cell>
          <cell r="H2037" t="str">
            <v>TERMINAL DE CORRENTE, PARA CONEXAO DE CIRCUITO ELeTRICO COM TENSAO DE ATe 240V, EM LATAO H62 NIQUELADO, DIMENSoES 11,2X15,2X19mm, PESO  11,3g</v>
          </cell>
        </row>
        <row r="2038">
          <cell r="B2038">
            <v>3010502830</v>
          </cell>
          <cell r="D2038">
            <v>20291703</v>
          </cell>
          <cell r="E2038">
            <v>85444200</v>
          </cell>
          <cell r="F2038">
            <v>85444200</v>
          </cell>
          <cell r="G2038">
            <v>85444200</v>
          </cell>
          <cell r="H2038" t="str">
            <v xml:space="preserve">PONTE DE COBRE MUNIDA DE PINO RÍGIDO PARA CONEXAO, CONDUTORA ELeTRICA PARA APLICAcAO EM TENSAO DE ATe 240V, ESTANHADA, DIMENSoES 33,1x27,6x11,5mm, CORRENTE MaXIMA DE 100A </v>
          </cell>
        </row>
        <row r="2039">
          <cell r="B2039">
            <v>3020129509</v>
          </cell>
          <cell r="D2039">
            <v>20405000</v>
          </cell>
          <cell r="E2039">
            <v>90289010</v>
          </cell>
          <cell r="F2039">
            <v>90289010</v>
          </cell>
          <cell r="G2039">
            <v>90289010</v>
          </cell>
          <cell r="H2039" t="str">
            <v>Base, parte para montagem de Contadores de Eletricidade modelo HXE12DL PC+GF10+FR; PANTONE Cool Grey 1U; peso de 88,9g.</v>
          </cell>
        </row>
        <row r="2040">
          <cell r="B2040">
            <v>3020308969</v>
          </cell>
          <cell r="D2040">
            <v>20406000</v>
          </cell>
          <cell r="E2040">
            <v>90289010</v>
          </cell>
          <cell r="F2040">
            <v>90289010</v>
          </cell>
          <cell r="G2040">
            <v>90289010</v>
          </cell>
          <cell r="H2040" t="str">
            <v>Tampa, parte para montagem de Contadores de Eletricidade modelo HXE12DL, PC+GF10+FR; PANTONE Cool Grey 1U; peso 50,2g.</v>
          </cell>
        </row>
        <row r="2041">
          <cell r="B2041">
            <v>3020909949</v>
          </cell>
          <cell r="D2041">
            <v>20463300</v>
          </cell>
          <cell r="E2041">
            <v>90289010</v>
          </cell>
          <cell r="F2041">
            <v>90289010</v>
          </cell>
          <cell r="G2041">
            <v>90289010</v>
          </cell>
          <cell r="H2041" t="str">
            <v>Tampa do Bloco, parte para montagem de Contadores de Eletricidade HXE12DL, PC+FR transparente; peso 22,6g.</v>
          </cell>
        </row>
        <row r="2042">
          <cell r="B2042">
            <v>3021301639</v>
          </cell>
          <cell r="D2042">
            <v>20456000</v>
          </cell>
          <cell r="E2042">
            <v>90289010</v>
          </cell>
          <cell r="F2042">
            <v>90289010</v>
          </cell>
          <cell r="G2042">
            <v>90289010</v>
          </cell>
          <cell r="H2042" t="str">
            <v>Peca Superior do Bloco de terminais, parte para montagem de Contadores de Eletricidade HXE12DL, PC+GF10+FR; PANTONE Cool Grey 1U; peso 2,87g.</v>
          </cell>
        </row>
        <row r="2043">
          <cell r="B2043">
            <v>3021500969</v>
          </cell>
          <cell r="D2043">
            <v>20456001</v>
          </cell>
          <cell r="E2043">
            <v>90289010</v>
          </cell>
          <cell r="F2043">
            <v>90289010</v>
          </cell>
          <cell r="G2043">
            <v>90289010</v>
          </cell>
          <cell r="H2043" t="str">
            <v>Peca Inferior do Bloco de terminais, parte para montagem de Contadores de Eletricidade HXE12DL, PC+GF10+FR; PANTONE Cool Grey 1U; peso 12,95g.</v>
          </cell>
        </row>
        <row r="2044">
          <cell r="B2044">
            <v>3022102499</v>
          </cell>
          <cell r="D2044">
            <v>20407000</v>
          </cell>
          <cell r="E2044">
            <v>90289010</v>
          </cell>
          <cell r="F2044">
            <v>90289010</v>
          </cell>
          <cell r="G2044">
            <v>90289010</v>
          </cell>
          <cell r="H2044" t="str">
            <v>Visor transparente, parte para montagem de Contadores de Eletricidade HXE12DL, PC+FR; transparente; peso 17,0g.</v>
          </cell>
        </row>
        <row r="2045">
          <cell r="B2045">
            <v>5040103060</v>
          </cell>
          <cell r="D2045">
            <v>40277100</v>
          </cell>
          <cell r="E2045">
            <v>90289010</v>
          </cell>
          <cell r="F2045">
            <v>90289010</v>
          </cell>
          <cell r="G2045">
            <v>90289010</v>
          </cell>
          <cell r="H2045" t="str">
            <v>Tampa com visor transparente, parte para montagem de Contadores de Eletricidade modelo HXE12DL, PC+GF10+FR; PANTONE Cool Grey 1U</v>
          </cell>
        </row>
        <row r="2046">
          <cell r="B2046">
            <v>3030501480</v>
          </cell>
          <cell r="D2046">
            <v>21100300</v>
          </cell>
          <cell r="E2046">
            <v>73181500</v>
          </cell>
          <cell r="F2046">
            <v>73181500</v>
          </cell>
          <cell r="G2046">
            <v>73181500</v>
          </cell>
          <cell r="H2046" t="str">
            <v>Parafuso M4*12mm de materia-prima base em aco baixo carbono (1022), de processo de fabricacAo por usinagem e acabamento superficial zinco cromado trivalente, cabeca cilíndrica com fenda cruzada e diAmetro de 6mm; Ranhura composta de onze formas</v>
          </cell>
        </row>
        <row r="2047">
          <cell r="B2047">
            <v>3030503330</v>
          </cell>
          <cell r="D2047">
            <v>21100400</v>
          </cell>
          <cell r="E2047">
            <v>73181500</v>
          </cell>
          <cell r="F2047">
            <v>73181500</v>
          </cell>
          <cell r="G2047">
            <v>73181500</v>
          </cell>
          <cell r="H2047" t="str">
            <v>Parafuso M4*12mm de materia-prima base em Aco baixo carbono (1022), de processo de fabricacAo por usinagem e acabamento superficial Zinco cromado trivalente, Cabeca cilíndrica com fenda cruzada e diAmetro de 6mm; Ranhura em forma de S</v>
          </cell>
        </row>
        <row r="2048">
          <cell r="B2048">
            <v>3040303000</v>
          </cell>
          <cell r="D2048">
            <v>20293100</v>
          </cell>
          <cell r="E2048">
            <v>85444200</v>
          </cell>
          <cell r="F2048">
            <v>85444200</v>
          </cell>
          <cell r="G2048">
            <v>85444200</v>
          </cell>
          <cell r="H2048" t="str">
            <v>PONTE DE COBRE MUNIDA DE PINO RÍGIDO PARA CONEXAO, CONDUTORA ELeTRICA PARA APLICAcAO EM ATe TENSAO DE ATe 240V, ESTANHADA, DIMENSoES 7.8X60.6+46.7X50.4mm, CORRENTE MaXIMA DE 100A</v>
          </cell>
        </row>
        <row r="2049">
          <cell r="B2049" t="str">
            <v>HXWSG100.R310</v>
          </cell>
          <cell r="D2049">
            <v>20694432</v>
          </cell>
          <cell r="E2049">
            <v>85176294</v>
          </cell>
          <cell r="F2049">
            <v>85176294</v>
          </cell>
          <cell r="G2049">
            <v>85176294</v>
          </cell>
          <cell r="H2049" t="str">
            <v>Conversores de protocolo para interconexAo de redes de radio frequencia, para comunicacAo bidirecional de dados sem fio (recepcAo, conversAo e transmissAo), digitais, emissores de radio frequencia com receptor incorporado, capazes de operar na faixa ISM</v>
          </cell>
        </row>
        <row r="2050">
          <cell r="B2050">
            <v>3030900500</v>
          </cell>
          <cell r="D2050">
            <v>20264105</v>
          </cell>
          <cell r="E2050">
            <v>74153300</v>
          </cell>
          <cell r="F2050">
            <v>74153300</v>
          </cell>
          <cell r="G2050">
            <v>74153300</v>
          </cell>
          <cell r="H2050" t="str">
            <v>Porca M4 em latAo (liga de cobrezinco) com diAmetro de 5,8 mm HPb59-1.</v>
          </cell>
        </row>
        <row r="2051">
          <cell r="B2051">
            <v>3040900200</v>
          </cell>
          <cell r="D2051">
            <v>20290817</v>
          </cell>
          <cell r="E2051">
            <v>90289010</v>
          </cell>
          <cell r="F2051">
            <v>90289010</v>
          </cell>
          <cell r="G2051">
            <v>90289010</v>
          </cell>
          <cell r="H2051" t="str">
            <v>CONECTOR METaLICO PARA PORTA DE COMUNICAcAO oPTICA, PARTE PARA MONTAGEM DE CONTADORES DE ELETRICIDADE</v>
          </cell>
        </row>
        <row r="2052">
          <cell r="B2052">
            <v>5070000540</v>
          </cell>
          <cell r="D2052">
            <v>20694424</v>
          </cell>
          <cell r="E2052">
            <v>85176272</v>
          </cell>
          <cell r="F2052">
            <v>85176272</v>
          </cell>
          <cell r="G2052">
            <v>85176272</v>
          </cell>
          <cell r="H2052" t="str">
            <v>Modulos de roteadores de borda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AP3.0, operando em topologia "Mesh" ou "Estrela" com espalhamento espectral por salto em frequencia (FHSS), enderecamento IPv6 e potencia de transmissAo de ate +30dBm.</v>
          </cell>
        </row>
        <row r="2053">
          <cell r="B2053">
            <v>5094000230</v>
          </cell>
          <cell r="D2053">
            <v>20694425</v>
          </cell>
          <cell r="E2053">
            <v>85176272</v>
          </cell>
          <cell r="F2053">
            <v>85176272</v>
          </cell>
          <cell r="G2053">
            <v>85176272</v>
          </cell>
          <cell r="H2053" t="str">
            <v>Modulos de roteadores de borda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Relay 3.0, operando em topologia "Mesh" ou "Estrela" com espalhamento espectral por salto em frequencia (FHSS), enderecamento IPv6 e potencia de transmissAo de ate +30dBm.</v>
          </cell>
        </row>
        <row r="2054">
          <cell r="B2054" t="str">
            <v>MJN16R31202</v>
          </cell>
          <cell r="D2054" t="str">
            <v>206913A6</v>
          </cell>
          <cell r="E2054">
            <v>85176272</v>
          </cell>
          <cell r="F2054">
            <v>85176272</v>
          </cell>
          <cell r="G2054">
            <v>85176272</v>
          </cell>
          <cell r="H2054" t="str">
            <v>Modulos de roteadores de borda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Relay 3.0, operando em topologia "Mesh" ou "Estrela" com espalhamento espectral por salto em frequencia (FHSS), enderecamento IPv6 e potencia de transmissAo de ate +30dBm.</v>
          </cell>
        </row>
        <row r="2055">
          <cell r="B2055" t="str">
            <v>5634B30118</v>
          </cell>
          <cell r="D2055" t="str">
            <v>5634B30118</v>
          </cell>
          <cell r="E2055">
            <v>90282010</v>
          </cell>
          <cell r="F2055" t="str">
            <v>Not applicable</v>
          </cell>
          <cell r="G2055">
            <v>90282010</v>
          </cell>
          <cell r="H2055" t="str">
            <v>Hidrometro (contador de líquidos) ultrassonico residencial, de peso líquido unitario aproximado entre 1kg e 2,5 kgs;  LatAo; DN20-190 mm; Q3=4 m³/h; R400; Pulso (ZLW-DN20)</v>
          </cell>
        </row>
        <row r="2056">
          <cell r="B2056" t="str">
            <v>5633B30118</v>
          </cell>
          <cell r="D2056" t="str">
            <v>5633B30118</v>
          </cell>
          <cell r="E2056">
            <v>90282010</v>
          </cell>
          <cell r="F2056" t="str">
            <v>Not applicable</v>
          </cell>
          <cell r="G2056">
            <v>90282010</v>
          </cell>
          <cell r="H2056" t="str">
            <v>Hidrometro (contador de líquidos) ultrassonico residencial, de peso líquido unitario aproximado entre 1kg e 2,5 kgs; LatAo; DN20-190 mm; Q3=2,5 m³/h; R400; Pulso (ZLW-DN20)</v>
          </cell>
        </row>
        <row r="2057">
          <cell r="B2057" t="str">
            <v>5636B70118</v>
          </cell>
          <cell r="D2057" t="str">
            <v>5636B70118</v>
          </cell>
          <cell r="E2057">
            <v>90282010</v>
          </cell>
          <cell r="F2057" t="str">
            <v>Not applicable</v>
          </cell>
          <cell r="G2057">
            <v>90282010</v>
          </cell>
          <cell r="H2057" t="str">
            <v>Hidrometro (contador de líquidos) ultrassonico residencial, de peso líquido unitario aproximado entre 1,3 kg e 2,8 kgs; LatAo; DN25-260 mm; Q3=10 m³/h; R400; Pulso (ZLW-DN25)</v>
          </cell>
        </row>
        <row r="2058">
          <cell r="B2058">
            <v>5636870121</v>
          </cell>
          <cell r="D2058">
            <v>5636870121</v>
          </cell>
          <cell r="E2058">
            <v>90282010</v>
          </cell>
          <cell r="F2058" t="str">
            <v>Not applicable</v>
          </cell>
          <cell r="G2058">
            <v>90282010</v>
          </cell>
          <cell r="H2058" t="str">
            <v>Hidrometro (contador de líquidos) ultrassonico residencial, de peso líquido unitario aproximado entre 1,5 kg e 3 kgs; LatAo; DN25-260 mm; Q3=10 m³/h; R200; Pulso (ZLW-DN25)</v>
          </cell>
        </row>
        <row r="2059">
          <cell r="B2059" t="str">
            <v>565BB50021</v>
          </cell>
          <cell r="D2059" t="str">
            <v>565BB50021</v>
          </cell>
          <cell r="E2059">
            <v>90282010</v>
          </cell>
          <cell r="F2059" t="str">
            <v>Not applicable</v>
          </cell>
          <cell r="G2059">
            <v>90282010</v>
          </cell>
          <cell r="H2059" t="str">
            <v xml:space="preserve">	Hidrometro (contador de líquidos) ultrassonico industrial, de peso líquido unitario aproximado entre 9 kgs e 14 kgs; Aco; DN80-225 mm; Q3=63 m³/h; R400; Pulso; MODBUS (ZLW-DN80)</v>
          </cell>
        </row>
        <row r="2060">
          <cell r="B2060" t="str">
            <v>DN80 flange</v>
          </cell>
          <cell r="D2060">
            <v>2570</v>
          </cell>
          <cell r="E2060">
            <v>73072100</v>
          </cell>
          <cell r="F2060" t="str">
            <v>Not applicable</v>
          </cell>
          <cell r="G2060">
            <v>73072100</v>
          </cell>
          <cell r="H2060" t="str">
            <v>Flange DN80, em aco inoxidavel, nAo moldada, para uniAo de tubos por contato</v>
          </cell>
        </row>
        <row r="2061">
          <cell r="B2061" t="str">
            <v>HXCUJR13000</v>
          </cell>
          <cell r="D2061">
            <v>20696015</v>
          </cell>
          <cell r="E2061">
            <v>85177900</v>
          </cell>
          <cell r="F2061" t="str">
            <v>Not applicable</v>
          </cell>
          <cell r="G2061">
            <v>85177900</v>
          </cell>
          <cell r="H2061" t="str">
            <v>CONECTOR FOTOELETRICO PARA TRANSMISSAO DE DADOS, PARTE PARA MONTAGEM DE APARELHOS DE COMUNICACAO DE DADOS POR REDE COM OU SEM FIO</v>
          </cell>
        </row>
        <row r="2062">
          <cell r="B2062">
            <v>2140500060</v>
          </cell>
          <cell r="D2062">
            <v>20292105</v>
          </cell>
          <cell r="E2062">
            <v>73269090</v>
          </cell>
          <cell r="F2062">
            <v>73269090</v>
          </cell>
          <cell r="G2062">
            <v>73269090</v>
          </cell>
          <cell r="H2062" t="str">
            <v>Suporte em aco inoxidavel SUS304, obtido por dobragem, para antena - Dimensoes: 224 x 60 x 102mm</v>
          </cell>
        </row>
        <row r="2063">
          <cell r="B2063" t="str">
            <v>TVL62565DBVR</v>
          </cell>
          <cell r="D2063" t="str">
            <v>PENDING</v>
          </cell>
          <cell r="E2063">
            <v>85423939</v>
          </cell>
          <cell r="F2063" t="str">
            <v>Not applicable</v>
          </cell>
          <cell r="G2063">
            <v>85423939</v>
          </cell>
          <cell r="H2063" t="str">
            <v>Circuito integrado eletronico tipo regulador de tensAo, montado, proprio para montagem em superfície SMD - regulador de tensAo buck de chaveamento Positivo Ajustavel 0,6V 1 Saída 1,5A SC-74A, encapsulamento SOT-753</v>
          </cell>
        </row>
        <row r="2064">
          <cell r="B2064" t="str">
            <v>LD1086DT33TR</v>
          </cell>
          <cell r="D2064" t="str">
            <v>PENDING</v>
          </cell>
          <cell r="E2064">
            <v>85423939</v>
          </cell>
          <cell r="F2064" t="str">
            <v>Not applicable</v>
          </cell>
          <cell r="G2064">
            <v>85423939</v>
          </cell>
          <cell r="H2064" t="str">
            <v>Circuito integrado eletronico tipo regulador de tensAo, montado, proprio para montagem em superfície SMD - regulador de tensAo linear Positivo Fixo 1 Saída 1,5A encapsulamento DPAK</v>
          </cell>
        </row>
        <row r="2065">
          <cell r="B2065" t="str">
            <v>M24128-BRMN6TP</v>
          </cell>
          <cell r="D2065" t="str">
            <v>PENDING</v>
          </cell>
          <cell r="E2065">
            <v>85423221</v>
          </cell>
          <cell r="F2065" t="str">
            <v>Not applicable</v>
          </cell>
          <cell r="G2065">
            <v>85423221</v>
          </cell>
          <cell r="H2065" t="str">
            <v xml:space="preserve">Circuito integrado eletronico de memoria tipo EEPROM, de capacidade de memoria 128KBytes, montado, proprio para montagem em superfície SMD - (16K x 8) I²C 1 MHz 450 ns SOIC-8 </v>
          </cell>
        </row>
        <row r="2066">
          <cell r="B2066" t="str">
            <v>FOD3182SD</v>
          </cell>
          <cell r="D2066" t="str">
            <v>PENDING</v>
          </cell>
          <cell r="E2066">
            <v>85423939</v>
          </cell>
          <cell r="F2066" t="str">
            <v>Not applicable</v>
          </cell>
          <cell r="G2066">
            <v>85423939</v>
          </cell>
          <cell r="H2066" t="str">
            <v>Circuito integrado eletronico tipo optoacoplador, montado, proprio para montagem em superfície SMD - 3A Acionador de porta Acoplamento optico 5000Vrms 1 Canal 8-SMD</v>
          </cell>
        </row>
        <row r="2067">
          <cell r="B2067">
            <v>5040902320</v>
          </cell>
          <cell r="D2067">
            <v>40277201</v>
          </cell>
          <cell r="E2067">
            <v>85444200</v>
          </cell>
          <cell r="F2067">
            <v>85444200</v>
          </cell>
          <cell r="G2067">
            <v>85444200</v>
          </cell>
          <cell r="H2067" t="str">
            <v>CONJUNTO DE PONTES DE COBRE MUNIDAS DE PINO RÍGIDO PARA CONEXAO, CONDUTORA ELeTRICA PARA APLICAcAO EM ATe TENSAO DE ATe 240V, ESTANHADA, CORRENTE MaXIMA DE 100A</v>
          </cell>
        </row>
        <row r="2068">
          <cell r="B2068">
            <v>4020501650</v>
          </cell>
          <cell r="D2068">
            <v>96195</v>
          </cell>
          <cell r="E2068">
            <v>84799090</v>
          </cell>
          <cell r="F2068" t="str">
            <v>Not applicable</v>
          </cell>
          <cell r="G2068">
            <v>84799090</v>
          </cell>
          <cell r="H2068" t="str">
            <v>Cabo de cAmera, parte para uso em maquina de insercAo automatica de componentes eletronicos SM471 por montagem em superfície SMD (ref.4020501650)</v>
          </cell>
        </row>
        <row r="2069">
          <cell r="B2069">
            <v>4020407760</v>
          </cell>
          <cell r="D2069">
            <v>91858</v>
          </cell>
          <cell r="E2069">
            <v>84799090</v>
          </cell>
          <cell r="F2069" t="str">
            <v>Not applicable</v>
          </cell>
          <cell r="G2069">
            <v>84799090</v>
          </cell>
          <cell r="H2069" t="str">
            <v>Espelho de vidro nAo emoldurado, parte para uso em maquina de insercAo automatica de componentes eletronicos SM471 por montagem em superfície SMD (ref.4020407760)</v>
          </cell>
        </row>
        <row r="2070">
          <cell r="B2070">
            <v>4020408920</v>
          </cell>
          <cell r="D2070">
            <v>27328</v>
          </cell>
          <cell r="E2070">
            <v>84818092</v>
          </cell>
          <cell r="F2070" t="str">
            <v>Not applicable</v>
          </cell>
          <cell r="G2070">
            <v>84818092</v>
          </cell>
          <cell r="H2070" t="str">
            <v>Valvula Solenoide para canalizacAo de fluidos - EMX 08-T/C (ref.4020408920)</v>
          </cell>
        </row>
        <row r="2071">
          <cell r="B2071">
            <v>4020406880</v>
          </cell>
          <cell r="C2071">
            <v>4020406880</v>
          </cell>
          <cell r="D2071">
            <v>89727</v>
          </cell>
          <cell r="E2071">
            <v>84799090</v>
          </cell>
          <cell r="F2071" t="str">
            <v>Not applicable</v>
          </cell>
          <cell r="G2071">
            <v>84799090</v>
          </cell>
          <cell r="H2071" t="str">
            <v>HASTE DO BICO DO EIXO Z, parte para uso em maquina de insercAo automatica de componentes eletronicos SM482 por montagem em superfície SMD - MC13-000124 (ref.4020406880)</v>
          </cell>
        </row>
        <row r="2072">
          <cell r="B2072">
            <v>7070500300</v>
          </cell>
          <cell r="D2072">
            <v>96197</v>
          </cell>
          <cell r="E2072">
            <v>85176234</v>
          </cell>
          <cell r="F2072" t="str">
            <v>Not applicable</v>
          </cell>
          <cell r="G2072">
            <v>85176234</v>
          </cell>
          <cell r="H2072" t="str">
            <v>Aparelho para comutacAo de pacotes de dados (switch), recepcAo, conversAo e transmissAo de dados - Load Balance Layer 7 (ref.7070500300)</v>
          </cell>
        </row>
        <row r="2073">
          <cell r="B2073">
            <v>4020401650</v>
          </cell>
          <cell r="D2073">
            <v>96196</v>
          </cell>
          <cell r="E2073">
            <v>84799090</v>
          </cell>
          <cell r="F2073" t="str">
            <v>Not applicable</v>
          </cell>
          <cell r="G2073">
            <v>84799090</v>
          </cell>
          <cell r="H2073" t="str">
            <v>Motor EP08-000007, parte para uso em maquina de insercAo automatica de componentes eletronicos por montagem em superfície SMD (ref.4020401650)</v>
          </cell>
        </row>
        <row r="2074">
          <cell r="B2074">
            <v>4020409280</v>
          </cell>
          <cell r="D2074" t="str">
            <v>PENDING</v>
          </cell>
          <cell r="E2074">
            <v>84799090</v>
          </cell>
          <cell r="F2074" t="str">
            <v>Not applicable</v>
          </cell>
          <cell r="H2074" t="str">
            <v>Abracadeira em Aco Inox, parte para uso em maquina de aplicacAo de pasta de solda em circuitos impressos- 4mm*360mm (4020409280)</v>
          </cell>
        </row>
        <row r="2075">
          <cell r="B2075">
            <v>4039806650</v>
          </cell>
          <cell r="D2075">
            <v>64799</v>
          </cell>
          <cell r="E2075">
            <v>84689090</v>
          </cell>
          <cell r="F2075" t="str">
            <v>Not applicable</v>
          </cell>
          <cell r="H2075" t="str">
            <v>Bandeja de fibra de vidro para uso em forno de soldagem de componentes eletronicos (ref. 4039806650)</v>
          </cell>
        </row>
        <row r="2076">
          <cell r="B2076">
            <v>4010200480</v>
          </cell>
          <cell r="D2076">
            <v>92273</v>
          </cell>
          <cell r="E2076">
            <v>85152900</v>
          </cell>
          <cell r="F2076" t="str">
            <v>Not applicable</v>
          </cell>
          <cell r="G2076">
            <v>85152900</v>
          </cell>
          <cell r="H2076" t="str">
            <v>Aparelho de Solda por Resistencia Quick 203, manual, para solda de metais - 220V, 60W (ref.4010200480)</v>
          </cell>
        </row>
        <row r="2077">
          <cell r="B2077">
            <v>4010200100</v>
          </cell>
          <cell r="D2077">
            <v>4865</v>
          </cell>
          <cell r="E2077">
            <v>82032010</v>
          </cell>
          <cell r="F2077" t="str">
            <v>Not applicable</v>
          </cell>
          <cell r="H2077" t="str">
            <v>Alicate de corte diagonal PL-726, manual (ref.4010200100)</v>
          </cell>
        </row>
        <row r="2078">
          <cell r="B2078">
            <v>4020800040</v>
          </cell>
          <cell r="D2078">
            <v>96222</v>
          </cell>
          <cell r="E2078">
            <v>84679900</v>
          </cell>
          <cell r="F2078" t="str">
            <v>Not applicable</v>
          </cell>
          <cell r="H2078" t="str">
            <v>Bits de diAmetro 5.00 X 60 mm, para uso em parafusadeira manual com motor eletrico incorporado (ref.4020800040)</v>
          </cell>
        </row>
        <row r="2079">
          <cell r="B2079">
            <v>4039805530</v>
          </cell>
          <cell r="D2079">
            <v>96223</v>
          </cell>
          <cell r="E2079">
            <v>85159000</v>
          </cell>
          <cell r="F2079" t="str">
            <v>Not applicable</v>
          </cell>
          <cell r="H2079" t="str">
            <v>Sonotrodo de dimensoes 130*110*170mm, para uso em maquina de soldagem por ultrassom (ref.4039805530)</v>
          </cell>
        </row>
        <row r="2080">
          <cell r="B2080">
            <v>4039805520</v>
          </cell>
          <cell r="D2080">
            <v>96224</v>
          </cell>
          <cell r="E2080">
            <v>85159000</v>
          </cell>
          <cell r="F2080" t="str">
            <v>Not applicable</v>
          </cell>
          <cell r="H2080" t="str">
            <v>Sonotrodo de dimensoes 150*180*50mm, para uso em maquina de soldagem por ultrassom (ref.4039805520)</v>
          </cell>
        </row>
        <row r="2081">
          <cell r="B2081">
            <v>4039807880</v>
          </cell>
          <cell r="D2081">
            <v>96225</v>
          </cell>
          <cell r="E2081">
            <v>85159000</v>
          </cell>
          <cell r="F2081" t="str">
            <v>Not applicable</v>
          </cell>
          <cell r="H2081" t="str">
            <v>Sonotrodo de dimensoes 210*190*165mm, para uso em maquina de soldagem por ultrassom (ref.4039807880)</v>
          </cell>
        </row>
        <row r="2082">
          <cell r="B2082">
            <v>4039807890</v>
          </cell>
          <cell r="D2082">
            <v>96226</v>
          </cell>
          <cell r="E2082">
            <v>85159000</v>
          </cell>
          <cell r="F2082" t="str">
            <v>Not applicable</v>
          </cell>
          <cell r="H2082" t="str">
            <v>Sonotrodo de dimensoes 210*190*50mm, para uso em maquina de soldagem por ultrassom (ref.4039807890)</v>
          </cell>
        </row>
        <row r="2083">
          <cell r="B2083">
            <v>7020824511</v>
          </cell>
          <cell r="D2083">
            <v>96228</v>
          </cell>
          <cell r="E2083">
            <v>84807100</v>
          </cell>
          <cell r="F2083" t="str">
            <v>Not applicable</v>
          </cell>
          <cell r="H2083" t="str">
            <v>Molde para moldagem por injecAo, para materiais plasicos de policarbonato; Base HLD-S22068 (ref.7020824511)</v>
          </cell>
        </row>
        <row r="2084">
          <cell r="B2084">
            <v>7020824521</v>
          </cell>
          <cell r="D2084">
            <v>96229</v>
          </cell>
          <cell r="E2084">
            <v>84807100</v>
          </cell>
          <cell r="F2084" t="str">
            <v>Not applicable</v>
          </cell>
          <cell r="H2084" t="str">
            <v>Molde para moldagem por injecAo, para materiais plasicos de policarbonato; Placa ID HLD-S22069 (ref.7020824521)</v>
          </cell>
        </row>
        <row r="2085">
          <cell r="B2085">
            <v>7020824531</v>
          </cell>
          <cell r="D2085">
            <v>96230</v>
          </cell>
          <cell r="E2085">
            <v>84807100</v>
          </cell>
          <cell r="F2085" t="str">
            <v>Not applicable</v>
          </cell>
          <cell r="H2085" t="str">
            <v>Molde para moldagem por injecAo, para materiais plasicos de policarbonato; LCD HLD-S22070 (ref.7020824531)</v>
          </cell>
        </row>
        <row r="2086">
          <cell r="B2086">
            <v>7020824541</v>
          </cell>
          <cell r="D2086">
            <v>96231</v>
          </cell>
          <cell r="E2086">
            <v>84807100</v>
          </cell>
          <cell r="F2086" t="str">
            <v>Not applicable</v>
          </cell>
          <cell r="H2086" t="str">
            <v>Molde para moldagem por injecAo, para materiais plasicos de policarbonato; Tampa do Bloco HLD-S22071 (ref.7020824541)</v>
          </cell>
        </row>
        <row r="2087">
          <cell r="B2087">
            <v>3990012730</v>
          </cell>
          <cell r="D2087">
            <v>20603100</v>
          </cell>
          <cell r="E2087">
            <v>85043111</v>
          </cell>
          <cell r="F2087">
            <v>85043111</v>
          </cell>
          <cell r="G2087">
            <v>85043111</v>
          </cell>
          <cell r="H2087" t="str">
            <v>Transformador eletrico de corrente bipartido, de potencia 2,5VA (0,0025kVA), para frequencia de 60 Hz, relacAo de transformacAo 500/5 classe 0.5 com derivacAo p/ medicAo de tensAo</v>
          </cell>
        </row>
        <row r="2088">
          <cell r="B2088">
            <v>3013601960</v>
          </cell>
          <cell r="D2088">
            <v>20603104</v>
          </cell>
          <cell r="E2088">
            <v>85043111</v>
          </cell>
          <cell r="F2088">
            <v>85043111</v>
          </cell>
          <cell r="H2088" t="str">
            <v xml:space="preserve">Transformador de corrente bipartido de potencia 2,5VA (0,0025kVA), para frequencia de 60 Hz, relacAo de transformacAo 500/5 classe 0.5 com derivacAo p/ medicAo de tensAo e cabo secundario do transformador de corrente com 3,5m. </v>
          </cell>
        </row>
        <row r="2089">
          <cell r="B2089">
            <v>3013601340</v>
          </cell>
          <cell r="D2089">
            <v>20603101</v>
          </cell>
          <cell r="E2089">
            <v>85043111</v>
          </cell>
          <cell r="F2089">
            <v>85043111</v>
          </cell>
          <cell r="G2089">
            <v>85043111</v>
          </cell>
          <cell r="H2089" t="str">
            <v>Transformador eletrico de corrente bipartido, de potencia 0,001kVA, para frequencia de 60 Hz, relacAo de transformacAo 200/1 classe 1.0 com derivacAo p/ medicAo de tensAo</v>
          </cell>
        </row>
        <row r="2090">
          <cell r="B2090">
            <v>2061500060</v>
          </cell>
          <cell r="D2090">
            <v>20630210</v>
          </cell>
          <cell r="E2090">
            <v>85411022</v>
          </cell>
          <cell r="F2090">
            <v>85411022</v>
          </cell>
          <cell r="G2090">
            <v>85411022</v>
          </cell>
          <cell r="H2090" t="str">
            <v>Dispositivo semicondutor tipo diodo schottky montado, proprio para montagem em superfície SMD; de intensidade de corrente  0,2A</v>
          </cell>
        </row>
        <row r="2091">
          <cell r="B2091">
            <v>2060101717</v>
          </cell>
          <cell r="D2091">
            <v>20630211</v>
          </cell>
          <cell r="E2091">
            <v>85411022</v>
          </cell>
          <cell r="F2091">
            <v>85411022</v>
          </cell>
          <cell r="G2091">
            <v>85411022</v>
          </cell>
          <cell r="H2091" t="str">
            <v>Dispositivo semicondutor tipo diodo schottky montado, proprio para montagem em superfície SMD; de intensidade de corrente 0,2A</v>
          </cell>
        </row>
        <row r="2092">
          <cell r="B2092">
            <v>3040501720</v>
          </cell>
          <cell r="D2092">
            <v>40272203</v>
          </cell>
          <cell r="E2092">
            <v>85444200</v>
          </cell>
          <cell r="F2092">
            <v>85444200</v>
          </cell>
          <cell r="G2092">
            <v>85444200</v>
          </cell>
          <cell r="H2092" t="str">
            <v>Fio condutor eletrico, munido de terminal para conexAo, para tensAo de ate 240V, isolado para uso eletrico, com isolacAo na cor vermelha, comprimento do fio de 130mm, terminal para conexAo com dimensoes de 4.1x5.1x19.5mm</v>
          </cell>
        </row>
        <row r="2093">
          <cell r="B2093">
            <v>3040501740</v>
          </cell>
          <cell r="D2093">
            <v>40272204</v>
          </cell>
          <cell r="E2093">
            <v>85444200</v>
          </cell>
          <cell r="F2093">
            <v>85444200</v>
          </cell>
          <cell r="G2093">
            <v>85444200</v>
          </cell>
          <cell r="H2093" t="str">
            <v>Fio condutor eletrico, munido de terminal para conexAo, para tensAo de ate 240V, isolado para uso eletrico, com isolacAo na cor preta, comprimento do fio de 130mm, terminal para conexAo com dimensoes de 4.1x5.1x19.5mm</v>
          </cell>
        </row>
        <row r="2094">
          <cell r="B2094">
            <v>3040502100</v>
          </cell>
          <cell r="D2094">
            <v>40272508</v>
          </cell>
          <cell r="E2094">
            <v>85369090</v>
          </cell>
          <cell r="F2094">
            <v>85369090</v>
          </cell>
          <cell r="G2094">
            <v>85369090</v>
          </cell>
          <cell r="H2094" t="str">
            <v>TERMINAL DE TENSAO, PARA CONEXAO DE CIRCUITO ELeTRICO COM TENSAO DE ATe 240V, EM LATAO Hpb59-1 ESTANHADO, DIMENSoES 23x6x8mm, COM FIO ISOLADO, COM ISOLAcAO DE COR AMARELA, DE COMPRIMENTO 140mm</v>
          </cell>
        </row>
        <row r="2095">
          <cell r="B2095">
            <v>3040502110</v>
          </cell>
          <cell r="D2095">
            <v>40272509</v>
          </cell>
          <cell r="E2095">
            <v>85369090</v>
          </cell>
          <cell r="F2095">
            <v>85369090</v>
          </cell>
          <cell r="G2095">
            <v>85369090</v>
          </cell>
          <cell r="H2095" t="str">
            <v>TERMINAL DE TENSAO, PARA CONEXAO DE CIRCUITO ELeTRICO COM TENSAO DE ATe 240V, EM LATAO Hpb59-1 ESTANHADO, DIMENSoES 23x6x8mm, COM FIO ISOLADO, COM ISOLAcAO DE COR VERDE, DE COMPRIMENTO 140mm</v>
          </cell>
        </row>
        <row r="2096">
          <cell r="B2096">
            <v>3040502120</v>
          </cell>
          <cell r="D2096">
            <v>40272510</v>
          </cell>
          <cell r="E2096">
            <v>85369090</v>
          </cell>
          <cell r="F2096">
            <v>85369090</v>
          </cell>
          <cell r="G2096">
            <v>85369090</v>
          </cell>
          <cell r="H2096" t="str">
            <v>TERMINAL DE TENSAO, PARA CONEXAO DE CIRCUITO ELeTRICO COM TENSAO DE ATe 240V, EM LATAO Hpb59-1 ESTANHADO, DIMENSoES 23x6x8mm, COM FIO ISOLADO, COM ISOLAcAO DE COR VERMELHO, DE COMPRIMENTO 140mm</v>
          </cell>
        </row>
        <row r="2097">
          <cell r="B2097">
            <v>3040502130</v>
          </cell>
          <cell r="D2097">
            <v>40272511</v>
          </cell>
          <cell r="E2097">
            <v>85369090</v>
          </cell>
          <cell r="F2097">
            <v>85369090</v>
          </cell>
          <cell r="G2097">
            <v>85369090</v>
          </cell>
          <cell r="H2097" t="str">
            <v>TERMINAL DE TENSAO, PARA CONEXAO DE CIRCUITO ELeTRICO COM TENSAO DE ATe 240V, EM LATAO Hpb59-1 ESTANHADO, DIMENSoES 23x6x8mm, COM FIO ISOLADO, COM ISOLAcAO DE COR PRETO, DE COMPRIMENTO 140mm</v>
          </cell>
        </row>
        <row r="2098">
          <cell r="B2098">
            <v>3040501750</v>
          </cell>
          <cell r="D2098">
            <v>40272205</v>
          </cell>
          <cell r="E2098">
            <v>85444200</v>
          </cell>
          <cell r="F2098">
            <v>85444200</v>
          </cell>
          <cell r="G2098">
            <v>85444200</v>
          </cell>
          <cell r="H2098" t="str">
            <v>Fio condutor eletrico, munido de terminal para conexAo, para tensAo de ate 240V, isolado para uso eletrico, com isolacAo na cor preta, comprimento do fio de 150mm, terminal para conexAo com dimensoes de 4.1x5.1x19.5mm</v>
          </cell>
        </row>
        <row r="2099">
          <cell r="B2099">
            <v>3040502010</v>
          </cell>
          <cell r="D2099">
            <v>40272003</v>
          </cell>
          <cell r="E2099">
            <v>85444200</v>
          </cell>
          <cell r="F2099">
            <v>85444200</v>
          </cell>
          <cell r="G2099">
            <v>85444200</v>
          </cell>
          <cell r="H2099" t="str">
            <v>Fio condutor eletrico, munido de terminal para conexAo, para tensAo de ate 240V, isolado para uso eletrico, com isolacAo na cor vermelha comprimento do fio de 60mm, terminal para conexAo com dimensoes de 4,1x5,1x21mm</v>
          </cell>
        </row>
        <row r="2100">
          <cell r="B2100">
            <v>3040502020</v>
          </cell>
          <cell r="D2100">
            <v>40272004</v>
          </cell>
          <cell r="E2100">
            <v>85444200</v>
          </cell>
          <cell r="F2100">
            <v>85444200</v>
          </cell>
          <cell r="G2100">
            <v>85444200</v>
          </cell>
          <cell r="H2100" t="str">
            <v>Fio condutor eletrico, munido de terminal para conexAo, para tensAo de ate 240V, isolado para uso eletrico, com isolacAo na cor preta comprimento do fio de 60mm, terminal para conexAo com dimensoes de 4,1x5,1x21mm</v>
          </cell>
        </row>
        <row r="2101">
          <cell r="B2101">
            <v>3040501630</v>
          </cell>
          <cell r="D2101">
            <v>40272005</v>
          </cell>
          <cell r="E2101">
            <v>85444200</v>
          </cell>
          <cell r="F2101">
            <v>85444200</v>
          </cell>
          <cell r="G2101">
            <v>85444200</v>
          </cell>
          <cell r="H2101" t="str">
            <v>Fio condutor eletrico, munido de terminal para conexAo, para tensAo de ate 240V, isolado para uso eletrico, com isolacAo na cor branca comprimento do fio de 100mm, terminal para conexAo com dimensoes de 4,1x5,1x21mm</v>
          </cell>
        </row>
        <row r="2102">
          <cell r="B2102">
            <v>5041400670</v>
          </cell>
          <cell r="D2102">
            <v>20601001</v>
          </cell>
          <cell r="E2102">
            <v>85043111</v>
          </cell>
          <cell r="F2102">
            <v>85043111</v>
          </cell>
          <cell r="G2102">
            <v>85043111</v>
          </cell>
          <cell r="H2102" t="str">
            <v>Transformador eletrico de corrente, de potencia aparente de 0,0000625VA (0,0000000625 kVA) e frequencia de trabalho de 60Hz, com corrente eletrica nominal de 5A e corrente eletrica maxima de 100A. Acoplado em terminais de cobre munidos de pinos rígidos para conexAo, para corrente maxima de 100A, para aplicacAo em ate 240V</v>
          </cell>
        </row>
        <row r="2103">
          <cell r="B2103">
            <v>7020200790</v>
          </cell>
          <cell r="D2103">
            <v>96356</v>
          </cell>
          <cell r="E2103">
            <v>84798999</v>
          </cell>
          <cell r="F2103" t="str">
            <v>Not applicable</v>
          </cell>
          <cell r="G2103">
            <v>84798999</v>
          </cell>
          <cell r="H2103" t="str">
            <v>Maquina de insercAo automatica de porcas de cobre em base de medidores de energia eletrica, controlada por PLC (Controles Logicos Programaveis) e equipada com cabecote para a insercAo de porcas</v>
          </cell>
        </row>
        <row r="2104">
          <cell r="B2104" t="str">
            <v>30203-XCDZ01-01-BM02</v>
          </cell>
          <cell r="D2104">
            <v>20694080</v>
          </cell>
          <cell r="E2104">
            <v>85049090</v>
          </cell>
          <cell r="F2104" t="str">
            <v>Not applicable</v>
          </cell>
          <cell r="G2104">
            <v>85049090</v>
          </cell>
          <cell r="H2104" t="str">
            <v>Painel parte para uso em montagem de carregador de acumulador (CA) veicular inteligente para veículos eletricos, desprovido de componentes eletronicos</v>
          </cell>
        </row>
        <row r="2105">
          <cell r="B2105" t="str">
            <v>HXW5824W6FB</v>
          </cell>
          <cell r="D2105" t="str">
            <v>565BC90126</v>
          </cell>
          <cell r="E2105">
            <v>90282010</v>
          </cell>
          <cell r="F2105" t="str">
            <v>Not applicable</v>
          </cell>
          <cell r="G2105">
            <v>90282010</v>
          </cell>
          <cell r="H2105" t="str">
            <v>Hidrometro Ultrassonico Ind.(contador de líquidos); Ferro Fundido; DN80-300 mm; Q3=63 m³/h; R400; Pulso; (ZLW-DN80) com peso líquido unitario aproximado entre 12 kgs e 16,5 kgs</v>
          </cell>
        </row>
        <row r="2106">
          <cell r="B2106" t="str">
            <v>HXAP1000R21202</v>
          </cell>
          <cell r="D2106">
            <v>20694070</v>
          </cell>
          <cell r="E2106">
            <v>85176241</v>
          </cell>
          <cell r="F2106">
            <v>85176241</v>
          </cell>
          <cell r="G2106">
            <v>85176241</v>
          </cell>
          <cell r="H2106"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2107">
          <cell r="B2107" t="str">
            <v>HXAP1000R21201</v>
          </cell>
          <cell r="D2107">
            <v>20694071</v>
          </cell>
          <cell r="E2107">
            <v>85176241</v>
          </cell>
          <cell r="F2107">
            <v>85176241</v>
          </cell>
          <cell r="G2107">
            <v>85176241</v>
          </cell>
          <cell r="H2107"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2108">
          <cell r="B2108" t="str">
            <v>HXWSG100R31003</v>
          </cell>
          <cell r="D2108">
            <v>20694075</v>
          </cell>
          <cell r="E2108">
            <v>85176294</v>
          </cell>
          <cell r="F2108">
            <v>85176294</v>
          </cell>
          <cell r="G2108">
            <v>85176294</v>
          </cell>
          <cell r="H2108" t="str">
            <v>Conversores de protocolo para interconexAo de redes de radio frequencia, para comunicacAo bidirecional de dados sem fio (recepcAo, conversAo e transmissAo), digitais, emissores de radio frequencia com receptor incorporado, capazes de operar na faixa ISM de frequencias 902 a 928 MHz, com taxa de transmissAo de ate 150 Kbps, com suporte às tecnologias FSK e LoRa, compatíveis com o padrAo WiSUN e IEEE802.15.4g, operando em topologia "Mesh" ou "Estrela" com espalhamento espectral por salto em frequencia (FHSS), enderecamento IPv6 e potencia de transmissAo de ate +30dBm,  possuindo ainda, alimentacAo "full-range" 80 ~ 300 VAC.</v>
          </cell>
        </row>
        <row r="2109">
          <cell r="B2109">
            <v>2011101953</v>
          </cell>
          <cell r="D2109">
            <v>20624812</v>
          </cell>
          <cell r="E2109">
            <v>85334012</v>
          </cell>
          <cell r="F2109">
            <v>85334012</v>
          </cell>
          <cell r="G2109">
            <v>85334012</v>
          </cell>
          <cell r="H2109" t="str">
            <v>Varistor (resistencia eletrica variavel nAo-linear semicondutora) de tensAo de 680V</v>
          </cell>
        </row>
        <row r="2110">
          <cell r="B2110">
            <v>2052700790</v>
          </cell>
          <cell r="D2110">
            <v>20690396</v>
          </cell>
          <cell r="E2110">
            <v>85423939</v>
          </cell>
          <cell r="F2110">
            <v>85423939</v>
          </cell>
          <cell r="G2110">
            <v>85423939</v>
          </cell>
          <cell r="H2110" t="str">
            <v>Circuito integrado eletronico do tipo regulador de tensAo Low Drop-out montado, proprio para montagem em superfície SMD; TensAo de saída ajustavel -0,3V~33V; Encapsulamento SOT89; Corrente nominal de saída 100mA</v>
          </cell>
        </row>
        <row r="2111">
          <cell r="B2111">
            <v>2020300022</v>
          </cell>
          <cell r="D2111">
            <v>20672688</v>
          </cell>
          <cell r="E2111">
            <v>85322200</v>
          </cell>
          <cell r="F2111">
            <v>85322200</v>
          </cell>
          <cell r="G2111">
            <v>85322200</v>
          </cell>
          <cell r="H2111" t="str">
            <v>Capacitor (condensador eletrico fixo) eletrolítico de alumínio para montagem PTH; CapacitAncia 1.0uF; TensAo nominal 50Vdc; TolerAncia 20por cento; Terminal radial; DiAmetro 2mm; Comprimento 11mm</v>
          </cell>
        </row>
        <row r="2112">
          <cell r="B2112">
            <v>5051400720</v>
          </cell>
          <cell r="D2112">
            <v>40271400</v>
          </cell>
          <cell r="E2112">
            <v>85444200</v>
          </cell>
          <cell r="F2112">
            <v>85444200</v>
          </cell>
          <cell r="G2112">
            <v>85444200</v>
          </cell>
          <cell r="H2112" t="str">
            <v>PONTES DE COBRE DE CORRENTE DAS FASES A, B, e C COM TERMINIAS DE LATAO NAS EXTREMIDADES, MUNIDA DE CONECTOR 7PIN PARA CONEXAO, CONDUTORA ELeTRICA PARA APLICAcAO EM ATe 240V, COM TRANSFORMADOR DE CORRENTE, CORRENTE MaXIMA DE 20A</v>
          </cell>
        </row>
        <row r="2113">
          <cell r="B2113">
            <v>2020300152</v>
          </cell>
          <cell r="D2113">
            <v>20672665</v>
          </cell>
          <cell r="E2113">
            <v>85322200</v>
          </cell>
          <cell r="F2113">
            <v>85322200</v>
          </cell>
          <cell r="G2113">
            <v>85322200</v>
          </cell>
          <cell r="H2113" t="str">
            <v>Capacitor (condensador eletrico fixo) eletrolítico de alumínio para montagem PTH; CapacitAncia 470uF; TensAo nominal 10Vdc; TolerAncia 20por cento; Terminal radial; DiAmetro 2.5mm; Comprimento 12mm</v>
          </cell>
        </row>
        <row r="2114">
          <cell r="B2114" t="str">
            <v>CIUEV700.R120</v>
          </cell>
          <cell r="D2114">
            <v>40264662</v>
          </cell>
          <cell r="E2114">
            <v>85176299</v>
          </cell>
          <cell r="F2114">
            <v>85176299</v>
          </cell>
          <cell r="G2114">
            <v>85176299</v>
          </cell>
          <cell r="H2114" t="str">
            <v>Display remoto de dados de consumo de energia eletrica, digital, receptor de dados em rede sem fio LoRaWAN -Pantheon-DR V4 RC fonte de alimentacAo 120-240V (CIUEV700.R120)</v>
          </cell>
        </row>
        <row r="2115">
          <cell r="B2115" t="str">
            <v>HXEC600R210</v>
          </cell>
          <cell r="D2115">
            <v>40264663</v>
          </cell>
          <cell r="E2115">
            <v>85176291</v>
          </cell>
          <cell r="F2115" t="str">
            <v>Need to update benefit</v>
          </cell>
          <cell r="G2115">
            <v>85176291</v>
          </cell>
          <cell r="H2115" t="str">
            <v>Unidade central (CPU) digital, transmissora de dados em rede sem fio LoRaWAN - Pantheon-CPU V4 fonte chaveada 120-240V (HXEC600R210)</v>
          </cell>
        </row>
        <row r="2116">
          <cell r="B2116" t="str">
            <v>HXB6021C.R310</v>
          </cell>
          <cell r="D2116">
            <v>40264659</v>
          </cell>
          <cell r="E2116">
            <v>90289010</v>
          </cell>
          <cell r="F2116" t="str">
            <v>Not applicable</v>
          </cell>
          <cell r="G2116">
            <v>90289010</v>
          </cell>
          <cell r="H2116" t="str">
            <v>Placa de circuito impresso montada com componentes eletronicos (PCBA), parte para montagem em medidores de energia eletrica (contadores de eletricidade) monofasicos digitais - PCBA Pantheon-MM 1P2W V4 fonte chaveada 120-240V, 15-100A, 50/60Hz (HXB6021C.R310)</v>
          </cell>
        </row>
        <row r="2117">
          <cell r="B2117" t="str">
            <v>HXB6022C.R110</v>
          </cell>
          <cell r="D2117">
            <v>40264660</v>
          </cell>
          <cell r="E2117">
            <v>90289010</v>
          </cell>
          <cell r="F2117" t="str">
            <v>Not applicable</v>
          </cell>
          <cell r="G2117">
            <v>90289010</v>
          </cell>
          <cell r="H2117" t="str">
            <v>Placa de circuito impresso montada com componentes eletronicos (PCBA), parte para montagem em medidores de energia eletrica (contadores de eletricidade) bifasicos digitais - PCBA Pantheon-MM 2P3W V4 fonte RC 120-240V, 15-120A, 50/60Hz (HXB6022C.R110)</v>
          </cell>
        </row>
        <row r="2118">
          <cell r="B2118" t="str">
            <v>HXB6023C.R110</v>
          </cell>
          <cell r="D2118">
            <v>40264661</v>
          </cell>
          <cell r="E2118">
            <v>90289010</v>
          </cell>
          <cell r="F2118" t="str">
            <v>Not applicable</v>
          </cell>
          <cell r="G2118">
            <v>90289010</v>
          </cell>
          <cell r="H2118" t="str">
            <v>Placa de circuito impresso montada com componentes eletronicos (PCBA), parte para montagem em medidores de energia eletrica (contadores de eletricidade) trifasicos digitais - PCBA Pantheon-MM 3P4W V4 fonte RC 120-240V, 15-120A, 50/60Hz (HXB6023C.R110)</v>
          </cell>
        </row>
        <row r="2119">
          <cell r="B2119" t="str">
            <v>HXEC602R310</v>
          </cell>
          <cell r="D2119">
            <v>40264664</v>
          </cell>
          <cell r="E2119">
            <v>85176299</v>
          </cell>
          <cell r="F2119">
            <v>85176299</v>
          </cell>
          <cell r="G2119">
            <v>85176259</v>
          </cell>
          <cell r="H2119" t="str">
            <v>Coletor de dados de consumo de energia eletrica, digital, receptor e transmissor de dados em rede sem fio WiFi - Pantheon-RC V4 fonte chaveada 120-240V (HXEC602R310)</v>
          </cell>
        </row>
        <row r="2120">
          <cell r="B2120">
            <v>41200001</v>
          </cell>
          <cell r="D2120">
            <v>9141200001</v>
          </cell>
          <cell r="E2120">
            <v>85176294</v>
          </cell>
          <cell r="F2120">
            <v>85176294</v>
          </cell>
          <cell r="G2120">
            <v>85176294</v>
          </cell>
          <cell r="H2120" t="str">
            <v>Conversor de protocolo para interconexAo de rede PLC (Power Line Communication) de modelo HXEJ200, compatível com o padrAo PLC-G3, utilizado em sistemas de medicAo avancada de energia eletrica, composto por modulo de comunicacAo (de recepcAo, conversAo e transmissAo) de dados via rede eletrica, providos de emissor com receptor incorporado, digital, compatíveis com o tipo de rede PLC G3 (com fio), modulo de comunicacAo (de recepcAo, conversAo e transmissAo) de dados sem fio, providos de emissor com receptor incorporado, digital, compatíveis com o padrAo celular 3G e modulo de comunicacAo ETHERNET IEEE802.3 por 10/100 BASE-T. Com capacidade coletar, concentrar e encaminhar dados de medicAo de outros medidores inteligentes na rede PLC para um sistema remoto e alimentacAo 3P4W 120-240/416 V (HXEJ200R31251).</v>
          </cell>
        </row>
        <row r="2121">
          <cell r="B2121">
            <v>2150154830</v>
          </cell>
          <cell r="D2121">
            <v>20661753</v>
          </cell>
          <cell r="E2121">
            <v>85340033</v>
          </cell>
          <cell r="F2121" t="str">
            <v>Not applicable</v>
          </cell>
          <cell r="G2121">
            <v>85340033</v>
          </cell>
          <cell r="H2121" t="str">
            <v>PLACA DE CIRCUITO IMPRESSO, DE NATUREZA DO MATERIAL BASE RÍGIDO, COMPOSIcAO DA PLACA DE ISOLANTE DE RESINA EPoXIDA E TECIDO DE FIBRA DE VIDRO, ESTRUTURA DE DUPLA FACE E INTERLIGAcAO ENTRE FACES POR FUROS METALIZADOS; dimensoes 89,28mm x 289,15mm</v>
          </cell>
        </row>
        <row r="2122">
          <cell r="B2122">
            <v>2050101801</v>
          </cell>
          <cell r="D2122">
            <v>20660395</v>
          </cell>
          <cell r="E2122">
            <v>85423120</v>
          </cell>
          <cell r="F2122">
            <v>85423120</v>
          </cell>
          <cell r="G2122">
            <v>85423120</v>
          </cell>
          <cell r="H2122" t="str">
            <v>Circuito Integrado eletronico microcontrolador, modelo de microprocessador de 8 bits, montado, proprio para montagem em superfície (SMD) TQFP-48, com Frequencia de clock de ate 26MHz, memoria Flash 64KB e memoria SRAM 4kB.TensAo de operacAo 2.5V~5.5V.</v>
          </cell>
        </row>
        <row r="2123">
          <cell r="B2123">
            <v>2120306171</v>
          </cell>
          <cell r="D2123">
            <v>20661020</v>
          </cell>
          <cell r="E2123">
            <v>85241100</v>
          </cell>
          <cell r="G2123">
            <v>85241100</v>
          </cell>
          <cell r="H2123" t="str">
            <v>Modulo de visualizacAo de tela (ecrA) plana, de cristal líquido, sem controlador (driver) nem circuito de controle, utilizado em processo de montagem por insercAo (PTH), com tensAo de operacAo 3.4V e dimensoes 39.8x18x30.2 mm</v>
          </cell>
        </row>
        <row r="2124">
          <cell r="B2124">
            <v>2020104190</v>
          </cell>
          <cell r="D2124">
            <v>20672574</v>
          </cell>
          <cell r="E2124">
            <v>85322410</v>
          </cell>
          <cell r="F2124" t="str">
            <v>Not applicable</v>
          </cell>
          <cell r="G2124">
            <v>85322410</v>
          </cell>
          <cell r="H2124" t="str">
            <v>Capacitor (condensador eletrico fixo) com dieletrico de cerAmica, de camadas multiplas, proprio para montagem em superfície SMD; CapacitAncia 220pF; TensAo nominal 50Vdc; TolerAncia 10por cento; Encapsulamento 0402</v>
          </cell>
        </row>
        <row r="2125">
          <cell r="B2125">
            <v>2020104970</v>
          </cell>
          <cell r="D2125">
            <v>20672533</v>
          </cell>
          <cell r="E2125">
            <v>85322410</v>
          </cell>
          <cell r="F2125" t="str">
            <v>Not applicable</v>
          </cell>
          <cell r="G2125">
            <v>85322410</v>
          </cell>
          <cell r="H2125" t="str">
            <v>Capacitor (condensador eletrico fixo) com dieletrico de cerAmica, de camadas multiplas, proprios para montagem em superfície SMD; CapacitAncia 1uF; TensAo nominal 25Vdc; TolerAncia 10por cento; Encapsulamento 0402</v>
          </cell>
        </row>
        <row r="2126">
          <cell r="B2126">
            <v>3040303960</v>
          </cell>
          <cell r="D2126">
            <v>20291403</v>
          </cell>
          <cell r="E2126">
            <v>85444200</v>
          </cell>
          <cell r="F2126">
            <v>85444200</v>
          </cell>
          <cell r="G2126">
            <v>85444200</v>
          </cell>
          <cell r="H2126" t="str">
            <v>PONTE DE COBRE MUNIDA DE PINO RÍGIDO PARA CONEXAO, CONDUTORA ELeTRICA PARA APLICAcAO EM ATe TENSAO DE ATe 240V, ESTANHADA, DIMENSoES 27x24x15mm, CORRENTE MaXIMA DE 100A</v>
          </cell>
        </row>
        <row r="2127">
          <cell r="B2127">
            <v>3010503030</v>
          </cell>
          <cell r="D2127">
            <v>20291306</v>
          </cell>
          <cell r="E2127">
            <v>85444200</v>
          </cell>
          <cell r="F2127">
            <v>85444200</v>
          </cell>
          <cell r="G2127">
            <v>85444200</v>
          </cell>
          <cell r="H2127" t="str">
            <v>PONTE DE COBRE MUNIDA DE PINO RÍGIDO PARA CONEXAO, CONDUTORA ELeTRICA PARA APLICAcAO EM TENSAO DE ATe 240V, ESTANHADA, CORRENTE MaXIMA DE 100A</v>
          </cell>
        </row>
        <row r="2128">
          <cell r="B2128">
            <v>7020825301</v>
          </cell>
          <cell r="D2128">
            <v>96489</v>
          </cell>
          <cell r="E2128">
            <v>84807100</v>
          </cell>
          <cell r="F2128" t="str">
            <v>Not applicable</v>
          </cell>
          <cell r="G2128">
            <v>84807100</v>
          </cell>
          <cell r="H2128" t="str">
            <v>Molde para moldagem por injecAo, para materiais plasticos de policarbonato - S22125 (ref.7020825301)</v>
          </cell>
        </row>
        <row r="2129">
          <cell r="B2129">
            <v>7020825311</v>
          </cell>
          <cell r="D2129">
            <v>96490</v>
          </cell>
          <cell r="E2129">
            <v>84807100</v>
          </cell>
          <cell r="F2129" t="str">
            <v>Not applicable</v>
          </cell>
          <cell r="G2129">
            <v>84807100</v>
          </cell>
          <cell r="H2129" t="str">
            <v>Molde para moldagem por injecAo, para materiais plasticos de policarbonato - S22126 (ref.7020825311)</v>
          </cell>
        </row>
        <row r="2130">
          <cell r="B2130">
            <v>7020825321</v>
          </cell>
          <cell r="D2130">
            <v>96492</v>
          </cell>
          <cell r="E2130">
            <v>84807100</v>
          </cell>
          <cell r="F2130" t="str">
            <v>Not applicable</v>
          </cell>
          <cell r="G2130">
            <v>84807100</v>
          </cell>
          <cell r="H2130" t="str">
            <v>Molde para moldagem por injecAo, para materiais plasticos de policarbonato -  S22127 (ref.7020825321)</v>
          </cell>
        </row>
        <row r="2131">
          <cell r="B2131">
            <v>7020825331</v>
          </cell>
          <cell r="D2131">
            <v>96493</v>
          </cell>
          <cell r="E2131">
            <v>84807100</v>
          </cell>
          <cell r="F2131" t="str">
            <v>Not applicable</v>
          </cell>
          <cell r="G2131">
            <v>84807100</v>
          </cell>
          <cell r="H2131" t="str">
            <v>Molde para moldagem por injecAo, para materiais plasticos de policarbonato - S22128 (ref.7020825331)</v>
          </cell>
        </row>
        <row r="2132">
          <cell r="B2132">
            <v>7020825341</v>
          </cell>
          <cell r="D2132">
            <v>96494</v>
          </cell>
          <cell r="E2132">
            <v>84807100</v>
          </cell>
          <cell r="F2132" t="str">
            <v>Not applicable</v>
          </cell>
          <cell r="G2132">
            <v>84807100</v>
          </cell>
          <cell r="H2132" t="str">
            <v>Molde para moldagem por injecAo, para materiais plasticos de policarbonato - S22129 (ref.7020825341)</v>
          </cell>
        </row>
        <row r="2133">
          <cell r="B2133">
            <v>7020825351</v>
          </cell>
          <cell r="D2133">
            <v>96498</v>
          </cell>
          <cell r="E2133">
            <v>84807100</v>
          </cell>
          <cell r="F2133" t="str">
            <v>Not applicable</v>
          </cell>
          <cell r="G2133">
            <v>84807100</v>
          </cell>
          <cell r="H2133" t="str">
            <v>Molde para moldagem por injecAo, para materiais plasticos de policarbonato - S22130 (ref.7020825351)</v>
          </cell>
        </row>
        <row r="2134">
          <cell r="B2134">
            <v>7020814181</v>
          </cell>
          <cell r="D2134">
            <v>96502</v>
          </cell>
          <cell r="E2134">
            <v>84807100</v>
          </cell>
          <cell r="F2134" t="str">
            <v>Not applicable</v>
          </cell>
          <cell r="G2134">
            <v>84807100</v>
          </cell>
          <cell r="H2134" t="str">
            <v>Molde para moldagem por injecAo, para materiais plasticos de policarbonato - S16026 (ref.7020814181)</v>
          </cell>
        </row>
        <row r="2135">
          <cell r="B2135">
            <v>7020821791</v>
          </cell>
          <cell r="D2135">
            <v>96506</v>
          </cell>
          <cell r="E2135">
            <v>84807100</v>
          </cell>
          <cell r="F2135" t="str">
            <v>Not applicable</v>
          </cell>
          <cell r="G2135">
            <v>84807100</v>
          </cell>
          <cell r="H2135" t="str">
            <v>Molde para moldagem por injecAo, para materiais plasticos de policarbonato - S20089 (ref.7020821791)</v>
          </cell>
        </row>
        <row r="2136">
          <cell r="B2136">
            <v>2050900701</v>
          </cell>
          <cell r="D2136">
            <v>20660353</v>
          </cell>
          <cell r="E2136">
            <v>85423939</v>
          </cell>
          <cell r="F2136">
            <v>85423939</v>
          </cell>
          <cell r="G2136">
            <v>85423939</v>
          </cell>
          <cell r="H2136" t="str">
            <v>Circuito Integrado eletronico do tipo comutador de deteccAo primaria de alta tensAo AC-DC, montado, proprio para montagem em superfície (SMD), encapsulamento SO16N, tensAo maxima de 900V.</v>
          </cell>
        </row>
        <row r="2137">
          <cell r="B2137" t="str">
            <v>MLT72.R120</v>
          </cell>
          <cell r="D2137">
            <v>20691372</v>
          </cell>
          <cell r="E2137">
            <v>85176277</v>
          </cell>
          <cell r="F2137">
            <v>85176277</v>
          </cell>
          <cell r="G2137">
            <v>85176277</v>
          </cell>
          <cell r="H2137" t="str">
            <v>EX: 034 - Módulo de comunicação RF para medidores inteligentes de energia elétrica com tecnologia 4G/3G/2G compatíveis com os padrões LTE, HSDPA, HSUPA, HSPA+, WCDMA, EDGE, GPRS e GSM operando nas faixas 700/850/900/1900/2100 MHz e 700/850/900/1800/1900 MHz, contendo slot para SIM cards 2FF e supercapacitores para função de "Last Gasp" e LEDs para indicação de comunicação com a rede e com os medidores de energia</v>
          </cell>
        </row>
        <row r="2138">
          <cell r="B2138">
            <v>4030400810</v>
          </cell>
          <cell r="D2138">
            <v>97391</v>
          </cell>
          <cell r="E2138">
            <v>85369090</v>
          </cell>
          <cell r="F2138" t="str">
            <v>Not applicable</v>
          </cell>
          <cell r="G2138">
            <v>85369090</v>
          </cell>
          <cell r="H2138" t="str">
            <v>Soquete para conexAo de programador de firmware em medidores de energia eletrica, tensAo ate 380V (ref.4030400810)</v>
          </cell>
        </row>
        <row r="2139">
          <cell r="B2139">
            <v>4030401410</v>
          </cell>
          <cell r="D2139">
            <v>97396</v>
          </cell>
          <cell r="E2139">
            <v>84719019</v>
          </cell>
          <cell r="F2139" t="str">
            <v>Not applicable</v>
          </cell>
          <cell r="G2139">
            <v>84719019</v>
          </cell>
          <cell r="H2139" t="str">
            <v>Gravadora automatica de dados de firmware Vango SD-502 (ref.4030401410)</v>
          </cell>
        </row>
        <row r="2140">
          <cell r="B2140">
            <v>4020404550</v>
          </cell>
          <cell r="D2140">
            <v>97395</v>
          </cell>
          <cell r="E2140">
            <v>85159000</v>
          </cell>
          <cell r="F2140" t="str">
            <v>Not applicable</v>
          </cell>
          <cell r="G2140">
            <v>85159000</v>
          </cell>
          <cell r="H2140" t="str">
            <v>Cilindro amortecedor com pressAo 1200N, parte para uso em forno para cura de solda por calor (4020404550)</v>
          </cell>
        </row>
        <row r="2141">
          <cell r="B2141">
            <v>4020405180</v>
          </cell>
          <cell r="D2141">
            <v>97393</v>
          </cell>
          <cell r="E2141">
            <v>84799090</v>
          </cell>
          <cell r="F2141" t="str">
            <v>Not applicable</v>
          </cell>
          <cell r="G2141">
            <v>84799090</v>
          </cell>
          <cell r="H2141" t="str">
            <v>Barras de LED, parte para uso em maquina de insercAo automatica de componentes eletronicos em superfície SMD (4020405180)</v>
          </cell>
        </row>
        <row r="2142">
          <cell r="B2142">
            <v>4020407690</v>
          </cell>
          <cell r="D2142">
            <v>97392</v>
          </cell>
          <cell r="E2142">
            <v>84799090</v>
          </cell>
          <cell r="F2142" t="str">
            <v>Not applicable</v>
          </cell>
          <cell r="G2142">
            <v>84799090</v>
          </cell>
          <cell r="H2142" t="str">
            <v>Barras de LED, parte para uso em maquina de insercAo automatica de componentes eletronicos em superfície SMD (4020407690)</v>
          </cell>
        </row>
        <row r="2143">
          <cell r="B2143" t="str">
            <v>4020407690-1</v>
          </cell>
          <cell r="D2143" t="str">
            <v>PENDING</v>
          </cell>
          <cell r="E2143">
            <v>84799090</v>
          </cell>
          <cell r="F2143" t="str">
            <v>Not applicable</v>
          </cell>
          <cell r="G2143">
            <v>84799090</v>
          </cell>
          <cell r="H2143" t="str">
            <v>Barras de LED, parte para uso em maquina de insercAo automatica de componentes eletronicos em superfície SMD (4020407690-1)</v>
          </cell>
        </row>
        <row r="2144">
          <cell r="B2144">
            <v>4030400080</v>
          </cell>
          <cell r="D2144">
            <v>56062</v>
          </cell>
          <cell r="E2144">
            <v>90319010</v>
          </cell>
          <cell r="F2144" t="str">
            <v>Not applicable</v>
          </cell>
          <cell r="G2144">
            <v>90319010</v>
          </cell>
          <cell r="H2144" t="str">
            <v>SENSOR oPTICO, PARTE PARA USO EM BANCADA DE ENSAIOS MEDIDORES DE ENERGIA ELeTRICA (REF. 4030400080)</v>
          </cell>
        </row>
        <row r="2145">
          <cell r="B2145">
            <v>4039897860</v>
          </cell>
          <cell r="D2145">
            <v>96610</v>
          </cell>
          <cell r="E2145">
            <v>73269090</v>
          </cell>
          <cell r="F2145" t="str">
            <v>Not applicable</v>
          </cell>
          <cell r="G2145">
            <v>73269090</v>
          </cell>
          <cell r="H2145" t="str">
            <v>Tampa para gabarito de pasta de solda SMT, de aco, obtida por dobragem, para maquinas de soldagem a calor para placas de medidores eletricos(contadores)</v>
          </cell>
        </row>
        <row r="2146">
          <cell r="B2146">
            <v>4020610320</v>
          </cell>
          <cell r="D2146">
            <v>96609</v>
          </cell>
          <cell r="E2146">
            <v>90319010</v>
          </cell>
          <cell r="F2146" t="str">
            <v>Not applicable</v>
          </cell>
          <cell r="G2146">
            <v>90319010</v>
          </cell>
          <cell r="H2146" t="str">
            <v>Suporte para circuito integrado controlador de sensor optico, parte para uso em bancada de ensaios de medidores(contadores) de energia eletrica (ref.4020610320)</v>
          </cell>
        </row>
        <row r="2147">
          <cell r="B2147">
            <v>4010204520</v>
          </cell>
          <cell r="D2147">
            <v>92981</v>
          </cell>
          <cell r="E2147">
            <v>84719012</v>
          </cell>
          <cell r="F2147" t="str">
            <v>Not applicable</v>
          </cell>
          <cell r="G2147">
            <v>84719012</v>
          </cell>
          <cell r="H2147" t="str">
            <v>LEITOR DE CÓDIGO DE BARRAS BIDIMENSIONAL (2D) COM FIO, MODELO HONEYWELL 1470G, COMPATÍVEL COM PADRÕES DE LEITURA LINEAR E QR CODE, PRODUTO NOVO, DESTINADO A USO INDUSTRIAL</v>
          </cell>
        </row>
        <row r="2148">
          <cell r="B2148">
            <v>4020110480</v>
          </cell>
          <cell r="D2148" t="str">
            <v>PENDING</v>
          </cell>
          <cell r="E2148">
            <v>90318099</v>
          </cell>
          <cell r="F2148" t="str">
            <v>Not applicable</v>
          </cell>
          <cell r="H2148" t="str">
            <v>Instrumento sensor de inducAo, Modelo: PC16-P 10-30VDC (ref.4020110480)</v>
          </cell>
        </row>
        <row r="2149">
          <cell r="B2149">
            <v>4020110490</v>
          </cell>
          <cell r="D2149" t="str">
            <v>PENDING</v>
          </cell>
          <cell r="E2149">
            <v>90328984</v>
          </cell>
          <cell r="F2149" t="str">
            <v>Not applicable</v>
          </cell>
          <cell r="H2149" t="str">
            <v>Instrumento para controle de veolcidade de motores eletricos por variacAo de frequencia, Modelo: JSCC SK200E (ref.4020110490)</v>
          </cell>
        </row>
        <row r="2150">
          <cell r="B2150">
            <v>4020406610</v>
          </cell>
          <cell r="D2150" t="str">
            <v>PENDING</v>
          </cell>
          <cell r="E2150">
            <v>84799090</v>
          </cell>
          <cell r="F2150" t="str">
            <v>Not applicable</v>
          </cell>
          <cell r="H2150" t="str">
            <v>CAmera, parte para uso em maquina de insercAo automatica de componentes eletronico em superfície SMD - SM471 (ref.4020406610)</v>
          </cell>
        </row>
        <row r="2151">
          <cell r="B2151">
            <v>4020110520</v>
          </cell>
          <cell r="D2151" t="str">
            <v>PENDING</v>
          </cell>
          <cell r="E2151">
            <v>85371020</v>
          </cell>
          <cell r="F2151" t="str">
            <v>Not applicable</v>
          </cell>
          <cell r="H2151" t="str">
            <v>Controlador Logico Programavel (PLC) para comando eletrico, para tensAo de 24V, Siemens, Modelo SM 1221 DI 16x24VDC Part Number S7-1200 6ES7 221-1BH32-0XB0 (ref.4020110520)</v>
          </cell>
        </row>
        <row r="2152">
          <cell r="B2152">
            <v>4020110530</v>
          </cell>
          <cell r="D2152" t="str">
            <v>PENDING</v>
          </cell>
          <cell r="E2152">
            <v>85371020</v>
          </cell>
          <cell r="F2152" t="str">
            <v>Not applicable</v>
          </cell>
          <cell r="H2152" t="str">
            <v>Controlador Logico Programavel (PLC) para comando eletrico, para tensAo de 24V, Siemens, Modelo SM 1222 DQ 16x24VDC Part Number S7-1200 6ES7 221-1BH32-0XB0 (ref.4020110530)</v>
          </cell>
        </row>
        <row r="2153">
          <cell r="B2153">
            <v>4020110540</v>
          </cell>
          <cell r="D2153" t="str">
            <v>PENDING</v>
          </cell>
          <cell r="E2153">
            <v>85371020</v>
          </cell>
          <cell r="F2153" t="str">
            <v>Not applicable</v>
          </cell>
          <cell r="H2153" t="str">
            <v>Controlador Logico Programavel (PLC) para comando eletrico, para tensAo de 24V, Siemens, Modelo CPU 1215C DC/DC/DC Part Number 6ES7 215-1AG40-0XB0 (ref.4020110540)</v>
          </cell>
        </row>
        <row r="2154">
          <cell r="B2154">
            <v>4020110550</v>
          </cell>
          <cell r="D2154" t="str">
            <v>PENDING</v>
          </cell>
          <cell r="E2154">
            <v>85371020</v>
          </cell>
          <cell r="F2154" t="str">
            <v>Not applicable</v>
          </cell>
          <cell r="H2154" t="str">
            <v>Controlador Logico Programavel (PLC) para comando eletrico, para tensAo de 24V, Siemens, Modelo CPU 1211 PN Part Number: 6ES7 511-1AK02-0AB0 (ref.4020110550)</v>
          </cell>
        </row>
        <row r="2155">
          <cell r="B2155">
            <v>4020610270</v>
          </cell>
          <cell r="D2155" t="str">
            <v>PENDING</v>
          </cell>
          <cell r="E2155">
            <v>85371020</v>
          </cell>
          <cell r="F2155" t="str">
            <v>Not applicable</v>
          </cell>
          <cell r="H2155" t="str">
            <v>Controlador Logico Programavel (PLC) para comando eletrico, para tensAo de 120V a 230V, Siemens, Modelo PM70W 120/230 VAC Part Number: 6EP1332-4BA00 (ref.4020610270)</v>
          </cell>
        </row>
        <row r="2156">
          <cell r="B2156">
            <v>4020110500</v>
          </cell>
          <cell r="D2156">
            <v>96786</v>
          </cell>
          <cell r="E2156">
            <v>85014019</v>
          </cell>
          <cell r="F2156" t="str">
            <v>Not applicable</v>
          </cell>
          <cell r="G2156">
            <v>85014019</v>
          </cell>
          <cell r="H2156" t="str">
            <v>Motor eletrico de corrente alternada, linear, monofasico, de potencia 25W (0,025 kW), de carcaca fechada e rotacAo maxima de 450 rpm (ref.4020110500)</v>
          </cell>
        </row>
        <row r="2157">
          <cell r="B2157">
            <v>4020110510</v>
          </cell>
          <cell r="D2157" t="str">
            <v>PENDING</v>
          </cell>
          <cell r="E2157">
            <v>85014019</v>
          </cell>
          <cell r="F2157" t="str">
            <v>Not applicable</v>
          </cell>
          <cell r="H2157" t="str">
            <v>Motor eletrico de corrente alternada, linear, monofasico, de potencia 90W (0,090 kW), de carcaca fechada e rotacAo maxima de 500 rpm (ref.4020110510)</v>
          </cell>
        </row>
        <row r="2158">
          <cell r="B2158" t="str">
            <v>565EBA0502</v>
          </cell>
          <cell r="D2158" t="str">
            <v>565EBA0502</v>
          </cell>
          <cell r="E2158">
            <v>90282010</v>
          </cell>
          <cell r="F2158" t="str">
            <v>Not applicable</v>
          </cell>
          <cell r="H2158" t="str">
            <v>Hidrometro Ultrassonico (contador de líquidos) Ind.; Ferro Fundido; DN200-350 mm; Q3=400 m³/h; R500; Pulso; 4-20mA; COPASA (ZLW-DN200) com peso líquido unitario aproximado entre 40kgs e 43,5 kgs</v>
          </cell>
        </row>
        <row r="2159">
          <cell r="B2159" t="str">
            <v>565GBD0502</v>
          </cell>
          <cell r="D2159" t="str">
            <v>565GBD0502</v>
          </cell>
          <cell r="E2159">
            <v>90282020</v>
          </cell>
          <cell r="F2159" t="str">
            <v>Not applicable</v>
          </cell>
          <cell r="G2159">
            <v>90282020</v>
          </cell>
          <cell r="H2159" t="str">
            <v>Hidrometro Ultrassonico (contador de líquidos) Ind.; Ferro Fundido; DN300-500 mm; Q3=1000 m³/h; R500; Pulso; 4-20mA; COPASA (ZLW-DN300) com peso líquido unitario aproximado entre 50 kgs e 55 kgs</v>
          </cell>
        </row>
        <row r="2160">
          <cell r="B2160">
            <v>2140102604</v>
          </cell>
          <cell r="D2160">
            <v>20694615</v>
          </cell>
          <cell r="E2160">
            <v>85177190</v>
          </cell>
          <cell r="F2160">
            <v>85177190</v>
          </cell>
          <cell r="G2160">
            <v>85177190</v>
          </cell>
          <cell r="H2160" t="str">
            <v>Antena 2.4 GHz AP PARA UTILIZAcAO EM CONJUNTO COM EQUIPAMENTOS DE COMUNICAcAO DE DADOS POR REDES SEM FIO (2140102604)</v>
          </cell>
        </row>
        <row r="2161">
          <cell r="B2161">
            <v>3030502830</v>
          </cell>
          <cell r="D2161">
            <v>21100500</v>
          </cell>
          <cell r="E2161">
            <v>73181500</v>
          </cell>
          <cell r="F2161">
            <v>73181500</v>
          </cell>
          <cell r="G2161">
            <v>73181500</v>
          </cell>
          <cell r="H2161" t="str">
            <v>PARAFUSO TIPO FENDA CRUZADA COM FURO PARA PASSAGEM DE LACRE, DIMENSAO M4x20mm, EM MATeRIA-PRIMA BASE AcO DE BAIXO CARBONO, DE PROCESSO DE FABRICAcAO POR USINAGEM COM ACABAMENTO SUPERFICIAL POR GALVANIZAcAO ZINCADO CROMADO TRIVALENTE</v>
          </cell>
        </row>
        <row r="2162">
          <cell r="B2162">
            <v>3030503490</v>
          </cell>
          <cell r="D2162">
            <v>21100600</v>
          </cell>
          <cell r="E2162">
            <v>73181400</v>
          </cell>
          <cell r="F2162">
            <v>73181400</v>
          </cell>
          <cell r="G2162">
            <v>73181400</v>
          </cell>
          <cell r="H2162" t="str">
            <v>PARAFUSO AUTOPERFURANTE DIAM. 3,9x12mm FENDA CRUZADA COM FURO PARA PASSAGEM DE LACRE, EM MATeRIA-PRIMA BASE AcO DE BAIXO CARBONO, DE PROCESSO DE FABRICAcAO POR USINAGEM COM ACABAMENTO SUPERFICIAL POR GALVANIZAcAO ZINCADO CROMADO TRIVALENTE</v>
          </cell>
        </row>
        <row r="2163">
          <cell r="B2163" t="str">
            <v>HXD822.R110</v>
          </cell>
          <cell r="D2163">
            <v>20694076</v>
          </cell>
          <cell r="E2163">
            <v>85176239</v>
          </cell>
          <cell r="F2163" t="str">
            <v>Need to update benefit</v>
          </cell>
          <cell r="G2163">
            <v>85176239</v>
          </cell>
          <cell r="H2163" t="str">
            <v>Gateway de comunicacAo de dados em rede local sem fio, com protocolos DNP3 e LoRa, para comutacAo, transmissAo e recepcAo de dados, para Religador Monofasico HXD820, AlimentacAo 220vca ou Placas Solares em 12Vdc.</v>
          </cell>
        </row>
        <row r="2164">
          <cell r="B2164">
            <v>2062100100</v>
          </cell>
          <cell r="D2164">
            <v>20680256</v>
          </cell>
          <cell r="E2164">
            <v>85412920</v>
          </cell>
          <cell r="F2164">
            <v>85412920</v>
          </cell>
          <cell r="G2164">
            <v>85412920</v>
          </cell>
          <cell r="H2164" t="str">
            <v>Transistor mosfet NMOS, montado, para montagem PTH, de capacidade de dissipacAo de 48W; TensAo de drenagem 1500V; corrente de drenagem 2.5A; resistencia de 10.5 ohms; encapsulamento TO220F-3FS</v>
          </cell>
        </row>
        <row r="2165">
          <cell r="B2165">
            <v>4020111040</v>
          </cell>
          <cell r="D2165">
            <v>96607</v>
          </cell>
          <cell r="E2165">
            <v>85371020</v>
          </cell>
          <cell r="F2165" t="str">
            <v>Not applicable</v>
          </cell>
          <cell r="G2165">
            <v>85371020</v>
          </cell>
          <cell r="H2165" t="str">
            <v>Controlador Logico Programavel (CLP) para comando eletrico de maquina de gravacAo de caracteres a laser KFD192007425, de tensAo 24V, referencia EMCC3600-FL</v>
          </cell>
        </row>
        <row r="2166">
          <cell r="B2166">
            <v>4020804850</v>
          </cell>
          <cell r="D2166">
            <v>96608</v>
          </cell>
          <cell r="E2166">
            <v>85235190</v>
          </cell>
          <cell r="F2166" t="str">
            <v>Not applicable</v>
          </cell>
          <cell r="G2166">
            <v>85235190</v>
          </cell>
          <cell r="H2166" t="str">
            <v>Pendrive de memoria flash, dispositivo de armazenamento de dados nAo volateis à base de semicondutores, contendo licenca para uso do CLP EMCC3600-FL 002GT7010 para maquina de gravacAo de caracteres a laser KFD192007425 (4020804850)</v>
          </cell>
        </row>
        <row r="2167">
          <cell r="B2167" t="str">
            <v>PENDING</v>
          </cell>
          <cell r="D2167" t="str">
            <v>PENDING</v>
          </cell>
          <cell r="F2167" t="str">
            <v>Need to update benefit</v>
          </cell>
          <cell r="H2167" t="str">
            <v>Modulo de transmissAo e recepcAo de dados em redes sem fio de area estendida (WAN )</v>
          </cell>
        </row>
        <row r="2168">
          <cell r="B2168">
            <v>3010502690</v>
          </cell>
          <cell r="D2168">
            <v>20291307</v>
          </cell>
          <cell r="E2168">
            <v>85444200</v>
          </cell>
          <cell r="F2168">
            <v>85444200</v>
          </cell>
          <cell r="G2168">
            <v>85444200</v>
          </cell>
          <cell r="H2168" t="str">
            <v>PONTE DE COBRE MUNIDA DE PINO RÍGIDO PARA CONEXAO, CONDUTORA ELeTRICA PARA APLICAcAO EM TENSAO DE ATe 240V, ESTANHADA, CORRENTE MaXIMA DE 120A</v>
          </cell>
        </row>
        <row r="2169">
          <cell r="B2169">
            <v>4039894760</v>
          </cell>
          <cell r="D2169">
            <v>92980</v>
          </cell>
          <cell r="E2169">
            <v>84689090</v>
          </cell>
          <cell r="F2169" t="str">
            <v>Not applicable</v>
          </cell>
          <cell r="G2169">
            <v>84689090</v>
          </cell>
          <cell r="H2169" t="str">
            <v>Suporte de gabarito para maquinas de soldagem a calor para placas de medidores eletricos(ref.4039894760)</v>
          </cell>
        </row>
        <row r="2170">
          <cell r="B2170">
            <v>4039897140</v>
          </cell>
          <cell r="D2170">
            <v>96355</v>
          </cell>
          <cell r="E2170">
            <v>85159000</v>
          </cell>
          <cell r="F2170" t="str">
            <v>Not applicable</v>
          </cell>
          <cell r="G2170">
            <v>85159000</v>
          </cell>
          <cell r="H2170" t="str">
            <v>Conjunto sonotrodo e berco de alumínio, frequencia de 15Khz, para maquina de soldadura (REF.4039897140)</v>
          </cell>
        </row>
        <row r="2171">
          <cell r="B2171">
            <v>3023903416</v>
          </cell>
          <cell r="D2171">
            <v>20492620</v>
          </cell>
          <cell r="E2171">
            <v>39269090</v>
          </cell>
          <cell r="F2171">
            <v>39269090</v>
          </cell>
          <cell r="G2171">
            <v>39269090</v>
          </cell>
          <cell r="H2171" t="str">
            <v>Selo de Plastico, ( material policarbonato cor: carcaca branca e botAo laranja ) comprimento 185mm (Ref.3023903416)</v>
          </cell>
        </row>
        <row r="2172">
          <cell r="B2172">
            <v>7030102060</v>
          </cell>
          <cell r="D2172">
            <v>96853</v>
          </cell>
          <cell r="E2172">
            <v>90303390</v>
          </cell>
          <cell r="F2172" t="str">
            <v>Not applicable</v>
          </cell>
          <cell r="H2172" t="str">
            <v>Instrumento de controle de tensao, corrente e potencia, sem dispositivo registrador, (bancada trifasica para testes de medidores de energia eletrica com 2 posicoes)</v>
          </cell>
        </row>
        <row r="2173">
          <cell r="B2173">
            <v>7020602250</v>
          </cell>
          <cell r="D2173">
            <v>96854</v>
          </cell>
          <cell r="E2173">
            <v>90303390</v>
          </cell>
          <cell r="F2173" t="str">
            <v>Not applicable</v>
          </cell>
          <cell r="H2173" t="str">
            <v>Instrumento de controle de tensao, corrente e potencia, sem dispositivo registrador, (bancada trifasica para testes de medidores de energia eletrica com 3 posicoes).</v>
          </cell>
        </row>
        <row r="2174">
          <cell r="B2174">
            <v>4020107870</v>
          </cell>
          <cell r="D2174">
            <v>96855</v>
          </cell>
          <cell r="E2174">
            <v>85444200</v>
          </cell>
          <cell r="F2174" t="str">
            <v>Not applicable</v>
          </cell>
          <cell r="H2174" t="str">
            <v xml:space="preserve">Cabo flexivel de cobre para uma tensAo de ate 280 V, munido com conector </v>
          </cell>
        </row>
        <row r="2175">
          <cell r="B2175">
            <v>2020701110</v>
          </cell>
          <cell r="D2175">
            <v>20672693</v>
          </cell>
          <cell r="E2175">
            <v>85322420</v>
          </cell>
          <cell r="F2175">
            <v>85322420</v>
          </cell>
          <cell r="G2175">
            <v>85322420</v>
          </cell>
          <cell r="H2175" t="str">
            <v>CAPACITOR (CONDENSADOR ELeTRICO FIXO) COM DIELeTRICO DE CERAMICA, DE MuLTIPLAS CAMADAS, PRoPRIOS PARA MONTAGEM POR INSERcAO PTH 4,7nF 10por cento 1000VAC RAD-7.5mm (2020701110)</v>
          </cell>
        </row>
        <row r="2176">
          <cell r="B2176">
            <v>2030103060</v>
          </cell>
          <cell r="D2176">
            <v>20650136</v>
          </cell>
          <cell r="E2176">
            <v>85045010</v>
          </cell>
          <cell r="F2176" t="str">
            <v>Need to update benefit</v>
          </cell>
          <cell r="G2176">
            <v>85045000</v>
          </cell>
          <cell r="H2176" t="str">
            <v xml:space="preserve">Bobina de auto-inducao (indutor fixo) de 1~10uH, para montagem em superficie SMD, tolerancia de 25%, 1.20 Ohms de resistencia, corrente maxima 200mA, encapsulamento 1206, dimensoes 3.2mm de comprimento, 1.6mm de largura e 1.5mm de altura (2030103060) SMT  </v>
          </cell>
        </row>
        <row r="2177">
          <cell r="B2177">
            <v>2030302100</v>
          </cell>
          <cell r="D2177">
            <v>20650135</v>
          </cell>
          <cell r="E2177">
            <v>85045010</v>
          </cell>
          <cell r="F2177" t="str">
            <v>Need to update benefit</v>
          </cell>
          <cell r="G2177">
            <v>85045000</v>
          </cell>
          <cell r="H2177" t="str">
            <v>Bobina de auto-inducao (indutor fixo) de 2 uH, para montagem por insercao (PTH), de frequencia de 1MHz~100MHZ, tolerancia de 10%, intensidade de corrente de 0.5~10A, 0.1Ω de resistencia DC, de dimensoes de 12mm de comprimento, 12mm de largura e 25mm de altura (2030302100) PTH</v>
          </cell>
        </row>
        <row r="2178">
          <cell r="B2178" t="str">
            <v>523400129005</v>
          </cell>
          <cell r="D2178" t="str">
            <v>PENDING</v>
          </cell>
          <cell r="E2178">
            <v>85389010</v>
          </cell>
          <cell r="F2178" t="str">
            <v>Not applicable</v>
          </cell>
          <cell r="G2178">
            <v>85389010</v>
          </cell>
          <cell r="H2178" t="str">
            <v>Placa de circuito impresso com componentes eletronicos montados que possui a funcAo de controle microprocessado para controle das funcoes do inversores fotovoltaicos da marca Livoltek. TensAo de operacAo: 12V. Modelo do Inversor: GT1-8K-T1</v>
          </cell>
        </row>
        <row r="2179">
          <cell r="B2179" t="str">
            <v>PSD200R21001</v>
          </cell>
          <cell r="D2179">
            <v>96959</v>
          </cell>
          <cell r="E2179">
            <v>85176272</v>
          </cell>
          <cell r="F2179" t="str">
            <v>Not applicable</v>
          </cell>
          <cell r="H2179" t="str">
            <v>Modulo de comunicacAo para transmissAo e recepcAo de dados em redes sem fio (WLAN), com receptor incorporado, digital, de frequencia 2.4 GHz e taxa de transmissAo 9,6Mbit/s, tensAo de funcionamento 5V dc, para conexAo com inversor fotovoltaico off-grid</v>
          </cell>
        </row>
        <row r="2180">
          <cell r="B2180" t="str">
            <v xml:space="preserve">59BAB40702 </v>
          </cell>
          <cell r="D2180" t="str">
            <v xml:space="preserve">59BAB40702 </v>
          </cell>
          <cell r="E2180">
            <v>90261011</v>
          </cell>
          <cell r="F2180" t="str">
            <v>Not applicable</v>
          </cell>
          <cell r="G2180">
            <v>90261011</v>
          </cell>
          <cell r="H2180" t="str">
            <v>Medidor de vazAo de líquidos Eletromagnetico; Aco; DN50-200 mm; Q3=40 m³/h; R400; MODBUS; COPASA (HXW-DN50) com peso líquido unitario aproximado de 13,2Kg</v>
          </cell>
        </row>
        <row r="2181">
          <cell r="B2181" t="str">
            <v xml:space="preserve">56BAB40702 </v>
          </cell>
          <cell r="D2181" t="str">
            <v xml:space="preserve">56BAB40702 </v>
          </cell>
          <cell r="E2181">
            <v>90261011</v>
          </cell>
          <cell r="F2181" t="str">
            <v>Not applicable</v>
          </cell>
          <cell r="G2181">
            <v>90261011</v>
          </cell>
          <cell r="H2181" t="str">
            <v>Medidor de nível de líquidos Eletromagnetico; Aco; DN50-200 mm; Q3=40 m³/h; R400; MODBUS; COPASA (HXW-DN50) com peso líquido unitarioaproximado de 13,2Kg</v>
          </cell>
        </row>
        <row r="2182">
          <cell r="B2182" t="str">
            <v>5633B20100</v>
          </cell>
          <cell r="D2182" t="str">
            <v>5633B20100</v>
          </cell>
          <cell r="E2182">
            <v>90282010</v>
          </cell>
          <cell r="F2182" t="str">
            <v>Not applicable</v>
          </cell>
          <cell r="G2182">
            <v>90282010</v>
          </cell>
          <cell r="H2182" t="str">
            <v>Hidrometro (contador de líquidos) ultrassonico residencial; LatAo; DN15-165 mm; Q3=2,5 m³/h; R400; Pulso (ZLW-DN15), de peso líquido unitario aproximado entre 1kg e 2,5 kgs.</v>
          </cell>
        </row>
        <row r="2183">
          <cell r="B2183" t="str">
            <v>5633B30100</v>
          </cell>
          <cell r="D2183" t="str">
            <v>5633B30100</v>
          </cell>
          <cell r="E2183">
            <v>90282010</v>
          </cell>
          <cell r="F2183" t="str">
            <v>Not applicable</v>
          </cell>
          <cell r="G2183">
            <v>90282010</v>
          </cell>
          <cell r="H2183" t="str">
            <v>Hidrometro (contador de líquidos) ultrassonico residencial, de peso líquido unitario aproximado entre 1kg e 2,5 kgs; LatAo; DN20-190 mm; Q3=2,5 m³/h; R400; Pulso (ZLW-DN20)</v>
          </cell>
        </row>
        <row r="2184">
          <cell r="B2184" t="str">
            <v>5635B70100</v>
          </cell>
          <cell r="D2184" t="str">
            <v>5635B70100</v>
          </cell>
          <cell r="E2184">
            <v>90282010</v>
          </cell>
          <cell r="F2184" t="str">
            <v>Not applicable</v>
          </cell>
          <cell r="G2184">
            <v>90282010</v>
          </cell>
          <cell r="H2184" t="str">
            <v>Hidrometro (contador de líquido) eletronico ultrassonico, do tipo carretel, LatAo; DN25-260 mm; Q3=6,3 m³/h; R400; Pulso (ZLW-DN25) com o peso líquido unitario aproximado de 2KG;</v>
          </cell>
        </row>
        <row r="2185">
          <cell r="B2185" t="str">
            <v>5636B70100</v>
          </cell>
          <cell r="D2185" t="str">
            <v>5636B70100</v>
          </cell>
          <cell r="E2185">
            <v>90282010</v>
          </cell>
          <cell r="F2185" t="str">
            <v>Not applicable</v>
          </cell>
          <cell r="G2185">
            <v>90282010</v>
          </cell>
          <cell r="H2185" t="str">
            <v>Hidrometro (contador de líquido) eletronico ultrassonico, do tipo carretel, LatAo; DN25-260 mm; Q3=10 m³/h; R400; Pulso (ZLW-DN25) com o peso líquido unitario aproximado de 2KG;</v>
          </cell>
        </row>
        <row r="2186">
          <cell r="B2186" t="str">
            <v>5633B20300</v>
          </cell>
          <cell r="D2186" t="str">
            <v>5633B20300</v>
          </cell>
          <cell r="E2186">
            <v>90282010</v>
          </cell>
          <cell r="F2186" t="str">
            <v>Not applicable</v>
          </cell>
          <cell r="G2186">
            <v>90282010</v>
          </cell>
          <cell r="H2186" t="str">
            <v>Hidrometro Ultrassonico Res. (contador de líquidos); LatAo; DN15-165 mm; Q3=2,5 m³/h; R400; NB-IoT (ZLW-3) com peso líquido unitario aproximado de 1 kg</v>
          </cell>
        </row>
        <row r="2187">
          <cell r="B2187" t="str">
            <v>5633B30300</v>
          </cell>
          <cell r="D2187" t="str">
            <v>5633B30300</v>
          </cell>
          <cell r="E2187">
            <v>90282010</v>
          </cell>
          <cell r="F2187" t="str">
            <v>Not applicable</v>
          </cell>
          <cell r="G2187">
            <v>90282010</v>
          </cell>
          <cell r="H2187" t="str">
            <v>Hidrometro Ultrassonico (contador de líquido) Res.; LatAo; DN20-190 mm; Q3=2,5 m³/h; R400; NB-IoT (ZLW-3) com peso líquido unitario aproximado entre 1kg e 2,5kgs.</v>
          </cell>
        </row>
        <row r="2188">
          <cell r="B2188">
            <v>3040501550</v>
          </cell>
          <cell r="D2188">
            <v>40272006</v>
          </cell>
          <cell r="E2188">
            <v>85444200</v>
          </cell>
          <cell r="F2188">
            <v>85444200</v>
          </cell>
          <cell r="G2188">
            <v>85444200</v>
          </cell>
          <cell r="H2188" t="str">
            <v>Fio condutor eletrico, munido de terminal para conexAo, para tensAo de ate 240V, isolado para uso eletrico, com isolacAo na cor vermelha comprimento do fio de 100mm, terminal para conexAo com dimensoes de 4,1x5,1x19,5mm</v>
          </cell>
        </row>
        <row r="2189">
          <cell r="B2189">
            <v>3040501560</v>
          </cell>
          <cell r="D2189">
            <v>40272007</v>
          </cell>
          <cell r="E2189">
            <v>85444200</v>
          </cell>
          <cell r="F2189">
            <v>85444200</v>
          </cell>
          <cell r="G2189">
            <v>85444200</v>
          </cell>
          <cell r="H2189" t="str">
            <v>Fio condutor eletrico, munido de terminal para conexAo, para tensAo de ate 240V, isolado para uso eletrico, com isolacAo na cor vermelha comprimento do fio de 140mm, terminal para conexAo com dimensoes de 4,1x5,1x19,5mm</v>
          </cell>
        </row>
        <row r="2190">
          <cell r="B2190">
            <v>3040501570</v>
          </cell>
          <cell r="D2190">
            <v>40272008</v>
          </cell>
          <cell r="E2190">
            <v>85444200</v>
          </cell>
          <cell r="F2190">
            <v>85444200</v>
          </cell>
          <cell r="G2190">
            <v>85444200</v>
          </cell>
          <cell r="H2190" t="str">
            <v>Fio condutor eletrico, munido de terminal para conexAo, para tensAo de ate 240V, isolado para uso eletrico, com isolacAo na cor branca comprimento do fio de 140mm, terminal para conexAo com dimensoes de 4,1x5,1x19,5mm</v>
          </cell>
        </row>
        <row r="2191">
          <cell r="B2191">
            <v>3040501580</v>
          </cell>
          <cell r="D2191">
            <v>40272009</v>
          </cell>
          <cell r="E2191">
            <v>85444200</v>
          </cell>
          <cell r="F2191">
            <v>85444200</v>
          </cell>
          <cell r="G2191">
            <v>85444200</v>
          </cell>
          <cell r="H2191" t="str">
            <v>Fio condutor eletrico, munido de terminal para conexAo, para tensAo de ate 240V, isolado para uso eletrico, com isolacAo na cor preta comprimento do fio de 120mm, terminal para conexAo com dimensoes de 4,1x5,1x19,5mm</v>
          </cell>
        </row>
        <row r="2192">
          <cell r="B2192">
            <v>4031507010</v>
          </cell>
          <cell r="D2192">
            <v>97426</v>
          </cell>
          <cell r="E2192">
            <v>84807100</v>
          </cell>
          <cell r="F2192" t="str">
            <v>Not applicable</v>
          </cell>
          <cell r="G2192">
            <v>84807100</v>
          </cell>
          <cell r="H2192" t="str">
            <v>Molde para plastico, para moldagem por injecAo de policarbonato  (ref.4031507010)</v>
          </cell>
        </row>
        <row r="2193">
          <cell r="B2193">
            <v>2140500230</v>
          </cell>
          <cell r="D2193">
            <v>20601102</v>
          </cell>
          <cell r="E2193">
            <v>85369090</v>
          </cell>
          <cell r="F2193">
            <v>85369090</v>
          </cell>
          <cell r="G2193">
            <v>85369090</v>
          </cell>
          <cell r="H2193" t="str">
            <v>Conector adaptador de conexAo SMA macho para tipo N macho, fio marrom, 3600mm e tensAo de ate 300 V, para conexAo de circuito eletrico</v>
          </cell>
        </row>
        <row r="2194">
          <cell r="B2194">
            <v>4030503230</v>
          </cell>
          <cell r="D2194">
            <v>97047</v>
          </cell>
          <cell r="E2194">
            <v>85439090</v>
          </cell>
          <cell r="F2194" t="str">
            <v>Not applicable</v>
          </cell>
          <cell r="G2194">
            <v>85439090</v>
          </cell>
          <cell r="H2194" t="str">
            <v xml:space="preserve">	Placa de circuito impresso, montada com componentes eletronicos, optica, para uso em cabos de comunicacAo de linhas de montagem convencionais VersAo 2</v>
          </cell>
        </row>
        <row r="2195">
          <cell r="B2195">
            <v>4020111000</v>
          </cell>
          <cell r="D2195">
            <v>97048</v>
          </cell>
          <cell r="E2195">
            <v>85444900</v>
          </cell>
          <cell r="F2195" t="str">
            <v>Not applicable</v>
          </cell>
          <cell r="H2195" t="str">
            <v>Cabo manga 12x22AWG, condutor eletrico, de tensAo ate 380V, isolado para uso eletrico</v>
          </cell>
        </row>
        <row r="2196">
          <cell r="B2196">
            <v>4020111010</v>
          </cell>
          <cell r="D2196">
            <v>97049</v>
          </cell>
          <cell r="E2196">
            <v>85444900</v>
          </cell>
          <cell r="F2196" t="str">
            <v>Not applicable</v>
          </cell>
          <cell r="H2196" t="str">
            <v>Cabo PP 4x0,75mm, condutor eletrico, de tensAo ate 380V, isolado para uso eletrico</v>
          </cell>
        </row>
        <row r="2197">
          <cell r="B2197">
            <v>7020602360</v>
          </cell>
          <cell r="D2197">
            <v>97065</v>
          </cell>
          <cell r="E2197">
            <v>90312090</v>
          </cell>
          <cell r="F2197" t="str">
            <v>Not applicable</v>
          </cell>
          <cell r="G2197">
            <v>90312090</v>
          </cell>
          <cell r="H2197" t="str">
            <v>Bancada de ensaio para teste metrologico de medidores de energia trifasicos; 24 posicoes, classe 0,05.</v>
          </cell>
        </row>
        <row r="2198">
          <cell r="B2198">
            <v>7020602350</v>
          </cell>
          <cell r="D2198">
            <v>97066</v>
          </cell>
          <cell r="E2198">
            <v>90312090</v>
          </cell>
          <cell r="F2198" t="str">
            <v>Not applicable</v>
          </cell>
          <cell r="G2198">
            <v>90312090</v>
          </cell>
          <cell r="H2198" t="str">
            <v>Bancada de ensaio para teste metrologico de medidores de energia monofasicos; 24 posicoes, classe 0,05.</v>
          </cell>
        </row>
        <row r="2199">
          <cell r="B2199">
            <v>7020602370</v>
          </cell>
          <cell r="D2199">
            <v>97080</v>
          </cell>
          <cell r="E2199">
            <v>90312090</v>
          </cell>
          <cell r="F2199" t="str">
            <v>Not applicable</v>
          </cell>
          <cell r="G2199">
            <v>90312090</v>
          </cell>
          <cell r="H2199" t="str">
            <v>Bancada de ensaio para teste funcional de medidores de energia trifasicos, com 5 posicoes com acionamento pneumatico, com cabecote para comunicacAo e acoplamento ativo, com computador industrial e suporte para monitor, utilizado para ligar o medidor, comunicar e testar saída de usuario.</v>
          </cell>
        </row>
        <row r="2200">
          <cell r="B2200">
            <v>4039898580</v>
          </cell>
          <cell r="D2200">
            <v>96577</v>
          </cell>
          <cell r="E2200">
            <v>84798999</v>
          </cell>
          <cell r="F2200" t="str">
            <v>Not applicable</v>
          </cell>
          <cell r="G2200">
            <v>84798999</v>
          </cell>
          <cell r="H2200" t="str">
            <v>Maquina de insercAo automatica de porcas de cobre em base de medidores de energia eletrica, semi-automatica, equipada com cabecote para a insercAo de porcas, modelo AAAA, marca BBBB, ano de fabricacAo XXXX, numero de serie YYYY a ZZZZ.</v>
          </cell>
        </row>
        <row r="2201">
          <cell r="B2201">
            <v>4020110940</v>
          </cell>
          <cell r="D2201">
            <v>97181</v>
          </cell>
          <cell r="E2201">
            <v>85414900</v>
          </cell>
          <cell r="F2201" t="str">
            <v>Not applicable</v>
          </cell>
          <cell r="G2201">
            <v>85414900</v>
          </cell>
          <cell r="H2201" t="str">
            <v>Dispositivo fotossensível semicondutor, sensor optico fotoeletrico por proximidade, de fonte de LED</v>
          </cell>
        </row>
        <row r="2202">
          <cell r="B2202">
            <v>4020110990</v>
          </cell>
          <cell r="D2202">
            <v>96896</v>
          </cell>
          <cell r="E2202">
            <v>85318000</v>
          </cell>
          <cell r="F2202" t="str">
            <v>Not applicable</v>
          </cell>
          <cell r="G2202">
            <v>85318000</v>
          </cell>
          <cell r="H2202" t="str">
            <v>Torre luminosa para sinalizacAo visual, composta de tres luzes acionaveis nas cores verde, amarelo e vermelho</v>
          </cell>
        </row>
        <row r="2203">
          <cell r="B2203">
            <v>4020110950</v>
          </cell>
          <cell r="D2203">
            <v>97183</v>
          </cell>
          <cell r="E2203">
            <v>85371020</v>
          </cell>
          <cell r="F2203" t="str">
            <v>Not applicable</v>
          </cell>
          <cell r="G2203">
            <v>85371020</v>
          </cell>
          <cell r="H2203" t="str">
            <v>Controlador Logico Programavel (CLP) para comando eletrico de bancada de calibracAo e montagem de medidores eletricos, tensAo de 24V</v>
          </cell>
        </row>
        <row r="2204">
          <cell r="B2204">
            <v>4020110960</v>
          </cell>
          <cell r="D2204">
            <v>97184</v>
          </cell>
          <cell r="E2204">
            <v>85371019</v>
          </cell>
          <cell r="F2204" t="str">
            <v>Not applicable</v>
          </cell>
          <cell r="G2204">
            <v>85371019</v>
          </cell>
          <cell r="H2204" t="str">
            <v>Comando numerico computadorizado (CNC) - IHM com tela sensível ao toque, com processador e barramento de 32 bits ARM9 200MHz, incorporando recursos graficos e execucAo de macros, resolucAo aproximada de 210 x 125 mícrons e capacidade de conexAo digital para servo-acionamento, com monitor policromatico</v>
          </cell>
        </row>
        <row r="2205">
          <cell r="B2205">
            <v>40146203</v>
          </cell>
          <cell r="D2205">
            <v>40146203</v>
          </cell>
          <cell r="E2205">
            <v>90289010</v>
          </cell>
          <cell r="F2205" t="str">
            <v>Not applicable</v>
          </cell>
          <cell r="G2205">
            <v>90289010</v>
          </cell>
          <cell r="H2205" t="str">
            <v>Placa de circuito impresso montada (PCBA), parte para montagem de medidor de energia eletrica (contador de eletricidade) bifasico digital Cronos 7023-NG+ 120V, 240V 2 Fases 3 Fios 15(120)A + SU (HXB7023E.R210)</v>
          </cell>
        </row>
        <row r="2206">
          <cell r="B2206">
            <v>40146303</v>
          </cell>
          <cell r="D2206">
            <v>40146303</v>
          </cell>
          <cell r="E2206">
            <v>90289010</v>
          </cell>
          <cell r="F2206" t="str">
            <v>Not applicable</v>
          </cell>
          <cell r="G2206">
            <v>90289010</v>
          </cell>
          <cell r="H2206" t="str">
            <v>Placa de circuito impresso montada (PCBA), parte para montagem de medidor de energia eletrica (contador de eletricidade) trifasico digital Cronos 7023-NG+ 120V, 240V 3 Fases 4 Fios 15(120)A + SU (HXB7023E.R210)</v>
          </cell>
        </row>
        <row r="2207">
          <cell r="B2207">
            <v>7020201030</v>
          </cell>
          <cell r="D2207">
            <v>97172</v>
          </cell>
          <cell r="E2207">
            <v>84771011</v>
          </cell>
          <cell r="F2207" t="str">
            <v>Not applicable</v>
          </cell>
          <cell r="G2207">
            <v>84771011</v>
          </cell>
          <cell r="H2207" t="str">
            <v>Maquina de moldar por injecAo, horizontal, de comando numerico, marca Haitian, modelo MA3200/1700, monocolor, para materiais termoplasticos, com capacidade de injecAo aproximada de 981g e forca de fechamento 3200kN, com Conjunto de CanhAo e Rosca Cromado para PC optico e CanhAo bimetalico, Interface para Robo Euromap 67 e 2 jogos de macho hidraulico no placa movel, numero de serie XXXX, ano de fabricacAo YYYY</v>
          </cell>
        </row>
        <row r="2208">
          <cell r="B2208">
            <v>7020201040</v>
          </cell>
          <cell r="D2208">
            <v>97173</v>
          </cell>
          <cell r="E2208">
            <v>84771011</v>
          </cell>
          <cell r="F2208" t="str">
            <v>Not applicable</v>
          </cell>
          <cell r="G2208">
            <v>84771011</v>
          </cell>
          <cell r="H2208" t="str">
            <v>Maquina de moldar por injecAo, horizontal, de comando numerico, marca Haitian, modelo MA5300/4500, monocolor, para materiais termoplasticos, com capacidade de injecAo aproximada de 3145g e forca de fechamento 5300kN, com Conjunto de CanhAo e Rosca Cromado para PC optico e CanhAo bimetalico, Interface para Robo Euromap 67 e 2 jogos de macho hidraulico no placa movel, numero de serie XXXX, ano de fabricacAo YYYY</v>
          </cell>
        </row>
        <row r="2209">
          <cell r="B2209">
            <v>3010912700</v>
          </cell>
          <cell r="D2209">
            <v>20691410</v>
          </cell>
          <cell r="E2209">
            <v>85363090</v>
          </cell>
          <cell r="F2209">
            <v>85363090</v>
          </cell>
          <cell r="G2209">
            <v>85363090</v>
          </cell>
          <cell r="H2209" t="str">
            <v>Protetor de Surto, para protecAo de circuitos eletricos, de tensAo ate 380V, modelo GS-B+C/4X ,2P (3010912700)</v>
          </cell>
        </row>
        <row r="2210">
          <cell r="B2210">
            <v>3010912710</v>
          </cell>
          <cell r="D2210">
            <v>20691412</v>
          </cell>
          <cell r="E2210">
            <v>85363090</v>
          </cell>
          <cell r="F2210">
            <v>85363090</v>
          </cell>
          <cell r="G2210">
            <v>85363090</v>
          </cell>
          <cell r="H2210" t="str">
            <v>Protetor de Surto, para protecAo de circuitos eletricos, de tensAo ate 380V, modelo GS-BC-25/4,2P (3010912710)</v>
          </cell>
        </row>
        <row r="2211">
          <cell r="B2211">
            <v>3010912720</v>
          </cell>
          <cell r="D2211">
            <v>20691413</v>
          </cell>
          <cell r="E2211">
            <v>85363090</v>
          </cell>
          <cell r="F2211">
            <v>85363090</v>
          </cell>
          <cell r="G2211">
            <v>85363090</v>
          </cell>
          <cell r="H2211" t="str">
            <v>Protetor de Surto, para protecAo de circuitos eletricos, de tensAo ate 380V, modelo GS-BC-25/4,4P (3010912720)</v>
          </cell>
        </row>
        <row r="2212">
          <cell r="B2212" t="str">
            <v>PENDING</v>
          </cell>
          <cell r="D2212">
            <v>40935</v>
          </cell>
          <cell r="E2212">
            <v>85151900</v>
          </cell>
          <cell r="F2212" t="str">
            <v>Not applicable</v>
          </cell>
          <cell r="G2212">
            <v>85151900</v>
          </cell>
          <cell r="H2212" t="str">
            <v>EstacAo de solda, para soldadura fraca de metais de componentes eletronicos</v>
          </cell>
        </row>
        <row r="2213">
          <cell r="B2213">
            <v>2054300170</v>
          </cell>
          <cell r="D2213">
            <v>20680135</v>
          </cell>
          <cell r="E2213">
            <v>85423221</v>
          </cell>
          <cell r="F2213">
            <v>85423221</v>
          </cell>
          <cell r="G2213">
            <v>85423221</v>
          </cell>
          <cell r="H2213" t="str">
            <v>Circuito integrado eletronico de memoria tipo flash, de capacidade de memoria 8Mbytes, montado, proprio para montagem em superfície SMD; encapsulamento 8pin SOP 208-mil</v>
          </cell>
        </row>
        <row r="2214">
          <cell r="B2214" t="str">
            <v>HXAP1000R21107-PCBA</v>
          </cell>
          <cell r="D2214">
            <v>21500050</v>
          </cell>
          <cell r="E2214">
            <v>85177900</v>
          </cell>
          <cell r="F2214">
            <v>85177900</v>
          </cell>
          <cell r="G2214">
            <v>85177900</v>
          </cell>
          <cell r="H2214" t="str">
            <v>Placas de circuito impresso montadas, parte para montagem de roteadores de borda,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2215">
          <cell r="B2215" t="str">
            <v>HXAP1000R21108</v>
          </cell>
          <cell r="D2215">
            <v>21500051</v>
          </cell>
          <cell r="E2215">
            <v>85176241</v>
          </cell>
          <cell r="F2215">
            <v>85176241</v>
          </cell>
          <cell r="G2215">
            <v>85176241</v>
          </cell>
          <cell r="H2215"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2216">
          <cell r="B2216" t="str">
            <v>HXWSG100R21003</v>
          </cell>
          <cell r="D2216">
            <v>21500052</v>
          </cell>
          <cell r="E2216">
            <v>85176294</v>
          </cell>
          <cell r="F2216">
            <v>85176294</v>
          </cell>
          <cell r="G2216">
            <v>85176294</v>
          </cell>
          <cell r="H2216" t="str">
            <v>Sub-roteadores de radio frequencia, tradutores (conversores) de protocolos para interconexoes de redes (gateways),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80 ~ 300 VAC.</v>
          </cell>
        </row>
        <row r="2217">
          <cell r="B2217">
            <v>4020404670</v>
          </cell>
          <cell r="D2217">
            <v>68542</v>
          </cell>
          <cell r="E2217">
            <v>84689090</v>
          </cell>
          <cell r="F2217" t="str">
            <v>Not applicable</v>
          </cell>
          <cell r="G2217">
            <v>84689090</v>
          </cell>
          <cell r="H2217" t="str">
            <v>Bocal, parte para uso em tanque de forno de soldagem por onda (wave soldering)</v>
          </cell>
        </row>
        <row r="2218">
          <cell r="B2218">
            <v>7020825481</v>
          </cell>
          <cell r="D2218">
            <v>97072</v>
          </cell>
          <cell r="E2218">
            <v>84807100</v>
          </cell>
          <cell r="F2218" t="str">
            <v>Not applicable</v>
          </cell>
          <cell r="G2218">
            <v>84807100</v>
          </cell>
          <cell r="H2218" t="str">
            <v>Molde para plastico, para moldagem por injecAo, para tampa flip de medidor de agua - HLD-S23009</v>
          </cell>
        </row>
        <row r="2219">
          <cell r="B2219">
            <v>7020825491</v>
          </cell>
          <cell r="D2219">
            <v>97073</v>
          </cell>
          <cell r="E2219">
            <v>84807100</v>
          </cell>
          <cell r="F2219" t="str">
            <v>Not applicable</v>
          </cell>
          <cell r="G2219">
            <v>84807100</v>
          </cell>
          <cell r="H2219" t="str">
            <v xml:space="preserve">	Molde para plastico, para moldagem por injecAo, para base de medidor de agua - HLD-S23010</v>
          </cell>
        </row>
        <row r="2220">
          <cell r="B2220">
            <v>7020825501</v>
          </cell>
          <cell r="D2220">
            <v>97074</v>
          </cell>
          <cell r="E2220">
            <v>84807100</v>
          </cell>
          <cell r="F2220" t="str">
            <v>Not applicable</v>
          </cell>
          <cell r="G2220">
            <v>84807100</v>
          </cell>
          <cell r="H2220" t="str">
            <v>Molde para plastico, para moldagem por injecAo, para tampa de medidor de agua - HLD-S23011</v>
          </cell>
        </row>
        <row r="2221">
          <cell r="B2221">
            <v>7020825521</v>
          </cell>
          <cell r="D2221">
            <v>97075</v>
          </cell>
          <cell r="E2221">
            <v>84807100</v>
          </cell>
          <cell r="F2221" t="str">
            <v>Not applicable</v>
          </cell>
          <cell r="G2221">
            <v>84807100</v>
          </cell>
          <cell r="H2221" t="str">
            <v>Molde para plastico, para moldagem por injecAo, para caixa de PCB de medidor de agua - HLD-S23013</v>
          </cell>
        </row>
        <row r="2222">
          <cell r="B2222">
            <v>7020825511</v>
          </cell>
          <cell r="D2222">
            <v>97076</v>
          </cell>
          <cell r="E2222">
            <v>84807100</v>
          </cell>
          <cell r="F2222" t="str">
            <v>Not applicable</v>
          </cell>
          <cell r="G2222">
            <v>84807100</v>
          </cell>
          <cell r="H2222" t="str">
            <v>Molde para plastico, para moldagem por injecAo, para pecas inferiores de medidor de agua - HLD-S23012</v>
          </cell>
        </row>
        <row r="2223">
          <cell r="B2223">
            <v>7070302840</v>
          </cell>
          <cell r="D2223">
            <v>21500900</v>
          </cell>
          <cell r="E2223">
            <v>84713019</v>
          </cell>
          <cell r="F2223" t="str">
            <v>Not applicable</v>
          </cell>
          <cell r="G2223">
            <v>84713019</v>
          </cell>
          <cell r="H2223" t="str">
            <v>PAD ( (unidade portatil para processamento de dados)  para processamento de dados, portatil, com peso de 600g, que contenham pelo uma unidade central de processamento, um teclado e uma tela (ecrA*),  com tela de area aproximadamente 3,28 cm², capazes de funcionar sem fonte externa de energia. com  RAM 8G+ ROM128G Bateria Android 10 com GMS</v>
          </cell>
        </row>
        <row r="2224">
          <cell r="B2224" t="str">
            <v>6001012260 </v>
          </cell>
          <cell r="D2224">
            <v>20692412</v>
          </cell>
          <cell r="E2224">
            <v>84713012</v>
          </cell>
          <cell r="F2224" t="str">
            <v>Not applicable</v>
          </cell>
          <cell r="G2224">
            <v>84713012</v>
          </cell>
          <cell r="H2224" t="str">
            <v>PDA (unidade portatil para processamento de dados), de peso líquido unitario aproximado de 0,5kg a 1,5 kg, contendo unidade central de processamento, teclado virtual e tela, capaz de funcionar sem fonte externa de energia, com tela de area aproximada de 323cm², com comunicacAo em redes LTE, WiFi e Bluetoogh, capacidade de armazenamento de 64GB e 4GB de memoria RAM.</v>
          </cell>
        </row>
        <row r="2225">
          <cell r="B2225">
            <v>7030102650</v>
          </cell>
          <cell r="D2225">
            <v>20693423</v>
          </cell>
          <cell r="E2225">
            <v>90304090</v>
          </cell>
          <cell r="F2225" t="str">
            <v>Not applicable</v>
          </cell>
          <cell r="G2225">
            <v>90304090</v>
          </cell>
          <cell r="H2225" t="str">
            <v xml:space="preserve">Instrumento para analise e medida de reflectometria de domínio de frequencia de cabos e antenas wireless E7000L </v>
          </cell>
        </row>
        <row r="2226">
          <cell r="B2226" t="str">
            <v>Canvas bag</v>
          </cell>
          <cell r="D2226">
            <v>97273</v>
          </cell>
          <cell r="E2226">
            <v>42022220</v>
          </cell>
          <cell r="F2226" t="str">
            <v>Not applicable</v>
          </cell>
          <cell r="G2226">
            <v>42022220</v>
          </cell>
          <cell r="H2226" t="str">
            <v>Bolsa com tiracolo, com alcas, de materiais texteis de fibras de poliester e de algodAo</v>
          </cell>
        </row>
        <row r="2227">
          <cell r="B2227" t="str">
            <v>Vacuum cup</v>
          </cell>
          <cell r="D2227">
            <v>97274</v>
          </cell>
          <cell r="E2227">
            <v>96170010</v>
          </cell>
          <cell r="F2227" t="str">
            <v>Not applicable</v>
          </cell>
          <cell r="G2227">
            <v>96170010</v>
          </cell>
          <cell r="H2227" t="str">
            <v>Garrafa termica, com isolamento produzido por vacuo</v>
          </cell>
        </row>
        <row r="2228">
          <cell r="B2228" t="str">
            <v>Note book</v>
          </cell>
          <cell r="D2228">
            <v>97275</v>
          </cell>
          <cell r="E2228">
            <v>48202000</v>
          </cell>
          <cell r="F2228" t="str">
            <v>Not applicable</v>
          </cell>
          <cell r="G2228">
            <v>48202000</v>
          </cell>
          <cell r="H2228" t="str">
            <v>Caderno simples, tipo agenda, de capa de couro sintetico</v>
          </cell>
        </row>
        <row r="2229">
          <cell r="B2229" t="str">
            <v>Pen</v>
          </cell>
          <cell r="D2229">
            <v>97276</v>
          </cell>
          <cell r="E2229">
            <v>96081000</v>
          </cell>
          <cell r="F2229" t="str">
            <v>Not applicable</v>
          </cell>
          <cell r="G2229">
            <v>96081000</v>
          </cell>
          <cell r="H2229" t="str">
            <v>Caneta esferografica 0,5mm, de material de plastico, para uso de escritorio</v>
          </cell>
        </row>
        <row r="2230">
          <cell r="B2230" t="str">
            <v>Mouse pad</v>
          </cell>
          <cell r="D2230">
            <v>97277</v>
          </cell>
          <cell r="E2230">
            <v>39261000</v>
          </cell>
          <cell r="F2230" t="str">
            <v>Not applicable</v>
          </cell>
          <cell r="G2230">
            <v>39261000</v>
          </cell>
          <cell r="H2230" t="str">
            <v>Mouse pad, de material de plastico (poliamida), para uso de escritorio</v>
          </cell>
        </row>
        <row r="2231">
          <cell r="B2231" t="str">
            <v>Tool set</v>
          </cell>
          <cell r="D2231" t="str">
            <v>PENDING</v>
          </cell>
          <cell r="E2231">
            <v>82060000</v>
          </cell>
          <cell r="F2231" t="str">
            <v>Not applicable</v>
          </cell>
          <cell r="H2231" t="str">
            <v>Kit de ferramentas manuais diversas e de uso domestico, acondicionadas em caixa plastica, incluindo chaves de fenda, martelo de garra, chave de porca de abertura variavel, estilete, fita metrica, chave hexagonal, alicate cortador de fio e chave de forja portatil</v>
          </cell>
        </row>
        <row r="2232">
          <cell r="B2232">
            <v>2090903770</v>
          </cell>
          <cell r="D2232">
            <v>20661942</v>
          </cell>
          <cell r="E2232">
            <v>85369040</v>
          </cell>
          <cell r="F2232">
            <v>85369040</v>
          </cell>
          <cell r="G2232">
            <v>85369040</v>
          </cell>
          <cell r="H2232" t="str">
            <v>Conector macho para circuito impresso, de tensAo ate 320V, para conexAo de cabo flat, para montagem PTH, 2x5 pinos, distAncia entre pinos 2,54mm</v>
          </cell>
        </row>
        <row r="2233">
          <cell r="B2233">
            <v>3031300270</v>
          </cell>
          <cell r="D2233">
            <v>20269423</v>
          </cell>
          <cell r="E2233">
            <v>73182100</v>
          </cell>
          <cell r="F2233">
            <v>73182100</v>
          </cell>
          <cell r="G2233">
            <v>73182100</v>
          </cell>
          <cell r="H2233" t="str">
            <v>ARRUELA DE PRESSAO EM MATeRIA-PRIMA BASE DE AcO INOXIDaVEL SUS304, DE PROCESSO DE FABRICAcAO POR ESTAMPAGEM, DE ACABAMENTO SUPERFICIAL SEM TRATAMENTO, DIAMETRO Ø=3,1mm (3031300270)</v>
          </cell>
        </row>
        <row r="2234">
          <cell r="B2234">
            <v>3031102070</v>
          </cell>
          <cell r="D2234">
            <v>20269422</v>
          </cell>
          <cell r="E2234">
            <v>73182200</v>
          </cell>
          <cell r="F2234">
            <v>73182200</v>
          </cell>
          <cell r="G2234">
            <v>73182200</v>
          </cell>
          <cell r="H2234" t="str">
            <v>ARRUELA LISA EM MATeRIA-PRIMA BASE DE AcO INOXIDaVEL SUS304, DE PROCESSO DE FABRICAcAO POR ESTAMPAGEM, DE ACABAMENTO SUPERFICIAL SEM TRATAMENTO, DIAMETRO Ø=3,2mm, 7mm, 0,5mm (3031102070)</v>
          </cell>
        </row>
        <row r="2235">
          <cell r="B2235">
            <v>3032700480</v>
          </cell>
          <cell r="D2235">
            <v>21185025</v>
          </cell>
          <cell r="E2235">
            <v>73181500</v>
          </cell>
          <cell r="F2235">
            <v>73181500</v>
          </cell>
          <cell r="G2235">
            <v>73181500</v>
          </cell>
          <cell r="H2235" t="str">
            <v>PARAFUSO TIPO COMPOSTO CABEcA TIPO PANELA DIAM. 5,6mm FENDA CRUZADA COM ARRUELA DE PRESSAO E LISA, DIMENSAO M3x8mm, EM MATeRIA-PRIMA BASE AcO INOXIDaVEL SUS304, DE PROCESSO DE FABRICAcAO POR USINAGEM, DE ACABAMENTO SUPERFICIAL SEM TRATAMENTO  (3032700480)</v>
          </cell>
        </row>
        <row r="2236">
          <cell r="B2236">
            <v>3032702000</v>
          </cell>
          <cell r="D2236">
            <v>21185026</v>
          </cell>
          <cell r="E2236">
            <v>73181500</v>
          </cell>
          <cell r="F2236">
            <v>73181500</v>
          </cell>
          <cell r="G2236">
            <v>73181500</v>
          </cell>
          <cell r="H2236" t="str">
            <v>PARAFUSO M3x10mm COM FENDA CRUZADA, EM MATeRIA-PRIMA BASE AcO INOXIDaVEL SUS304, DE PROCESSO DE FABRICAcAO POR USINAGEM, DE ACABAMENTO SUPERFICIAL SEM TRATAMENTO (3032702000)</v>
          </cell>
        </row>
        <row r="2237">
          <cell r="B2237">
            <v>2140500110</v>
          </cell>
          <cell r="D2237">
            <v>20694618</v>
          </cell>
          <cell r="E2237">
            <v>85442000</v>
          </cell>
          <cell r="F2237">
            <v>85442000</v>
          </cell>
          <cell r="G2237">
            <v>85442000</v>
          </cell>
          <cell r="H2237" t="str">
            <v>Cabos coaxiais de RF, condutor eletrico para tensAo de ate 320V, isolado para uso eletrico, com conectorizacAo SMB femea - N macho.</v>
          </cell>
        </row>
        <row r="2238">
          <cell r="B2238">
            <v>2140103010</v>
          </cell>
          <cell r="D2238">
            <v>20693417</v>
          </cell>
          <cell r="E2238">
            <v>85177190</v>
          </cell>
          <cell r="F2238">
            <v>85177190</v>
          </cell>
          <cell r="G2238">
            <v>85177190</v>
          </cell>
          <cell r="H2238" t="str">
            <v>Antena sucker para utilizacAo em conjunto com modulo de comunicacAo de dados em rede sem fio 4G, com conector SMA, 690~960/1710~2700MHz; 2dBi; 50O; 1500mm; F32*100.5mm</v>
          </cell>
        </row>
        <row r="2239">
          <cell r="B2239">
            <v>2140500140</v>
          </cell>
          <cell r="D2239">
            <v>20601101</v>
          </cell>
          <cell r="E2239">
            <v>85369040</v>
          </cell>
          <cell r="F2239">
            <v>85369040</v>
          </cell>
          <cell r="G2239">
            <v>85369040</v>
          </cell>
          <cell r="H2239" t="str">
            <v>Conectores para circuito impresso, de tensAo ate 300V, adaptadores de conexAo RF IPEX para SMA femea, cinza, 100 mm (2140500140)</v>
          </cell>
        </row>
        <row r="2240">
          <cell r="B2240">
            <v>2020301111</v>
          </cell>
          <cell r="D2240">
            <v>20600901</v>
          </cell>
          <cell r="E2240">
            <v>85322200</v>
          </cell>
          <cell r="F2240">
            <v>85322200</v>
          </cell>
          <cell r="G2240">
            <v>85322200</v>
          </cell>
          <cell r="H2240" t="str">
            <v>Capacitor (condensador eletrico fixo) eletrolítico de alumínio para montagem PTH; CapacitAncia 100uF; TensAo nominal 25Vdc; TolerAncia 20por cento; Terminal radial; DiAmetro 5mm; Comprimento 11mm</v>
          </cell>
        </row>
        <row r="2241">
          <cell r="B2241">
            <v>2030900101</v>
          </cell>
          <cell r="D2241">
            <v>20650137</v>
          </cell>
          <cell r="E2241">
            <v>85051910</v>
          </cell>
          <cell r="F2241" t="str">
            <v>Need to update benefit</v>
          </cell>
          <cell r="G2241">
            <v>85051910</v>
          </cell>
          <cell r="H2241" t="str">
            <v>Chip multicamadas, destinados a tornarem-se ímAs permanentes apos magnetizacAo, de ferrita (cerAmicos); resistencia de 1,6 Ohm; encapsulamento 0603.</v>
          </cell>
        </row>
        <row r="2242">
          <cell r="B2242">
            <v>2081300010</v>
          </cell>
          <cell r="D2242">
            <v>20600502</v>
          </cell>
          <cell r="E2242">
            <v>85176277</v>
          </cell>
          <cell r="F2242">
            <v>85176277</v>
          </cell>
          <cell r="G2242">
            <v>85176277</v>
          </cell>
          <cell r="H2242" t="str">
            <v>Modulos de comunicacAo de dados sem fio, para transmissAo e recepcAo, digitais, emissores de radio frequencia com receptor incorporado, compatíveis com o padrAo IEEE802.11, wifi b/g/n20/n40, com frequencia de operacAo na faixa de 2.4 GHz, de taxa de transmissAo de ate 150 Mbit/s para montagem em placa de circuito impresso em tecnologia SMT (Surface Mount Technology), com tensAo de alimentacAo 3.3V(2081300010).</v>
          </cell>
        </row>
        <row r="2243">
          <cell r="B2243">
            <v>2090105140</v>
          </cell>
          <cell r="D2243">
            <v>20661948</v>
          </cell>
          <cell r="E2243">
            <v>85369040</v>
          </cell>
          <cell r="F2243">
            <v>85369040</v>
          </cell>
          <cell r="G2243">
            <v>85369040</v>
          </cell>
          <cell r="H2243" t="str">
            <v>Conector femea para circuito impresso, com tensAo aproximada entre 0V e 20V, para montagem por insercAo PTH, 2x10 pinos, distAncia entre pinos 2,54mm</v>
          </cell>
        </row>
        <row r="2244">
          <cell r="B2244">
            <v>2090903660</v>
          </cell>
          <cell r="D2244">
            <v>20661951</v>
          </cell>
          <cell r="E2244">
            <v>85369040</v>
          </cell>
          <cell r="F2244">
            <v>85369040</v>
          </cell>
          <cell r="G2244">
            <v>85369040</v>
          </cell>
          <cell r="H2244" t="str">
            <v>Conector para conexAo de circuitos eletricos , com tensAo aproximada entre 0V e 20V; com 4 pinos para conexAo.</v>
          </cell>
        </row>
        <row r="2245">
          <cell r="B2245">
            <v>2090903670</v>
          </cell>
          <cell r="D2245">
            <v>20661952</v>
          </cell>
          <cell r="E2245">
            <v>85369040</v>
          </cell>
          <cell r="F2245">
            <v>85369040</v>
          </cell>
          <cell r="G2245">
            <v>85369040</v>
          </cell>
          <cell r="H2245" t="str">
            <v>Conector para conexAo de circuitos eletricos , com tensAo de ate 320V; 1x3 pinos, 90, 21,72x12,1x8,2mm.</v>
          </cell>
        </row>
        <row r="2246">
          <cell r="B2246">
            <v>2090903740</v>
          </cell>
          <cell r="D2246">
            <v>20661950</v>
          </cell>
          <cell r="E2246">
            <v>85369040</v>
          </cell>
          <cell r="F2246">
            <v>85369040</v>
          </cell>
          <cell r="G2246">
            <v>85369040</v>
          </cell>
          <cell r="H2246" t="str">
            <v>Conector macho para circuito impresso, com tensAo aproximada entre 0V e 20V, para montagem por insercAo PTH, 1x6 pinos; pino reto; 2,5 mm; sem espaco; 6 mm; pino niquelado</v>
          </cell>
        </row>
        <row r="2247">
          <cell r="B2247">
            <v>2091500680</v>
          </cell>
          <cell r="D2247">
            <v>20691574</v>
          </cell>
          <cell r="E2247">
            <v>85369040</v>
          </cell>
          <cell r="F2247">
            <v>85369040</v>
          </cell>
          <cell r="G2247">
            <v>85369040</v>
          </cell>
          <cell r="H2247" t="str">
            <v>Conector para conexAo de circuitos eletricos, com tensAo de ate 250V; com 1x4 pinos para conexAo.</v>
          </cell>
        </row>
        <row r="2248">
          <cell r="B2248">
            <v>2091500690</v>
          </cell>
          <cell r="D2248">
            <v>20691575</v>
          </cell>
          <cell r="E2248">
            <v>85369040</v>
          </cell>
          <cell r="F2248">
            <v>85369040</v>
          </cell>
          <cell r="G2248">
            <v>85369040</v>
          </cell>
          <cell r="H2248" t="str">
            <v>Conector conexAo de circuitos eletricos, com tensAo de ate 250V; com 1x10 pinos para conexAo.</v>
          </cell>
        </row>
        <row r="2249">
          <cell r="B2249">
            <v>2061500210</v>
          </cell>
          <cell r="D2249">
            <v>20690638</v>
          </cell>
          <cell r="E2249">
            <v>85411021</v>
          </cell>
          <cell r="F2249">
            <v>85411021</v>
          </cell>
          <cell r="G2249">
            <v>85411021</v>
          </cell>
          <cell r="H2249" t="str">
            <v>Dispositivo semicondutor, do tipo diodo zener, Montado, proprio para montagem em superfície (SMD - Surface Mounted Device), com intensidade de corrente de 1A; encapsulamento SMA.</v>
          </cell>
        </row>
        <row r="2250">
          <cell r="B2250">
            <v>2060302520</v>
          </cell>
          <cell r="D2250">
            <v>20630115</v>
          </cell>
          <cell r="E2250">
            <v>85411022</v>
          </cell>
          <cell r="F2250">
            <v>85411022</v>
          </cell>
          <cell r="G2250">
            <v>85411022</v>
          </cell>
          <cell r="H2250" t="str">
            <v xml:space="preserve">DISPOSITIVO SEMI CONDUTOR DO TIPO DIODO PESD (PROTETOR ELETROSTATICO), MONTADO, PROPRIO PARA MONTAGEM EM SUPERFÍCIE (SMD - SURFACE MOUNTED DEVICE), DE INTENSIDADE DE CORRENTE 0,00000005A; 5V, 1,6X0,8MM </v>
          </cell>
        </row>
        <row r="2251">
          <cell r="B2251">
            <v>2054300290</v>
          </cell>
          <cell r="D2251">
            <v>20680134</v>
          </cell>
          <cell r="E2251">
            <v>85423221</v>
          </cell>
          <cell r="F2251">
            <v>85423221</v>
          </cell>
          <cell r="G2251">
            <v>85423221</v>
          </cell>
          <cell r="H2251" t="str">
            <v>Circuito integrado eletronico de memoria tipo flash, montado, proprio para montagem em superfície SMD; de capacidade de memoria de 16 Mbytes (128 Mbits); encapsulamento 8pin SOIC 208-milc</v>
          </cell>
        </row>
        <row r="2252">
          <cell r="B2252">
            <v>2054100030</v>
          </cell>
          <cell r="D2252">
            <v>20660397</v>
          </cell>
          <cell r="E2252">
            <v>85423229</v>
          </cell>
          <cell r="F2252">
            <v>85423229</v>
          </cell>
          <cell r="G2252">
            <v>85423229</v>
          </cell>
          <cell r="H2252" t="str">
            <v>Circuito integrado eletronico do tipo memoria, montado,proprio para montagem em superfície SMD do tipo FRAM; TensAo de saída ajustavel 2,7~3,6V; Capacidade de armazenamento 0,008 Mbytes; Encapsulamento 8pin SOP 150mil</v>
          </cell>
        </row>
        <row r="2253">
          <cell r="B2253">
            <v>2052500010</v>
          </cell>
          <cell r="D2253">
            <v>20691651</v>
          </cell>
          <cell r="E2253">
            <v>85423939</v>
          </cell>
          <cell r="F2253">
            <v>85423939</v>
          </cell>
          <cell r="G2253">
            <v>85423939</v>
          </cell>
          <cell r="H2253" t="str">
            <v>Circuito integrado eletronico do tipo regulador de tensAo, montado, proprio para montagem em superfície SMD; TensAo de saída ajustavel 4V~36V; Encapsulamento QFN-8; Corrente nominal de saída 3000mA</v>
          </cell>
        </row>
        <row r="2254">
          <cell r="B2254">
            <v>2052500050</v>
          </cell>
          <cell r="D2254">
            <v>20691652</v>
          </cell>
          <cell r="E2254">
            <v>85423939</v>
          </cell>
          <cell r="F2254">
            <v>85423939</v>
          </cell>
          <cell r="G2254">
            <v>85423939</v>
          </cell>
          <cell r="H2254" t="str">
            <v>Circuito integrado eletronico do tipo regulador de tensAo, montado, proprio para montagem em superfície (SMD - Surface Mounted Device); TensAo de saída ajustavel 3.3V~36V; Encapsulamento SOT23-6L; Corrente nominal de saída 600mA</v>
          </cell>
        </row>
        <row r="2255">
          <cell r="B2255">
            <v>2052700190</v>
          </cell>
          <cell r="D2255">
            <v>20691646</v>
          </cell>
          <cell r="E2255">
            <v>85423939</v>
          </cell>
          <cell r="F2255">
            <v>85423939</v>
          </cell>
          <cell r="G2255">
            <v>85423939</v>
          </cell>
          <cell r="H2255" t="str">
            <v>Circuito integrado eletronico do tipo regulador de tensAo de tres terminais montado, proprio para montagem em superfície SMD; TensAo de saída 1,2 a 37V; Encapsulamento SO-8; Corrente nominal de saída 100mA </v>
          </cell>
        </row>
        <row r="2256">
          <cell r="B2256">
            <v>2052700260</v>
          </cell>
          <cell r="D2256">
            <v>20691647</v>
          </cell>
          <cell r="E2256">
            <v>85423999</v>
          </cell>
          <cell r="F2256">
            <v>85423999</v>
          </cell>
          <cell r="G2256">
            <v>85423999</v>
          </cell>
          <cell r="H2256" t="str">
            <v>CIRCUITO INTEGRADO ELETRONICO DO TIPO REGULADOR DE TENSAO DE TRES TERMINAIS MONTADO 4,2~40V, PROPRIO PARA MONTAGEM POR INSERCAO PTH; TENSAO DE SAIDA 1,2 A 37V; ENCAPSULAMENTO TO-220-3; CORRENTE NOMINAL DE SAIDA 1500MA</v>
          </cell>
        </row>
        <row r="2257">
          <cell r="B2257">
            <v>2052700420</v>
          </cell>
          <cell r="D2257">
            <v>20691648</v>
          </cell>
          <cell r="E2257">
            <v>85423939</v>
          </cell>
          <cell r="F2257">
            <v>85423939</v>
          </cell>
          <cell r="G2257">
            <v>85423939</v>
          </cell>
          <cell r="H2257" t="str">
            <v>Circuito integrado eletronico do tipo supervisor de tensAo de alta precisAo, montado, proprio para montagem em superfície SMD; Encapsulamento SOT-23-5; tensAo de operacAo 0,8V~5,5V</v>
          </cell>
        </row>
        <row r="2258">
          <cell r="B2258">
            <v>2052700470</v>
          </cell>
          <cell r="D2258">
            <v>20691650</v>
          </cell>
          <cell r="E2258">
            <v>85423939</v>
          </cell>
          <cell r="F2258">
            <v>85423939</v>
          </cell>
          <cell r="G2258">
            <v>85423939</v>
          </cell>
          <cell r="H2258" t="str">
            <v>Circuito integrado eletronico do tipo regulador de tensAo Low Drop-out, montado, proprio para montagem em superfície SMD; TensAo de saída ajustavel  1.8~15V; Encapsulamento SOT223; Corrente nominal de saída 800mA</v>
          </cell>
        </row>
        <row r="2259">
          <cell r="B2259">
            <v>2052900040</v>
          </cell>
          <cell r="D2259">
            <v>20691649</v>
          </cell>
          <cell r="E2259">
            <v>85423939</v>
          </cell>
          <cell r="F2259">
            <v>85423939</v>
          </cell>
          <cell r="G2259">
            <v>85423939</v>
          </cell>
          <cell r="H2259" t="str">
            <v>Circuito integrado eletronico do tipo supervisor de tensAo de alta precisAo, montado, proprio para montagem em superfície SMD; Encapsulamento SOT-23; tensAo de operacAo 1,2V~5,5V</v>
          </cell>
        </row>
        <row r="2260">
          <cell r="B2260">
            <v>2053500050</v>
          </cell>
          <cell r="D2260">
            <v>20650201</v>
          </cell>
          <cell r="E2260">
            <v>85423939</v>
          </cell>
          <cell r="F2260">
            <v>85423939</v>
          </cell>
          <cell r="G2260">
            <v>85423939</v>
          </cell>
          <cell r="H2260" t="str">
            <v>Circuito integrado eletronico do tipo regulador de tensAo montado, proprio para montagem em superfície SMD; TensAo de saída ajustavel 2.5~36V; Encapsulamento TO-92.</v>
          </cell>
        </row>
        <row r="2261">
          <cell r="B2261">
            <v>2091500190</v>
          </cell>
          <cell r="D2261">
            <v>20601502</v>
          </cell>
          <cell r="E2261">
            <v>85444200</v>
          </cell>
          <cell r="F2261">
            <v>85444200</v>
          </cell>
          <cell r="G2261">
            <v>85444200</v>
          </cell>
          <cell r="H2261" t="str">
            <v>Cabo condutor eletrico, isolado para uso eletrico, munido de peca de conexAo, para uma tensAo entre 0 e 20V, Fio terminal SCN de 6 nucleos; reto; 90 mm; 6; nylon 66, fio 24#</v>
          </cell>
        </row>
        <row r="2262">
          <cell r="B2262">
            <v>3090310550</v>
          </cell>
          <cell r="D2262">
            <v>20601500</v>
          </cell>
          <cell r="E2262">
            <v>85444200</v>
          </cell>
          <cell r="F2262">
            <v>85444200</v>
          </cell>
          <cell r="G2262">
            <v>85444200</v>
          </cell>
          <cell r="H2262" t="str">
            <v>Cabo condutor eletrico, isolado para uso eletrico, munido de peca de conexAo, para uma tensAo entre 0 e 20V, 26AWG UL2468; 90 mm; branco; uma extremidade com plugue SCN-6P, a outra extremidade com plugue 5264-6P</v>
          </cell>
        </row>
        <row r="2263">
          <cell r="B2263">
            <v>3090310560</v>
          </cell>
          <cell r="D2263">
            <v>20601501</v>
          </cell>
          <cell r="E2263">
            <v>85444200</v>
          </cell>
          <cell r="F2263">
            <v>85444200</v>
          </cell>
          <cell r="G2263">
            <v>85444200</v>
          </cell>
          <cell r="H2263" t="str">
            <v>Cabo condutor eletrico, isolado para uso eletrico, munido de peca de conexAo, para uma tensAo entre 0 e 20V, 26AWG UL2468; 60mm; branco; uma extremidade com plugue SCN-2P, a outra extremidade com plugue 5264-2P</v>
          </cell>
        </row>
        <row r="2264">
          <cell r="B2264">
            <v>2090106130</v>
          </cell>
          <cell r="D2264">
            <v>20661949</v>
          </cell>
          <cell r="E2264">
            <v>85369090</v>
          </cell>
          <cell r="F2264">
            <v>85369090</v>
          </cell>
          <cell r="G2264">
            <v>85369090</v>
          </cell>
          <cell r="H2264" t="str">
            <v>Pino macho para conexAo de circuitos eletricos, com tensAo aproximada entre 0V e 100V, para montagem por insercAo PTH, 2x4 pinos, distAncia entre pinos 2,54mm; comprimento 37 mm</v>
          </cell>
        </row>
        <row r="2265">
          <cell r="B2265">
            <v>2090106170</v>
          </cell>
          <cell r="D2265">
            <v>20691329</v>
          </cell>
          <cell r="E2265">
            <v>85369040</v>
          </cell>
          <cell r="F2265">
            <v>85369040</v>
          </cell>
          <cell r="G2265">
            <v>85369040</v>
          </cell>
          <cell r="H2265" t="str">
            <v>Conector bloco terminal macho para conexAo de circuito eletrico, separavel, para montagem por insercAo PTH; com tensAo aproximada entre 0V e 20V,  espacamento 3,81mm; 2 vias 90</v>
          </cell>
        </row>
        <row r="2266">
          <cell r="B2266">
            <v>2090903800</v>
          </cell>
          <cell r="D2266">
            <v>20691330</v>
          </cell>
          <cell r="E2266">
            <v>85369040</v>
          </cell>
          <cell r="F2266">
            <v>85369040</v>
          </cell>
          <cell r="G2266">
            <v>85369040</v>
          </cell>
          <cell r="H2266" t="str">
            <v>Conector bloco terminal macho para conexAo de circuito eletrico, separavel, para montagem por insercAo PTH; com tensAo aproximada entre 0V e 100V, espacamento 7,62mm; 4 vias 90</v>
          </cell>
        </row>
        <row r="2267">
          <cell r="B2267">
            <v>2090903810</v>
          </cell>
          <cell r="D2267">
            <v>20691331</v>
          </cell>
          <cell r="E2267">
            <v>85369040</v>
          </cell>
          <cell r="F2267">
            <v>85369040</v>
          </cell>
          <cell r="G2267">
            <v>85369040</v>
          </cell>
          <cell r="H2267" t="str">
            <v>Conector bloco terminal macho para conexAo de circuito eletrico, separavel, para montagem por insercAo PTH; com tensAo aproximada entre 0V e 100V,espacamento 3,81mm; 4 vias 90</v>
          </cell>
        </row>
        <row r="2268">
          <cell r="B2268">
            <v>2030900871</v>
          </cell>
          <cell r="D2268">
            <v>20691955</v>
          </cell>
          <cell r="E2268">
            <v>85051910</v>
          </cell>
          <cell r="F2268" t="str">
            <v>Need to update benefit</v>
          </cell>
          <cell r="G2268">
            <v>85051910</v>
          </cell>
          <cell r="H2268" t="str">
            <v>Chip multicamadas, destinadas a tornarem-se ímAs permanentes apos magnetizacAo, de ferrita (cerAmicos); resistencia de 0,12 Ohm; encapsulamento 0805.</v>
          </cell>
        </row>
        <row r="2269">
          <cell r="B2269">
            <v>3010502750</v>
          </cell>
          <cell r="D2269">
            <v>20291305</v>
          </cell>
          <cell r="E2269">
            <v>85444200</v>
          </cell>
          <cell r="F2269">
            <v>85444200</v>
          </cell>
          <cell r="G2269">
            <v>85444200</v>
          </cell>
          <cell r="H2269" t="str">
            <v>PONTE DE COBRE MUNIDA DE PINO RÍGIDO PARA CONEXAO, CONDUTORA ELeTRICA PARA APLICAcAO EM TENSAO DE ATe 240V, ESTANHADA, DIMENSoES 41,4x31,8x25mm, CORRENTE MaXIMA DE 120A</v>
          </cell>
        </row>
        <row r="2270">
          <cell r="B2270">
            <v>40274313</v>
          </cell>
          <cell r="D2270">
            <v>40274313</v>
          </cell>
          <cell r="E2270">
            <v>90319010</v>
          </cell>
          <cell r="F2270" t="str">
            <v>Not applicable</v>
          </cell>
          <cell r="G2270">
            <v>90319010</v>
          </cell>
          <cell r="H2270" t="str">
            <v>Perturbador de fluxo de perfil de velocidade, parte para uso em bancada de ensaios de contadores de líquidos, DN200 tipo 3; Aco Inoxidavel 304</v>
          </cell>
        </row>
        <row r="2271">
          <cell r="B2271">
            <v>40274314</v>
          </cell>
          <cell r="D2271">
            <v>40274314</v>
          </cell>
          <cell r="E2271">
            <v>90319010</v>
          </cell>
          <cell r="F2271" t="str">
            <v>Not applicable</v>
          </cell>
          <cell r="G2271">
            <v>90319010</v>
          </cell>
          <cell r="H2271" t="str">
            <v>Gerador de redemoinho dextrorsal, parte para uso em bancada de ensaios de contadores de líquidos, DN200 tipo 2; Aco Inoxidavel 304</v>
          </cell>
        </row>
        <row r="2272">
          <cell r="B2272">
            <v>40274315</v>
          </cell>
          <cell r="D2272">
            <v>40274315</v>
          </cell>
          <cell r="E2272">
            <v>90319010</v>
          </cell>
          <cell r="F2272" t="str">
            <v>Not applicable</v>
          </cell>
          <cell r="G2272">
            <v>90319010</v>
          </cell>
          <cell r="H2272" t="str">
            <v xml:space="preserve">Gerador de redemoinho sinistrorsal, parte para uso em bancada de ensaios de contadores de líquidos, DN200 tipo 1; Aco Inoxidavel 304 </v>
          </cell>
        </row>
        <row r="2273">
          <cell r="B2273">
            <v>40274316</v>
          </cell>
          <cell r="D2273">
            <v>40274316</v>
          </cell>
          <cell r="E2273">
            <v>90319010</v>
          </cell>
          <cell r="F2273" t="str">
            <v>Not applicable</v>
          </cell>
          <cell r="G2273">
            <v>90319010</v>
          </cell>
          <cell r="H2273" t="str">
            <v>Perturbador de fluxo de perfil de velocidade, parte para uso em bancada de ensaios de contadores de líquidos, DN100 tipo 3; Aco Inoxidavel 304</v>
          </cell>
        </row>
        <row r="2274">
          <cell r="B2274">
            <v>40274317</v>
          </cell>
          <cell r="D2274">
            <v>40274317</v>
          </cell>
          <cell r="E2274">
            <v>90319010</v>
          </cell>
          <cell r="F2274" t="str">
            <v>Not applicable</v>
          </cell>
          <cell r="G2274">
            <v>90319010</v>
          </cell>
          <cell r="H2274" t="str">
            <v>Gerador de redemoinho dextrorsal, parte para uso em bancada de ensaios de contadores de líquidos, DN100 tipo 2; Aco Inoxidavel 304</v>
          </cell>
        </row>
        <row r="2275">
          <cell r="B2275">
            <v>40274318</v>
          </cell>
          <cell r="D2275">
            <v>40274318</v>
          </cell>
          <cell r="E2275">
            <v>90319010</v>
          </cell>
          <cell r="F2275" t="str">
            <v>Not applicable</v>
          </cell>
          <cell r="G2275">
            <v>90319010</v>
          </cell>
          <cell r="H2275" t="str">
            <v>Gerador de redemoinho sinistrorsal, parte para uso em bancada de ensaios de contadores de líquidos, DN100 tipo 1; Aco Inoxidavel 304</v>
          </cell>
        </row>
        <row r="2276">
          <cell r="B2276">
            <v>40274319</v>
          </cell>
          <cell r="D2276">
            <v>40274319</v>
          </cell>
          <cell r="E2276">
            <v>90319010</v>
          </cell>
          <cell r="F2276" t="str">
            <v>Not applicable</v>
          </cell>
          <cell r="G2276">
            <v>90319010</v>
          </cell>
          <cell r="H2276" t="str">
            <v xml:space="preserve">Perturbador de fluxo de perfil de velocidade, parte para uso em bancada de ensaios de contadores de líquidos, DN50 tipo 3; Aco Inoxidavel 304 </v>
          </cell>
        </row>
        <row r="2277">
          <cell r="B2277">
            <v>40274320</v>
          </cell>
          <cell r="D2277">
            <v>40274320</v>
          </cell>
          <cell r="E2277">
            <v>90319010</v>
          </cell>
          <cell r="F2277" t="str">
            <v>Not applicable</v>
          </cell>
          <cell r="G2277">
            <v>90319010</v>
          </cell>
          <cell r="H2277" t="str">
            <v>Gerador de redemoinho dextrorsal, parte para uso em bancada de ensaios de contadores de líquidos, DN50 tipo 2; Aco Inoxidavel 304</v>
          </cell>
        </row>
        <row r="2278">
          <cell r="B2278">
            <v>40274321</v>
          </cell>
          <cell r="D2278">
            <v>40274321</v>
          </cell>
          <cell r="E2278">
            <v>90319010</v>
          </cell>
          <cell r="F2278" t="str">
            <v>Not applicable</v>
          </cell>
          <cell r="G2278">
            <v>90319010</v>
          </cell>
          <cell r="H2278" t="str">
            <v>Gerador de redemoinho sinistrorsal, parte para uso em bancada de ensaios de contadores de líquidos, DN50 tipo 1; Aco Inoxidavel 304</v>
          </cell>
        </row>
        <row r="2279">
          <cell r="B2279">
            <v>40274322</v>
          </cell>
          <cell r="D2279">
            <v>40274322</v>
          </cell>
          <cell r="E2279">
            <v>90319010</v>
          </cell>
          <cell r="F2279" t="str">
            <v>Not applicable</v>
          </cell>
          <cell r="G2279">
            <v>90319010</v>
          </cell>
          <cell r="H2279" t="str">
            <v>Perturbador de fluxo de perfil de velocidade, parte para uso em bancada de ensaios de contadores de líquidos, DN40 tipo 3; Aco Inoxidavel 304</v>
          </cell>
        </row>
        <row r="2280">
          <cell r="B2280">
            <v>40274323</v>
          </cell>
          <cell r="D2280">
            <v>40274323</v>
          </cell>
          <cell r="E2280">
            <v>90319010</v>
          </cell>
          <cell r="F2280" t="str">
            <v>Not applicable</v>
          </cell>
          <cell r="G2280">
            <v>90319010</v>
          </cell>
          <cell r="H2280" t="str">
            <v>Gerador de redemoinho dextrorsal, parte para uso em bancada de ensaios de contadores de líquidos, DN40 tipo 2; Aco Inoxidavel 304</v>
          </cell>
        </row>
        <row r="2281">
          <cell r="B2281">
            <v>40274324</v>
          </cell>
          <cell r="D2281">
            <v>40274324</v>
          </cell>
          <cell r="E2281">
            <v>90319010</v>
          </cell>
          <cell r="F2281" t="str">
            <v>Not applicable</v>
          </cell>
          <cell r="G2281">
            <v>90319010</v>
          </cell>
          <cell r="H2281" t="str">
            <v>Gerador de redemoinho dextrorsal, parte para uso em bancada de ensaios de contadores de líquidos, DN40 tipo 2;Aco Inoxidavel 304</v>
          </cell>
        </row>
        <row r="2282">
          <cell r="B2282" t="str">
            <v>Backpack</v>
          </cell>
          <cell r="D2282" t="str">
            <v>PENDING</v>
          </cell>
          <cell r="E2282">
            <v>42021220</v>
          </cell>
          <cell r="F2282" t="str">
            <v>Not applicable</v>
          </cell>
          <cell r="G2282">
            <v>42021220</v>
          </cell>
          <cell r="H2282" t="str">
            <v>Mochila para viagem, com a superfície exterior de materiais texteis de tecido Oxford de algodAo e poliester</v>
          </cell>
        </row>
        <row r="2283">
          <cell r="B2283">
            <v>2140300060</v>
          </cell>
          <cell r="D2283">
            <v>20292700</v>
          </cell>
          <cell r="E2283">
            <v>74153300</v>
          </cell>
          <cell r="F2283">
            <v>74153300</v>
          </cell>
          <cell r="G2283">
            <v>74153300</v>
          </cell>
          <cell r="H2283" t="str">
            <v>Porca em LatAo (liga de cobrezinco) H8.0*2.0 dourada para fixacAo de conector de antena SMA</v>
          </cell>
        </row>
        <row r="2284">
          <cell r="B2284">
            <v>2140300080</v>
          </cell>
          <cell r="D2284">
            <v>20292407</v>
          </cell>
          <cell r="E2284">
            <v>73182100</v>
          </cell>
          <cell r="F2284">
            <v>73182100</v>
          </cell>
          <cell r="G2284">
            <v>73182100</v>
          </cell>
          <cell r="H2284" t="str">
            <v>Arruela de pressAo em materia prima base de aco baixo carbono, de processo de fabricacAo sem tratamento e acabamento superficial banhado a ouro, dimensoes 8.5*6.5*1.2, para conector SMA</v>
          </cell>
        </row>
        <row r="2285">
          <cell r="B2285">
            <v>2140300070</v>
          </cell>
          <cell r="D2285">
            <v>20694609</v>
          </cell>
          <cell r="E2285">
            <v>85369040</v>
          </cell>
          <cell r="F2285">
            <v>85369040</v>
          </cell>
          <cell r="G2285">
            <v>85369040</v>
          </cell>
          <cell r="H2285" t="str">
            <v>Conector com adaptador SMA femea, para conexAo de circuito eletrico, para tensAo de ate 300 V(DC)</v>
          </cell>
        </row>
        <row r="2286">
          <cell r="B2286">
            <v>2140500020</v>
          </cell>
          <cell r="D2286">
            <v>20601100</v>
          </cell>
          <cell r="E2286">
            <v>85369040</v>
          </cell>
          <cell r="F2286">
            <v>85369040</v>
          </cell>
          <cell r="G2286">
            <v>85369040</v>
          </cell>
          <cell r="H2286" t="str">
            <v xml:space="preserve">Conector adaptador de conexAo RF SMA macho para tipo N macho, para conexAo de circuito eletrico, de tensAo ate 300V, 3600mm </v>
          </cell>
        </row>
        <row r="2287">
          <cell r="B2287" t="str">
            <v>CKD-WPJR010</v>
          </cell>
          <cell r="D2287">
            <v>40291300</v>
          </cell>
          <cell r="E2287">
            <v>85381000</v>
          </cell>
          <cell r="F2287">
            <v>85381000</v>
          </cell>
          <cell r="G2287">
            <v>85381000</v>
          </cell>
          <cell r="H2287" t="str">
            <v>Scj. Caixa Plastica - Gabinete plastico parte para montagem de quadros de distribuicAo de energia eletrica (concentrador de dados PLC G3 HXEJ200), desprovido de componentes/aparelhos eletronicos, dimensoes 380x380x120mm incluindo cabo, parafuso de selagem, cabide e aro (CKD-WPJ.R010)</v>
          </cell>
        </row>
        <row r="2288">
          <cell r="B2288">
            <v>4020109810</v>
          </cell>
          <cell r="D2288">
            <v>25142</v>
          </cell>
          <cell r="E2288">
            <v>84671110</v>
          </cell>
          <cell r="F2288" t="str">
            <v>Not applicable</v>
          </cell>
          <cell r="G2288">
            <v>84671110</v>
          </cell>
          <cell r="H2288" t="str">
            <v>Furadeira pneumatica rotativa, com motor eletrico incorporado, de uso manual</v>
          </cell>
        </row>
        <row r="2289">
          <cell r="B2289">
            <v>4010202270</v>
          </cell>
          <cell r="D2289">
            <v>5247</v>
          </cell>
          <cell r="E2289">
            <v>82052000</v>
          </cell>
          <cell r="F2289" t="str">
            <v>Not applicable</v>
          </cell>
          <cell r="G2289">
            <v>82052000</v>
          </cell>
          <cell r="H2289" t="str">
            <v>Martelo de uso manual</v>
          </cell>
        </row>
        <row r="2290">
          <cell r="B2290">
            <v>4010201820</v>
          </cell>
          <cell r="D2290">
            <v>98148</v>
          </cell>
          <cell r="E2290">
            <v>90178010</v>
          </cell>
          <cell r="F2290" t="str">
            <v>Not applicable</v>
          </cell>
          <cell r="G2290">
            <v>90178010</v>
          </cell>
          <cell r="H2290" t="str">
            <v>Fita metrica, para medida de distAncia em metros, de uso manual</v>
          </cell>
        </row>
        <row r="2291">
          <cell r="B2291">
            <v>4010302750</v>
          </cell>
          <cell r="D2291">
            <v>98147</v>
          </cell>
          <cell r="E2291">
            <v>90153000</v>
          </cell>
          <cell r="F2291" t="str">
            <v>Not applicable</v>
          </cell>
          <cell r="G2291">
            <v>90153000</v>
          </cell>
          <cell r="H2291" t="str">
            <v>Instrumento para determinacAo de nível horizontal (optico) em superfícies proprias para instalacAo de maquinas e equipamentos</v>
          </cell>
        </row>
        <row r="2292">
          <cell r="B2292">
            <v>4090102440</v>
          </cell>
          <cell r="D2292">
            <v>98162</v>
          </cell>
          <cell r="E2292">
            <v>63079010</v>
          </cell>
          <cell r="F2292" t="str">
            <v>Not applicable</v>
          </cell>
          <cell r="G2292">
            <v>63079010</v>
          </cell>
          <cell r="H2292" t="str">
            <v>Mascaras de protecAo, confeccionada de falso tecido, para protecAo contra poeira</v>
          </cell>
        </row>
        <row r="2293">
          <cell r="B2293">
            <v>4029802390</v>
          </cell>
          <cell r="D2293">
            <v>98163</v>
          </cell>
          <cell r="E2293">
            <v>82032010</v>
          </cell>
          <cell r="F2293" t="str">
            <v>Not applicable</v>
          </cell>
          <cell r="G2293">
            <v>82032010</v>
          </cell>
          <cell r="H2293" t="str">
            <v>Alicate de crimpagem de terminais, de uso manual</v>
          </cell>
        </row>
        <row r="2294">
          <cell r="B2294">
            <v>4010200180</v>
          </cell>
          <cell r="D2294">
            <v>50985</v>
          </cell>
          <cell r="E2294">
            <v>82032010</v>
          </cell>
          <cell r="F2294" t="str">
            <v>Not applicable</v>
          </cell>
          <cell r="G2294">
            <v>82032010</v>
          </cell>
          <cell r="H2294" t="str">
            <v>Alicate descascador de fios, de uso manual</v>
          </cell>
        </row>
        <row r="2295">
          <cell r="B2295">
            <v>4010200190</v>
          </cell>
          <cell r="D2295">
            <v>4865</v>
          </cell>
          <cell r="E2295">
            <v>82032010</v>
          </cell>
          <cell r="F2295" t="str">
            <v>Not applicable</v>
          </cell>
          <cell r="G2295">
            <v>82032010</v>
          </cell>
          <cell r="H2295" t="str">
            <v>Alicate diagonal, de uso manual</v>
          </cell>
        </row>
        <row r="2296">
          <cell r="B2296">
            <v>4010201240</v>
          </cell>
          <cell r="D2296">
            <v>98164</v>
          </cell>
          <cell r="E2296">
            <v>82032010</v>
          </cell>
          <cell r="F2296" t="str">
            <v>Not applicable</v>
          </cell>
          <cell r="G2296">
            <v>82032010</v>
          </cell>
          <cell r="H2296" t="str">
            <v>Alicate de crimpagem multifuncAo, de uso manual</v>
          </cell>
        </row>
        <row r="2297">
          <cell r="B2297">
            <v>4020108050</v>
          </cell>
          <cell r="D2297">
            <v>39567</v>
          </cell>
          <cell r="E2297">
            <v>82032010</v>
          </cell>
          <cell r="F2297" t="str">
            <v>Not applicable</v>
          </cell>
          <cell r="G2297">
            <v>82032010</v>
          </cell>
          <cell r="H2297" t="str">
            <v>Alicate hidraulico, de uso manual</v>
          </cell>
        </row>
        <row r="2298">
          <cell r="B2298">
            <v>4010200290</v>
          </cell>
          <cell r="D2298">
            <v>98144</v>
          </cell>
          <cell r="E2298">
            <v>82041200</v>
          </cell>
          <cell r="F2298" t="str">
            <v>Not applicable</v>
          </cell>
          <cell r="G2298">
            <v>82041200</v>
          </cell>
          <cell r="H2298" t="str">
            <v>Chave de porca, de uso manual, de ajuste variavel, hexagonal</v>
          </cell>
        </row>
        <row r="2299">
          <cell r="B2299">
            <v>4010202000</v>
          </cell>
          <cell r="D2299">
            <v>98165</v>
          </cell>
          <cell r="E2299">
            <v>82041200</v>
          </cell>
          <cell r="F2299" t="str">
            <v>Not applicable</v>
          </cell>
          <cell r="G2299">
            <v>82041200</v>
          </cell>
          <cell r="H2299" t="str">
            <v>Chave de porca, de uso manual, de ajuste variavel</v>
          </cell>
        </row>
        <row r="2300">
          <cell r="B2300">
            <v>4020109800</v>
          </cell>
          <cell r="D2300">
            <v>98145</v>
          </cell>
          <cell r="E2300">
            <v>82041200</v>
          </cell>
          <cell r="F2300" t="str">
            <v>Not applicable</v>
          </cell>
          <cell r="G2300">
            <v>82041200</v>
          </cell>
          <cell r="H2300" t="str">
            <v>Chave de porca, de uso manual, de ajuste variavel, soquete</v>
          </cell>
        </row>
        <row r="2301">
          <cell r="B2301">
            <v>4010200580</v>
          </cell>
          <cell r="D2301">
            <v>98142</v>
          </cell>
          <cell r="E2301">
            <v>82054000</v>
          </cell>
          <cell r="F2301" t="str">
            <v>Not applicable</v>
          </cell>
          <cell r="G2301">
            <v>82054000</v>
          </cell>
          <cell r="H2301" t="str">
            <v>Chave de fenda Philips, de uso manual</v>
          </cell>
        </row>
        <row r="2302">
          <cell r="B2302">
            <v>4010200550</v>
          </cell>
          <cell r="D2302">
            <v>98143</v>
          </cell>
          <cell r="E2302">
            <v>82054000</v>
          </cell>
          <cell r="F2302" t="str">
            <v>Not applicable</v>
          </cell>
          <cell r="G2302">
            <v>82054000</v>
          </cell>
          <cell r="H2302" t="str">
            <v>Chave de fenda cabeca-chata, de uso manual</v>
          </cell>
        </row>
        <row r="2303">
          <cell r="B2303">
            <v>4010301640</v>
          </cell>
          <cell r="D2303">
            <v>5467</v>
          </cell>
          <cell r="E2303">
            <v>90303200</v>
          </cell>
          <cell r="F2303" t="str">
            <v>Not applicable</v>
          </cell>
          <cell r="H2303" t="str">
            <v>Multímetro, com dispositivo registrador, para medicAo de grandeza eletrica de tensAo</v>
          </cell>
        </row>
        <row r="2304">
          <cell r="B2304">
            <v>4010200850</v>
          </cell>
          <cell r="D2304">
            <v>5247</v>
          </cell>
          <cell r="E2304">
            <v>82052000</v>
          </cell>
          <cell r="F2304" t="str">
            <v>Not applicable</v>
          </cell>
          <cell r="G2304">
            <v>82052000</v>
          </cell>
          <cell r="H2304" t="str">
            <v>Martelo de uso manual, tipo garra</v>
          </cell>
        </row>
        <row r="2305">
          <cell r="B2305">
            <v>4020107950</v>
          </cell>
          <cell r="D2305">
            <v>98146</v>
          </cell>
          <cell r="E2305">
            <v>90303329</v>
          </cell>
          <cell r="F2305" t="str">
            <v>Not applicable</v>
          </cell>
          <cell r="G2305">
            <v>90303329</v>
          </cell>
          <cell r="H2305" t="str">
            <v>Amperímetro, sem dispositivo registrador, para medicAo de grandeza eletrica de intensidade de corrente, para uso em manutencAo de equipamentos industriais</v>
          </cell>
        </row>
        <row r="2306">
          <cell r="B2306">
            <v>4060100210</v>
          </cell>
          <cell r="D2306">
            <v>6667</v>
          </cell>
          <cell r="E2306">
            <v>90049020</v>
          </cell>
          <cell r="F2306" t="str">
            <v>Not applicable</v>
          </cell>
          <cell r="G2306">
            <v>90049020</v>
          </cell>
          <cell r="H2306" t="str">
            <v>oculos de seguranca, para uso em atividades industriais</v>
          </cell>
        </row>
        <row r="2307">
          <cell r="B2307">
            <v>4010401400</v>
          </cell>
          <cell r="D2307">
            <v>97273</v>
          </cell>
          <cell r="E2307">
            <v>42022220</v>
          </cell>
          <cell r="F2307" t="str">
            <v>Not applicable</v>
          </cell>
          <cell r="G2307">
            <v>42022220</v>
          </cell>
          <cell r="H2307" t="str">
            <v>Bolsa com tiracolo, com alcas, de materiais texteis de fibras de poliester e de algodAo, para transporte de ferramentas</v>
          </cell>
        </row>
        <row r="2308">
          <cell r="B2308">
            <v>2020300642</v>
          </cell>
          <cell r="D2308">
            <v>20672694</v>
          </cell>
          <cell r="E2308">
            <v>85322200</v>
          </cell>
          <cell r="F2308">
            <v>85322200</v>
          </cell>
          <cell r="G2308">
            <v>85322200</v>
          </cell>
          <cell r="H2308" t="str">
            <v>Capacitor (condensador eletrico fixo) eletrolítico de alumínio para montagem PTH; CapacitAncia 220uF; TensAo nominal 10Vdc; TolerAncia 20por cento; Terminal radial; DiAmetro 2,5mm; Comprimento 11mm</v>
          </cell>
        </row>
        <row r="2309">
          <cell r="B2309">
            <v>6001012130</v>
          </cell>
          <cell r="D2309">
            <v>20694625</v>
          </cell>
          <cell r="E2309">
            <v>85371090</v>
          </cell>
          <cell r="F2309">
            <v>85371090</v>
          </cell>
          <cell r="G2309">
            <v>85371090</v>
          </cell>
          <cell r="H2309" t="str">
            <v>Controle eletroeletronico microprocessado para disjuntores à vacuo automatizados, para tensAo aproximada de 265V, construído em caixa de aco inox, com pre-disposicAo para fixacAo na parte posterior, grau de protecAo IP65, para utilizacAo em ambientes externos de media tensAo, predisposto com interface homem maquina dedicada, possibilitando monitoramento e/ou controle local e remoto, contem firmware dedicado a operacAo de protecAo de redes eletricas, sensor de abertura de portas e outros acessorios. TensAo de alimentacAo 3P+T Full-Range 95-265VAC 50Hz/60Hz, tensAo de comando de 24VDC.</v>
          </cell>
        </row>
        <row r="2310">
          <cell r="B2310" t="str">
            <v>MNGE72.R110</v>
          </cell>
          <cell r="D2310">
            <v>20694687</v>
          </cell>
          <cell r="E2310">
            <v>85176272</v>
          </cell>
          <cell r="F2310">
            <v>85176272</v>
          </cell>
          <cell r="G2310">
            <v>85176272</v>
          </cell>
          <cell r="H2310" t="str">
            <v>EX: 071 - Módulos de comunicação de dados sem fio (recepção, conversão e transmissão), digitais, emissores de radio frequência com receptor incorporado, para medidores inteligentes de energia elétrica com tecnologia NB1, NB2 e CAT-M1, operando nas faixas de frequência de 450/700/850/900/1900 MHz, contendo slot para SIM cards 2FF e supercapacitores para função de "Last Gasp" e LEDs para indicação de comunicação com a rede e com os medidores de energia, com taxa de transmissão de até 1,119 Mbit/s</v>
          </cell>
        </row>
        <row r="2311">
          <cell r="B2311" t="str">
            <v>Z-PLC-CS-LPC11E68.R110</v>
          </cell>
          <cell r="D2311">
            <v>65141</v>
          </cell>
          <cell r="E2311">
            <v>84733049</v>
          </cell>
          <cell r="F2311" t="str">
            <v>Not applicable</v>
          </cell>
          <cell r="G2311">
            <v>84733049</v>
          </cell>
          <cell r="H2311" t="str">
            <v>PLACA DE CIRCUITO IMPRESSO COM COMPONENTES ELETRoNICOS, MONTADA, PARA TESTE DE COMUNICAcAO DE DADOS, ACESSoRIO PARA USO EM MaQUINAS AUTOMaTICAS PARA PROCESSAMENTO DE DADOS (Z-PLC-CS-LPC11E68.R110)</v>
          </cell>
        </row>
        <row r="2312">
          <cell r="B2312">
            <v>4010204260</v>
          </cell>
          <cell r="D2312">
            <v>75998</v>
          </cell>
          <cell r="E2312">
            <v>84672992</v>
          </cell>
          <cell r="F2312" t="str">
            <v>Not applicable</v>
          </cell>
          <cell r="G2312">
            <v>84672992</v>
          </cell>
          <cell r="H2312" t="str">
            <v>Parafusadeira com motor eletrico incorporado, de uso manual (ref. 4010204260)</v>
          </cell>
        </row>
        <row r="2313">
          <cell r="B2313">
            <v>4020501680</v>
          </cell>
          <cell r="D2313">
            <v>85724</v>
          </cell>
          <cell r="E2313">
            <v>85159000</v>
          </cell>
          <cell r="F2313" t="str">
            <v>Not applicable</v>
          </cell>
          <cell r="G2313">
            <v>85159000</v>
          </cell>
          <cell r="H2313" t="str">
            <v>Dispositivo de pre-aquecimento formado por conjunto completo de placas, parte para uso em equipamento de solda por onda FM350 (ref.4020501680)</v>
          </cell>
        </row>
        <row r="2314">
          <cell r="B2314">
            <v>4070400750</v>
          </cell>
          <cell r="D2314">
            <v>65053</v>
          </cell>
          <cell r="E2314">
            <v>85444200</v>
          </cell>
          <cell r="F2314" t="str">
            <v>Not applicable</v>
          </cell>
          <cell r="G2314">
            <v>85444200</v>
          </cell>
          <cell r="H2314" t="str">
            <v>CABO CONVERSOR, CONDUTOR ELeTRICO, ISOLADO PARA USO ELeTRICO, MUNIDO DE CONEXoES USB/RS232, PARA APLICAcAO EM TENSAO DE ATe 380V (4070400750)</v>
          </cell>
        </row>
        <row r="2315">
          <cell r="B2315" t="str">
            <v>565AC80126</v>
          </cell>
          <cell r="D2315" t="str">
            <v>565AC80126</v>
          </cell>
          <cell r="E2315">
            <v>90282010</v>
          </cell>
          <cell r="F2315" t="str">
            <v>Not applicable</v>
          </cell>
          <cell r="G2315">
            <v>90282010</v>
          </cell>
          <cell r="H2315" t="str">
            <v>Hidrometro Ultrassonico Ind.(contador de líquidos); Ferro Fundido; DN50-270 mm; Q3=40 m³/h; R500; Pulso; MODBUS; SISAR (ZLW-DN50) com peso líquido unitario aproximado entre 10 kgs e 15 kgs</v>
          </cell>
        </row>
        <row r="2316">
          <cell r="B2316">
            <v>2140102500</v>
          </cell>
          <cell r="D2316">
            <v>20693419</v>
          </cell>
          <cell r="E2316">
            <v>85177190</v>
          </cell>
          <cell r="F2316">
            <v>85177190</v>
          </cell>
          <cell r="G2316">
            <v>85177190</v>
          </cell>
          <cell r="H2316" t="str">
            <v>Antena para utilizacAo em conjunto com modulos de comunicacAo bidirecional de dados sem fio (recepcAo, conversAo e transmissAo), digitais</v>
          </cell>
        </row>
        <row r="2317">
          <cell r="B2317">
            <v>4032203010</v>
          </cell>
          <cell r="D2317">
            <v>97583</v>
          </cell>
          <cell r="E2317">
            <v>73170090</v>
          </cell>
          <cell r="F2317" t="str">
            <v>Not applicable</v>
          </cell>
          <cell r="G2317">
            <v>73170090</v>
          </cell>
          <cell r="H2317" t="str">
            <v>Ponta de aco, para molde de injecAo - base mono NG W17066 (4032203010)</v>
          </cell>
        </row>
        <row r="2318">
          <cell r="B2318">
            <v>4030300500</v>
          </cell>
          <cell r="D2318">
            <v>97591</v>
          </cell>
          <cell r="E2318">
            <v>73182900</v>
          </cell>
          <cell r="F2318" t="str">
            <v>Not applicable</v>
          </cell>
          <cell r="G2318">
            <v>73182900</v>
          </cell>
          <cell r="H2318" t="str">
            <v>Pino de inserto de aco, nAo roscado, de materia-prima base aco baixo carbono, de processo de fabricacAo por torno, de acabamento superficial sem tratamento, para molde de injecAo - base poli NG 45.35mmX4.59mmX7.99mm (4030300500)</v>
          </cell>
        </row>
        <row r="2319">
          <cell r="B2319">
            <v>4030300510</v>
          </cell>
          <cell r="D2319">
            <v>97591</v>
          </cell>
          <cell r="E2319">
            <v>73182900</v>
          </cell>
          <cell r="F2319" t="str">
            <v>Not applicable</v>
          </cell>
          <cell r="G2319">
            <v>73182900</v>
          </cell>
          <cell r="H2319" t="str">
            <v>Pino de inserto de aco, nAo roscado,  de materia-prima base aco baixo carbono, de processo de fabricacAo por torno, de acabamento superficial sem tratamento, para molde de injecAo - base poli NG 42.59mmX4.59mmX7.99mm (4030300510)</v>
          </cell>
        </row>
        <row r="2320">
          <cell r="B2320">
            <v>4030300520</v>
          </cell>
          <cell r="D2320">
            <v>97591</v>
          </cell>
          <cell r="E2320">
            <v>73182900</v>
          </cell>
          <cell r="F2320" t="str">
            <v>Not applicable</v>
          </cell>
          <cell r="G2320">
            <v>73182900</v>
          </cell>
          <cell r="H2320" t="str">
            <v>Pino de inserto de aco, nAo roscado,  de materia-prima base aco baixo carbono, de processo de fabricacAo por torno, de acabamento superficial sem tratamento, para molde de injecAo - base poli NG 45.35mmX4mmX8mm (4030300520)</v>
          </cell>
        </row>
        <row r="2321">
          <cell r="B2321">
            <v>4030300530</v>
          </cell>
          <cell r="D2321">
            <v>97591</v>
          </cell>
          <cell r="E2321">
            <v>73182900</v>
          </cell>
          <cell r="F2321" t="str">
            <v>Not applicable</v>
          </cell>
          <cell r="G2321">
            <v>73182900</v>
          </cell>
          <cell r="H2321" t="str">
            <v>Pino de inserto de aco, nAo roscado,  de materia-prima base aco baixo carbono, de processo de fabricacAo por torno, de acabamento superficial sem tratamento, para molde de injecAo - base poli NG 42.59mmX4mmX8mm (4030300530)</v>
          </cell>
        </row>
        <row r="2322">
          <cell r="B2322">
            <v>4031000010</v>
          </cell>
          <cell r="D2322">
            <v>97587</v>
          </cell>
          <cell r="E2322">
            <v>73182900</v>
          </cell>
          <cell r="F2322" t="str">
            <v>Not applicable</v>
          </cell>
          <cell r="G2322">
            <v>73182900</v>
          </cell>
          <cell r="H2322" t="str">
            <v>Inserto de aco, nAo roscado,  de materia-prima base aco baixo carbono, de processo de fabricacAo por torno, de acabamento superficial sem tratamento, para molde de injecAo - cobertura mono NG, inserto central de LCD (4031000010)</v>
          </cell>
        </row>
        <row r="2323">
          <cell r="B2323" t="str">
            <v>4031000010-2</v>
          </cell>
          <cell r="D2323">
            <v>97588</v>
          </cell>
          <cell r="E2323">
            <v>73182900</v>
          </cell>
          <cell r="F2323" t="str">
            <v>Not applicable</v>
          </cell>
          <cell r="G2323">
            <v>73182900</v>
          </cell>
          <cell r="H2323" t="str">
            <v>Inserto de aco, nAo roscado,  de materia-prima base aco baixo carbono, de processo de fabricacAo por torno, de acabamento superficial sem tratamento, para molde de injecAo - cobertura mono NG, inserto 737 (4031000010-2)</v>
          </cell>
        </row>
        <row r="2324">
          <cell r="B2324">
            <v>4031000320</v>
          </cell>
          <cell r="D2324">
            <v>97588</v>
          </cell>
          <cell r="E2324">
            <v>73182900</v>
          </cell>
          <cell r="F2324" t="str">
            <v>Not applicable</v>
          </cell>
          <cell r="G2324">
            <v>73182900</v>
          </cell>
          <cell r="H2324" t="str">
            <v>Inserto de aco, nAo roscado,  de materia-prima base aco baixo carbono, de processo de fabricacAo por torno, de acabamento superficial sem tratamento, para molde de injecAo - cobertura mono NG, inserto 737 (4031000320)</v>
          </cell>
        </row>
        <row r="2325">
          <cell r="B2325">
            <v>4031000020</v>
          </cell>
          <cell r="D2325">
            <v>97585</v>
          </cell>
          <cell r="E2325">
            <v>73182900</v>
          </cell>
          <cell r="F2325" t="str">
            <v>Not applicable</v>
          </cell>
          <cell r="G2325">
            <v>73182900</v>
          </cell>
          <cell r="H2325" t="str">
            <v>Inserto de aco, nAo roscado,  de materia-prima base aco baixo carbono, de processo de fabricacAo por torno, de acabamento superficial sem tratamento, para molde de injecAo - tampa mono NG W17068 (4031000020)</v>
          </cell>
        </row>
        <row r="2326">
          <cell r="B2326">
            <v>4031000030</v>
          </cell>
          <cell r="D2326">
            <v>97591</v>
          </cell>
          <cell r="E2326">
            <v>73182900</v>
          </cell>
          <cell r="F2326" t="str">
            <v>Not applicable</v>
          </cell>
          <cell r="G2326">
            <v>73182900</v>
          </cell>
          <cell r="H2326" t="str">
            <v>Pino de aco, nAo roscado, de materia-prima base aco baixo carbono, de processo de fabricacAo por torno, de acabamento superficial sem tratamento,  para molde de injecAo - base poli NG 43.06mmX11.44mmX13.95mm (4031000030)</v>
          </cell>
        </row>
        <row r="2327">
          <cell r="B2327" t="str">
            <v>4031000040-1</v>
          </cell>
          <cell r="D2327">
            <v>97591</v>
          </cell>
          <cell r="E2327">
            <v>73182900</v>
          </cell>
          <cell r="F2327" t="str">
            <v>Not applicable</v>
          </cell>
          <cell r="G2327">
            <v>73182900</v>
          </cell>
          <cell r="H2327" t="str">
            <v>Pino de aco, nAo roscado, de materia-prima base aco baixo carbono, de processo de fabricacAo por torno, de acabamento superficial sem tratamento,  para molde de injecAo - base poli NG 40.19mmX16.08mmX18.57mm (4031000040-1)</v>
          </cell>
        </row>
        <row r="2328">
          <cell r="B2328">
            <v>4031000220</v>
          </cell>
          <cell r="D2328">
            <v>97591</v>
          </cell>
          <cell r="E2328">
            <v>73182900</v>
          </cell>
          <cell r="F2328" t="str">
            <v>Not applicable</v>
          </cell>
          <cell r="G2328">
            <v>73182900</v>
          </cell>
          <cell r="H2328" t="str">
            <v>Inserto de aco, nAo roscado,  de materia-prima base aco baixo carbono, de processo de fabricacAo por torno, de acabamento superficial sem tratamento, para molde de injecAo - base poli NG 40.19mmX16.08mmX18.57mm (4031000220)</v>
          </cell>
        </row>
        <row r="2329">
          <cell r="B2329">
            <v>4031000050</v>
          </cell>
          <cell r="D2329">
            <v>97591</v>
          </cell>
          <cell r="E2329">
            <v>73182900</v>
          </cell>
          <cell r="F2329" t="str">
            <v>Not applicable</v>
          </cell>
          <cell r="G2329">
            <v>73182900</v>
          </cell>
          <cell r="H2329" t="str">
            <v>Pino de aco, nAo roscado,  de materia-prima base aco baixo carbono, de processo de fabricacAo por torno, de acabamento superficial sem tratamento, para molde de injecAo - base poli NG 39.97mmX16.07mmX18.56mm (4031000050)</v>
          </cell>
        </row>
        <row r="2330">
          <cell r="B2330">
            <v>4031000060</v>
          </cell>
          <cell r="D2330">
            <v>97591</v>
          </cell>
          <cell r="E2330">
            <v>73182900</v>
          </cell>
          <cell r="F2330" t="str">
            <v>Not applicable</v>
          </cell>
          <cell r="G2330">
            <v>73182900</v>
          </cell>
          <cell r="H2330" t="str">
            <v>Inserto de aco, nAo roscado,  de materia-prima base aco baixo carbono, de processo de fabricacAo por torno, de acabamento superficial sem tratamento, para molde de injecAo - base poli NG 43.06mmX16.07mmX18.56mm (4031000060)</v>
          </cell>
        </row>
        <row r="2331">
          <cell r="B2331">
            <v>4031000070</v>
          </cell>
          <cell r="D2331">
            <v>97591</v>
          </cell>
          <cell r="E2331">
            <v>73182900</v>
          </cell>
          <cell r="F2331" t="str">
            <v>Not applicable</v>
          </cell>
          <cell r="G2331">
            <v>73182900</v>
          </cell>
          <cell r="H2331" t="str">
            <v>Inserto de aco, nAo roscado,  de materia-prima base aco baixo carbono, de processo de fabricacAo por torno, de acabamento superficial sem tratamento, para molde de injecAo - base poli NG 43.06mmX16.07mmX18.56mm (4031000070)</v>
          </cell>
        </row>
        <row r="2332">
          <cell r="B2332">
            <v>4031000120</v>
          </cell>
          <cell r="D2332">
            <v>97591</v>
          </cell>
          <cell r="E2332">
            <v>73182900</v>
          </cell>
          <cell r="F2332" t="str">
            <v>Not applicable</v>
          </cell>
          <cell r="G2332">
            <v>73182900</v>
          </cell>
          <cell r="H2332" t="str">
            <v>Inserto de aco, nAo roscado,  de materia-prima base aco baixo carbono, de processo de fabricacAo por torno, de acabamento superficial sem tratamento, para molde de injecAo - base poli NG 10.68Xmm21.45mmX82.08mm (4031000120)</v>
          </cell>
        </row>
        <row r="2333">
          <cell r="B2333">
            <v>4031000230</v>
          </cell>
          <cell r="D2333">
            <v>97591</v>
          </cell>
          <cell r="E2333">
            <v>73182900</v>
          </cell>
          <cell r="F2333" t="str">
            <v>Not applicable</v>
          </cell>
          <cell r="G2333">
            <v>73182900</v>
          </cell>
          <cell r="H2333" t="str">
            <v>Inserto de aco, nAo roscado,  de materia-prima base aco baixo carbono, de processo de fabricacAo por torno, de acabamento superficial sem tratamento, para molde de injecAo - base poli NG 10.68Xmm21.45mmX82.08mm (4031000230)</v>
          </cell>
        </row>
        <row r="2334">
          <cell r="B2334">
            <v>4031000130</v>
          </cell>
          <cell r="D2334">
            <v>97591</v>
          </cell>
          <cell r="E2334">
            <v>73182900</v>
          </cell>
          <cell r="F2334" t="str">
            <v>Not applicable</v>
          </cell>
          <cell r="G2334">
            <v>73182900</v>
          </cell>
          <cell r="H2334" t="str">
            <v>Inserto de aco, nAo roscado,  de materia-prima base aco baixo carbono, de processo de fabricacAo por torno, de acabamento superficial sem tratamento, para molde de injecAo - base poli NG 25.5mmX20.82mmX82.08mm (4031000130)</v>
          </cell>
        </row>
        <row r="2335">
          <cell r="B2335">
            <v>4031000140</v>
          </cell>
          <cell r="D2335">
            <v>97586</v>
          </cell>
          <cell r="E2335">
            <v>73182900</v>
          </cell>
          <cell r="F2335" t="str">
            <v>Not applicable</v>
          </cell>
          <cell r="G2335">
            <v>73182900</v>
          </cell>
          <cell r="H2335" t="str">
            <v>Inserto de aco, nAo roscado,  de materia-prima base aco baixo carbono, de processo de fabricacAo por torno, de acabamento superficial sem tratamento, para molde de injecAo - conector 01, cobertura mono NG (4031000140)</v>
          </cell>
        </row>
        <row r="2336">
          <cell r="B2336">
            <v>4031000290</v>
          </cell>
          <cell r="D2336">
            <v>97586</v>
          </cell>
          <cell r="E2336">
            <v>73182900</v>
          </cell>
          <cell r="F2336" t="str">
            <v>Not applicable</v>
          </cell>
          <cell r="G2336">
            <v>73182900</v>
          </cell>
          <cell r="H2336" t="str">
            <v>Inserto de aco, nAo roscado,  de materia-prima base aco baixo carbono, de processo de fabricacAo por torno, de acabamento superficial sem tratamento, para molde de injecAo - conector 01, cobertura mono NG (4031000290)</v>
          </cell>
        </row>
        <row r="2337">
          <cell r="B2337">
            <v>4031000300</v>
          </cell>
          <cell r="D2337">
            <v>97586</v>
          </cell>
          <cell r="E2337">
            <v>73182900</v>
          </cell>
          <cell r="F2337" t="str">
            <v>Not applicable</v>
          </cell>
          <cell r="G2337">
            <v>73182900</v>
          </cell>
          <cell r="H2337" t="str">
            <v>Inserto de aco, nAo roscado,  de materia-prima base aco baixo carbono, de processo de fabricacAo por torno, de acabamento superficial sem tratamento, para molde de injecAo - conector 01, cobertura mono NG (4031000300)</v>
          </cell>
        </row>
        <row r="2338">
          <cell r="B2338">
            <v>4031000270</v>
          </cell>
          <cell r="D2338">
            <v>97586</v>
          </cell>
          <cell r="E2338">
            <v>73182900</v>
          </cell>
          <cell r="F2338" t="str">
            <v>Not applicable</v>
          </cell>
          <cell r="G2338">
            <v>73182900</v>
          </cell>
          <cell r="H2338" t="str">
            <v>Inserto de aco, nAo roscado,  de materia-prima base aco baixo carbono, de processo de fabricacAo por torno, de acabamento superficial sem tratamento, para molde de injecAo - conector 01, cobertura mono NG (4031000270)</v>
          </cell>
        </row>
        <row r="2339">
          <cell r="B2339">
            <v>4031000310</v>
          </cell>
          <cell r="D2339">
            <v>97586</v>
          </cell>
          <cell r="E2339">
            <v>73182900</v>
          </cell>
          <cell r="F2339" t="str">
            <v>Not applicable</v>
          </cell>
          <cell r="G2339">
            <v>73182900</v>
          </cell>
          <cell r="H2339" t="str">
            <v>Inserto de aco, nAo roscado,  de materia-prima base aco baixo carbono, de processo de fabricacAo por torno, de acabamento superficial sem tratamento, para molde de injecAo - conector 01, cobertura mono NG (4031000310)</v>
          </cell>
        </row>
        <row r="2340">
          <cell r="B2340">
            <v>4031000200</v>
          </cell>
          <cell r="D2340">
            <v>97586</v>
          </cell>
          <cell r="E2340">
            <v>73182900</v>
          </cell>
          <cell r="F2340" t="str">
            <v>Not applicable</v>
          </cell>
          <cell r="G2340">
            <v>73182900</v>
          </cell>
          <cell r="H2340" t="str">
            <v>Inserto de aco, nAo roscado,  de materia-prima base aco baixo carbono, de processo de fabricacAo por torno, de acabamento superficial sem tratamento, para molde de injecAo - conector 01, cobertura mono NG (4031000200)</v>
          </cell>
        </row>
        <row r="2341">
          <cell r="B2341">
            <v>4031000210</v>
          </cell>
          <cell r="D2341">
            <v>97586</v>
          </cell>
          <cell r="E2341">
            <v>73182900</v>
          </cell>
          <cell r="F2341" t="str">
            <v>Not applicable</v>
          </cell>
          <cell r="G2341">
            <v>73182900</v>
          </cell>
          <cell r="H2341" t="str">
            <v>Inserto de aco, nAo roscado,  de materia-prima base aco baixo carbono, de processo de fabricacAo por torno, de acabamento superficial sem tratamento, para molde de injecAo - conector 01, cobertura mono NG (4031000210)</v>
          </cell>
        </row>
        <row r="2342">
          <cell r="B2342">
            <v>4031000260</v>
          </cell>
          <cell r="D2342">
            <v>97586</v>
          </cell>
          <cell r="E2342">
            <v>73182900</v>
          </cell>
          <cell r="F2342" t="str">
            <v>Not applicable</v>
          </cell>
          <cell r="G2342">
            <v>73182900</v>
          </cell>
          <cell r="H2342" t="str">
            <v>Inserto de aco, nAo roscado,  de materia-prima base aco baixo carbono, de processo de fabricacAo por torno, de acabamento superficial sem tratamento, para molde de injecAo - conector 01, cobertura mono NG (4031000260)</v>
          </cell>
        </row>
        <row r="2343">
          <cell r="B2343">
            <v>4031000280</v>
          </cell>
          <cell r="D2343">
            <v>97586</v>
          </cell>
          <cell r="E2343">
            <v>73182900</v>
          </cell>
          <cell r="F2343" t="str">
            <v>Not applicable</v>
          </cell>
          <cell r="G2343">
            <v>73182900</v>
          </cell>
          <cell r="H2343" t="str">
            <v>Inserto de aco, nAo roscado,  de materia-prima base aco baixo carbono, de processo de fabricacAo por torno, de acabamento superficial sem tratamento, para molde de injecAo - conector 01, cobertura mono NG (4031000280)</v>
          </cell>
        </row>
        <row r="2344">
          <cell r="B2344">
            <v>4031000040</v>
          </cell>
          <cell r="D2344">
            <v>97586</v>
          </cell>
          <cell r="E2344">
            <v>73182900</v>
          </cell>
          <cell r="F2344" t="str">
            <v>Not applicable</v>
          </cell>
          <cell r="G2344">
            <v>73182900</v>
          </cell>
          <cell r="H2344" t="str">
            <v>Inserto de aco, nAo roscado,  de materia-prima base aco baixo carbono, de processo de fabricacAo por torno, de acabamento superficial sem tratamento, para molde de injecAo - conector 01, cobertura mono NG (4031000040)</v>
          </cell>
        </row>
        <row r="2345">
          <cell r="B2345">
            <v>4031000190</v>
          </cell>
          <cell r="D2345">
            <v>97586</v>
          </cell>
          <cell r="E2345">
            <v>73182900</v>
          </cell>
          <cell r="F2345" t="str">
            <v>Not applicable</v>
          </cell>
          <cell r="G2345">
            <v>73182900</v>
          </cell>
          <cell r="H2345" t="str">
            <v>Inserto de aco, nAo roscado,  de materia-prima base aco baixo carbono, de processo de fabricacAo por torno, de acabamento superficial sem tratamento, para molde de injecAo - conector 01, cobertura mono NG (4031000190)</v>
          </cell>
        </row>
        <row r="2346">
          <cell r="B2346">
            <v>4031000250</v>
          </cell>
          <cell r="D2346">
            <v>97586</v>
          </cell>
          <cell r="E2346">
            <v>73182900</v>
          </cell>
          <cell r="F2346" t="str">
            <v>Not applicable</v>
          </cell>
          <cell r="G2346">
            <v>73182900</v>
          </cell>
          <cell r="H2346" t="str">
            <v>Inserto de aco, nAo roscado,  de materia-prima base aco baixo carbono, de processo de fabricacAo por torno, de acabamento superficial sem tratamento, para molde de injecAo - conector 01, cobertura mono NG (4031000250)</v>
          </cell>
        </row>
        <row r="2347">
          <cell r="B2347">
            <v>4030300540</v>
          </cell>
          <cell r="D2347">
            <v>97591</v>
          </cell>
          <cell r="E2347">
            <v>73182900</v>
          </cell>
          <cell r="F2347" t="str">
            <v>Not applicable</v>
          </cell>
          <cell r="G2347">
            <v>73182900</v>
          </cell>
          <cell r="H2347" t="str">
            <v>Inserto de aco, nAo roscado,  de materia-prima base aco baixo carbono, de processo de fabricacAo por torno, de acabamento superficial sem tratamento, para molde de injecAo - base poli  NG (4030300540</v>
          </cell>
        </row>
        <row r="2348">
          <cell r="B2348">
            <v>4031000150</v>
          </cell>
          <cell r="D2348">
            <v>97586</v>
          </cell>
          <cell r="E2348">
            <v>73182900</v>
          </cell>
          <cell r="F2348" t="str">
            <v>Not applicable</v>
          </cell>
          <cell r="G2348">
            <v>73182900</v>
          </cell>
          <cell r="H2348" t="str">
            <v>Inserto de aco, nAo roscado,  de materia-prima base aco baixo carbono, de processo de fabricacAo por torno, de acabamento superficial sem tratamento, para molde de injecAo - conector 02, cobertura mono NG (4031000150)</v>
          </cell>
        </row>
        <row r="2349">
          <cell r="B2349">
            <v>4030300550</v>
          </cell>
          <cell r="D2349">
            <v>97591</v>
          </cell>
          <cell r="E2349">
            <v>73182900</v>
          </cell>
          <cell r="F2349" t="str">
            <v>Not applicable</v>
          </cell>
          <cell r="G2349">
            <v>73182900</v>
          </cell>
          <cell r="H2349" t="str">
            <v>Inserto de aco, nAo roscado,  de materia-prima base aco baixo carbono, de processo de fabricacAo por torno, de acabamento superficial sem tratamento, para molde de injecAo - base poli NG (4030300550)</v>
          </cell>
        </row>
        <row r="2350">
          <cell r="B2350">
            <v>4031000160</v>
          </cell>
          <cell r="D2350">
            <v>97591</v>
          </cell>
          <cell r="E2350">
            <v>73182900</v>
          </cell>
          <cell r="F2350" t="str">
            <v>Not applicable</v>
          </cell>
          <cell r="G2350">
            <v>73182900</v>
          </cell>
          <cell r="H2350" t="str">
            <v>Inserto de aco, nAo roscado,  de materia-prima base aco baixo carbono, de processo de fabricacAo por torno, de acabamento superficial sem tratamento, para molde de injecAo - base poli NG 5.5mmX1.2mm (4031000160)</v>
          </cell>
        </row>
        <row r="2351">
          <cell r="B2351">
            <v>4031000170</v>
          </cell>
          <cell r="D2351">
            <v>97591</v>
          </cell>
          <cell r="E2351">
            <v>73182900</v>
          </cell>
          <cell r="F2351" t="str">
            <v>Not applicable</v>
          </cell>
          <cell r="G2351">
            <v>73182900</v>
          </cell>
          <cell r="H2351" t="str">
            <v>Pino de inserto de aco, nAo roscado,  de materia-prima base aco baixo carbono, de processo de fabricacAo por torno, de acabamento superficial sem tratamento, para molde de injecAo - base poli NG 3mmX237.08mm (4031000170)</v>
          </cell>
        </row>
        <row r="2352">
          <cell r="B2352">
            <v>4031000180</v>
          </cell>
          <cell r="D2352">
            <v>97591</v>
          </cell>
          <cell r="E2352">
            <v>73182900</v>
          </cell>
          <cell r="F2352" t="str">
            <v>Not applicable</v>
          </cell>
          <cell r="G2352">
            <v>73182900</v>
          </cell>
          <cell r="H2352" t="str">
            <v>Pino de inserto de aco, nAo roscado,  de materia-prima base aco baixo carbono, de processo de fabricacAo por torno, de acabamento superficial sem tratamento, para molde de injecAo - base poli NG 5.5mmX1.2mm (4031000180)</v>
          </cell>
        </row>
        <row r="2353">
          <cell r="B2353">
            <v>4032202950</v>
          </cell>
          <cell r="D2353">
            <v>97582</v>
          </cell>
          <cell r="E2353">
            <v>73269090</v>
          </cell>
          <cell r="F2353" t="str">
            <v>Not applicable</v>
          </cell>
          <cell r="G2353">
            <v>73269090</v>
          </cell>
          <cell r="H2353" t="str">
            <v>Bucha de aco, obtida por processo de torno, para molde de injecAo - cobertura mono NG W17068 (4032202950)</v>
          </cell>
        </row>
        <row r="2354">
          <cell r="B2354">
            <v>4032202960</v>
          </cell>
          <cell r="D2354">
            <v>97588</v>
          </cell>
          <cell r="E2354">
            <v>73182900</v>
          </cell>
          <cell r="F2354" t="str">
            <v>Not applicable</v>
          </cell>
          <cell r="G2354">
            <v>73182900</v>
          </cell>
          <cell r="H2354" t="str">
            <v>Inserto de aco, nAo roscado,  de materia-prima base aco baixo carbono, de processo de fabricacAo por torno, de acabamento superficial sem tratamento, para molde de injecAo - 738, cobertura mono NG (4032202960)</v>
          </cell>
        </row>
        <row r="2355">
          <cell r="B2355">
            <v>4032202970</v>
          </cell>
          <cell r="D2355">
            <v>97589</v>
          </cell>
          <cell r="E2355">
            <v>73182900</v>
          </cell>
          <cell r="F2355" t="str">
            <v>Not applicable</v>
          </cell>
          <cell r="G2355">
            <v>73182900</v>
          </cell>
          <cell r="H2355" t="str">
            <v>Inserto de aco, nAo roscado,  de materia-prima base aco baixo carbono, de processo de fabricacAo por torno, de acabamento superficial sem tratamento, para molde de injecAo - saída do usuario, tampa mono NG (4032202970)</v>
          </cell>
        </row>
        <row r="2356">
          <cell r="B2356">
            <v>4032202980</v>
          </cell>
          <cell r="D2356">
            <v>97582</v>
          </cell>
          <cell r="E2356">
            <v>73269090</v>
          </cell>
          <cell r="F2356" t="str">
            <v>Not applicable</v>
          </cell>
          <cell r="G2356">
            <v>73269090</v>
          </cell>
          <cell r="H2356" t="str">
            <v>Bucha de aco, obtida por processo de torno, para molde de injecAo - tampa monobloco NG W17069 (4032202980)</v>
          </cell>
        </row>
        <row r="2357">
          <cell r="B2357">
            <v>4032202990</v>
          </cell>
          <cell r="D2357">
            <v>97583</v>
          </cell>
          <cell r="E2357">
            <v>73170090</v>
          </cell>
          <cell r="F2357" t="str">
            <v>Not applicable</v>
          </cell>
          <cell r="G2357">
            <v>73170090</v>
          </cell>
          <cell r="H2357" t="str">
            <v>Ponta de aco, para molde de injecAo - tampa monobloco NF W17069 (4032202990)</v>
          </cell>
        </row>
        <row r="2358">
          <cell r="B2358">
            <v>4032203000</v>
          </cell>
          <cell r="D2358">
            <v>97584</v>
          </cell>
          <cell r="E2358">
            <v>73181600</v>
          </cell>
          <cell r="F2358" t="str">
            <v>Not applicable</v>
          </cell>
          <cell r="G2358">
            <v>73181600</v>
          </cell>
          <cell r="H2358" t="str">
            <v>Porca de aco, roscada, de materia-prima base aco baixo carbono, de processo de fabricacAo por torno, de acabamento superficial sem tratamento, para molde de injecAo - de extremidade, tampa monobloco NG - W17069 (4032203000)</v>
          </cell>
        </row>
        <row r="2359">
          <cell r="B2359">
            <v>4032203020</v>
          </cell>
          <cell r="D2359">
            <v>97584</v>
          </cell>
          <cell r="E2359">
            <v>73181600</v>
          </cell>
          <cell r="F2359" t="str">
            <v>Not applicable</v>
          </cell>
          <cell r="G2359">
            <v>73181600</v>
          </cell>
          <cell r="H2359" t="str">
            <v>Porca de aco, roscada,  de materia-prima base aco baixo carbono, de processo de fabricacAo por torno, de acabamento superficial sem tratamento, para molde de injecAo - de ponta, base mono NG - W17066 (4032203020)</v>
          </cell>
        </row>
        <row r="2360">
          <cell r="B2360">
            <v>7020825871</v>
          </cell>
          <cell r="D2360">
            <v>97585</v>
          </cell>
          <cell r="E2360">
            <v>73182900</v>
          </cell>
          <cell r="F2360" t="str">
            <v>Not applicable</v>
          </cell>
          <cell r="G2360">
            <v>73182900</v>
          </cell>
          <cell r="H2360" t="str">
            <v>Inserto de aco, nAo roscado,  de materia-prima base aco baixo carbono, de processo de fabricacAo por torno, de acabamento superficial sem tratamento, de derivacAo para molde de injecAo - tampa mono NG (7020825871)</v>
          </cell>
        </row>
        <row r="2361">
          <cell r="B2361">
            <v>7020825881</v>
          </cell>
          <cell r="D2361">
            <v>97584</v>
          </cell>
          <cell r="E2361">
            <v>73181600</v>
          </cell>
          <cell r="F2361" t="str">
            <v>Not applicable</v>
          </cell>
          <cell r="G2361">
            <v>73181600</v>
          </cell>
          <cell r="H2361" t="str">
            <v>Porca de aco, roscada, de materia-prima base aco baixo carbono, de processo de fabricacAo por torno, de acabamento superficial sem tratamento,  para molde de injecAo - de ponta, tampa mono NG - W17068 (7020825881)</v>
          </cell>
        </row>
        <row r="2362">
          <cell r="B2362">
            <v>7020825891</v>
          </cell>
          <cell r="D2362">
            <v>97590</v>
          </cell>
          <cell r="E2362">
            <v>73182900</v>
          </cell>
          <cell r="F2362" t="str">
            <v>Not applicable</v>
          </cell>
          <cell r="G2362">
            <v>73182900</v>
          </cell>
          <cell r="H2362" t="str">
            <v>Inserto de aco, nAo roscado,  de materia-prima base aco baixo carbono, de processo de fabricacAo por torno, de acabamento superficial sem tratamento, para molde de injecAo - tampa monobloco NG W17069 (7020825891)</v>
          </cell>
        </row>
        <row r="2363">
          <cell r="B2363">
            <v>4032202940</v>
          </cell>
          <cell r="D2363">
            <v>97582</v>
          </cell>
          <cell r="E2363">
            <v>73269090</v>
          </cell>
          <cell r="F2363" t="str">
            <v>Not applicable</v>
          </cell>
          <cell r="G2363">
            <v>73269090</v>
          </cell>
          <cell r="H2363" t="str">
            <v>Bucha de aco, obtida por processo de torno, para molde de injecAo - base mono NG W17066 (4032202940)</v>
          </cell>
        </row>
        <row r="2364">
          <cell r="B2364">
            <v>4020404690</v>
          </cell>
          <cell r="D2364">
            <v>97579</v>
          </cell>
          <cell r="E2364">
            <v>85015290</v>
          </cell>
          <cell r="F2364" t="str">
            <v>Not applicable</v>
          </cell>
          <cell r="G2364">
            <v>85015290</v>
          </cell>
          <cell r="H2364" t="str">
            <v>Motor eletrico de inducAo, trifasico, de corrente alternada, de potencia aproximada de 3kW e torque aproximado de 3000N.m - 220/380V 1.1/0.64A 50/60HZ 2800/3200RPM, para maquina de soldagem por onda (4020404690)</v>
          </cell>
        </row>
        <row r="2365">
          <cell r="B2365">
            <v>4020400950</v>
          </cell>
          <cell r="D2365">
            <v>97577</v>
          </cell>
          <cell r="E2365">
            <v>85014019</v>
          </cell>
          <cell r="F2365" t="str">
            <v>Not applicable</v>
          </cell>
          <cell r="G2365">
            <v>85014019</v>
          </cell>
          <cell r="H2365" t="str">
            <v>Motor eletrico de passo, monofasico, de corrente alternada, de potencia 40W, de carcaca fechada e rotacAo de ate 1600 RPM - 220V 50/60Hz 0,45A, para esteiras de linhas de montagem por insercAo PTH</v>
          </cell>
        </row>
        <row r="2366">
          <cell r="B2366">
            <v>4020408840</v>
          </cell>
          <cell r="D2366">
            <v>97578</v>
          </cell>
          <cell r="E2366">
            <v>85015190</v>
          </cell>
          <cell r="F2366" t="str">
            <v>Not applicable</v>
          </cell>
          <cell r="G2366">
            <v>85015190</v>
          </cell>
          <cell r="H2366" t="str">
            <v>Motor eletrico de inducAo, trifasico, de corrente alternada, de potencia 180W - 220/380V 1.1/0.64A 50HZ 885RPM IP54 10KG (4020408840)</v>
          </cell>
        </row>
        <row r="2367">
          <cell r="B2367">
            <v>4020603000</v>
          </cell>
          <cell r="D2367">
            <v>97602</v>
          </cell>
          <cell r="E2367">
            <v>83024900</v>
          </cell>
          <cell r="F2367" t="str">
            <v>Not applicable</v>
          </cell>
          <cell r="G2367">
            <v>83024900</v>
          </cell>
          <cell r="H2367" t="str">
            <v xml:space="preserve">GuarnicAo de aco, para uso em alavanca de bancada de testes de medidores eletricos (4020603000) </v>
          </cell>
        </row>
        <row r="2368">
          <cell r="B2368">
            <v>4020106710</v>
          </cell>
          <cell r="D2368">
            <v>97600</v>
          </cell>
          <cell r="E2368">
            <v>84799090</v>
          </cell>
          <cell r="F2368" t="str">
            <v>Not applicable</v>
          </cell>
          <cell r="G2368">
            <v>84799090</v>
          </cell>
          <cell r="H2368" t="str">
            <v>Sensor optico, parte para uso em maquina de insercAo automatica de componentes eletronicos em superfície SMD</v>
          </cell>
        </row>
        <row r="2369">
          <cell r="B2369">
            <v>4020603010</v>
          </cell>
          <cell r="D2369">
            <v>97603</v>
          </cell>
          <cell r="E2369">
            <v>90319010</v>
          </cell>
          <cell r="F2369" t="str">
            <v>Not applicable</v>
          </cell>
          <cell r="G2369">
            <v>90319010</v>
          </cell>
          <cell r="H2369" t="str">
            <v>Placa amplificadora de potencia portatil; integracAo de tensAo e corrente; parte para uso em bancadas de ensaio e montagem de medidores eletricos (ref.4020603010)</v>
          </cell>
        </row>
        <row r="2370">
          <cell r="B2370">
            <v>4020601070</v>
          </cell>
          <cell r="D2370">
            <v>97607</v>
          </cell>
          <cell r="E2370">
            <v>85043111</v>
          </cell>
          <cell r="F2370" t="str">
            <v>Not applicable</v>
          </cell>
          <cell r="G2370">
            <v>85043111</v>
          </cell>
          <cell r="H2370" t="str">
            <v>Transformador eletrico de corrente, de potencia 30VA (0,03kVA), para frequencia de 60hz,  220V, 0,1 120 A (ref.4020601070)</v>
          </cell>
        </row>
        <row r="2371">
          <cell r="B2371">
            <v>4020602850</v>
          </cell>
          <cell r="D2371">
            <v>97604</v>
          </cell>
          <cell r="E2371">
            <v>90319010</v>
          </cell>
          <cell r="F2371" t="str">
            <v>Not applicable</v>
          </cell>
          <cell r="G2371">
            <v>90319010</v>
          </cell>
          <cell r="H2371" t="str">
            <v>Placa de compensacAo, parte para uso em bancada de ensaio e teste de tensAo (FCT) de medidores eletricos (ref.4020602850)</v>
          </cell>
        </row>
        <row r="2372">
          <cell r="B2372">
            <v>4020302390</v>
          </cell>
          <cell r="D2372">
            <v>97609</v>
          </cell>
          <cell r="E2372">
            <v>85159000</v>
          </cell>
          <cell r="F2372" t="str">
            <v>Not applicable</v>
          </cell>
          <cell r="G2372">
            <v>85159000</v>
          </cell>
          <cell r="H2372" t="str">
            <v>Conversor de energia (Transdutor Ultrassonico), parte para uso em maquina de soldagem de componentes eletronicos, por calor (ref. 4020302390)</v>
          </cell>
        </row>
        <row r="2373">
          <cell r="B2373">
            <v>4020604200</v>
          </cell>
          <cell r="D2373">
            <v>97608</v>
          </cell>
          <cell r="E2373">
            <v>85249100</v>
          </cell>
          <cell r="F2373" t="str">
            <v>Not applicable</v>
          </cell>
          <cell r="G2373">
            <v>85249100</v>
          </cell>
          <cell r="H2373" t="str">
            <v>Modulo de visualizacAo de tela (ecrA) plana, de cristal líquido (display LCD), com circuitos de controle, para fonte do sinal de dispositivo de calibracAo; 5V;  116 * 87mm (4020604200)</v>
          </cell>
        </row>
        <row r="2374">
          <cell r="B2374" t="str">
            <v>PENDING</v>
          </cell>
          <cell r="D2374">
            <v>97605</v>
          </cell>
          <cell r="E2374">
            <v>85389010</v>
          </cell>
          <cell r="F2374" t="str">
            <v>Not applicable</v>
          </cell>
          <cell r="G2374">
            <v>85389010</v>
          </cell>
          <cell r="H2374" t="str">
            <v>Placa optica, circuito impresso com componentes eletronicos montados, parte para uso em quadro de comando eletrico de pinboards de linha de montagem por insercAo PTH - PCB: PE - 383EB - 0V01</v>
          </cell>
        </row>
        <row r="2375">
          <cell r="B2375">
            <v>4020307500</v>
          </cell>
          <cell r="D2375" t="str">
            <v>PENDING</v>
          </cell>
          <cell r="E2375">
            <v>85432000</v>
          </cell>
          <cell r="F2375" t="str">
            <v>Not applicable</v>
          </cell>
          <cell r="H2375" t="str">
            <v>Gerador de sinal eletrico de alta frequencia, para uso em conjunto com maquina de soldagem por ultrassom (4020307500)</v>
          </cell>
        </row>
        <row r="2376">
          <cell r="B2376">
            <v>2150149950</v>
          </cell>
          <cell r="D2376">
            <v>20661755</v>
          </cell>
          <cell r="E2376">
            <v>85340033</v>
          </cell>
          <cell r="F2376" t="str">
            <v>Not applicable</v>
          </cell>
          <cell r="G2376">
            <v>85340033</v>
          </cell>
          <cell r="H2376" t="str">
            <v>PLACA DE CIRCUITO IMPRESSO, DE NATUREZA DO MATERIAL BASE RÍGIDO, COMPOSIcAO DA PLACA DE ISOLANTE DE RESINA EPoXIDA E TECIDO DE FIBRA DE VIDRO, ESTRUTURA DE DUPLA FACE E INTERLIGAcAO ENTRE FACES POR FUROS METALIZADOS; dimensoes 234.0mm x 209.0mm</v>
          </cell>
        </row>
        <row r="2377">
          <cell r="B2377" t="str">
            <v>565AC40010</v>
          </cell>
          <cell r="D2377" t="str">
            <v>565AC40010</v>
          </cell>
          <cell r="E2377">
            <v>90282010</v>
          </cell>
          <cell r="F2377" t="str">
            <v>Not applicable</v>
          </cell>
          <cell r="G2377">
            <v>90282010</v>
          </cell>
          <cell r="H2377" t="str">
            <v>Hidometro Ultrassonico (Contador de Líquidos) Ind.; Aco; DN80-225 mm; Q3=63 m³/h; R500; Pulso; MODBUS, com peso líquido unitario aproximado de 11kg a 15kg (ZLW-DN80)</v>
          </cell>
        </row>
        <row r="2378">
          <cell r="B2378">
            <v>7020825921</v>
          </cell>
          <cell r="D2378">
            <v>97619</v>
          </cell>
          <cell r="E2378">
            <v>84807100</v>
          </cell>
          <cell r="F2378" t="str">
            <v>Not applicable</v>
          </cell>
          <cell r="G2378">
            <v>84807100</v>
          </cell>
          <cell r="H2378" t="str">
            <v>Molde para moldagem por injecAo, para materiais plasticos de policarbonato - S23042 (ref. 7020825921)</v>
          </cell>
        </row>
        <row r="2379">
          <cell r="B2379">
            <v>7020825931</v>
          </cell>
          <cell r="D2379">
            <v>97620</v>
          </cell>
          <cell r="E2379">
            <v>84807100</v>
          </cell>
          <cell r="F2379" t="str">
            <v>Not applicable</v>
          </cell>
          <cell r="G2379">
            <v>84807100</v>
          </cell>
          <cell r="H2379" t="str">
            <v>Molde para moldagem por injecAo, para materiais plasticos de policarbonato - S23043 (ref. 7020825931)</v>
          </cell>
        </row>
        <row r="2380">
          <cell r="B2380">
            <v>7020825941</v>
          </cell>
          <cell r="D2380">
            <v>97621</v>
          </cell>
          <cell r="E2380">
            <v>84807100</v>
          </cell>
          <cell r="F2380" t="str">
            <v>Not applicable</v>
          </cell>
          <cell r="G2380">
            <v>84807100</v>
          </cell>
          <cell r="H2380" t="str">
            <v>Molde para moldagem por injecAo, para materiais plasticos de policarbonato - S23044 (ref. 7020825941)</v>
          </cell>
        </row>
        <row r="2381">
          <cell r="B2381">
            <v>2020302772</v>
          </cell>
          <cell r="D2381">
            <v>20672695</v>
          </cell>
          <cell r="E2381">
            <v>85322200</v>
          </cell>
          <cell r="F2381">
            <v>85322200</v>
          </cell>
          <cell r="G2381">
            <v>85322200</v>
          </cell>
          <cell r="H2381" t="str">
            <v>Capacitor (condensador eletrico fixo) eletrolítico de alumínio para montagem PTH; CapacitAncia 220uF; TensAo nominal 35Vdc; TolerAncia 20por cento; Terminal radial; DiAmetro 3,5mm; Comprimento 12mm</v>
          </cell>
        </row>
        <row r="2382">
          <cell r="B2382">
            <v>2150156810</v>
          </cell>
          <cell r="D2382">
            <v>20661756</v>
          </cell>
          <cell r="E2382">
            <v>85340033</v>
          </cell>
          <cell r="F2382" t="str">
            <v>Not applicable</v>
          </cell>
          <cell r="G2382">
            <v>85340033</v>
          </cell>
          <cell r="H2382" t="str">
            <v xml:space="preserve">PLACA DE CIRCUITO IMPRESSO, DE NATUREZA DO MATERIAL BASE RÍGIDO, COMPOSIcAO DA PLACA DE ISOLANTE DE RESINA EPoXIDA E TECIDO DE FIBRA DE VIDRO, ESTRUTURA DE DUPLA FACE E INTERLIGAcAO ENTRE FACES POR FUROS METALIZADOS; dimensoes 320mm x 216,6mm </v>
          </cell>
        </row>
        <row r="2383">
          <cell r="B2383" t="str">
            <v>61615.R110</v>
          </cell>
          <cell r="D2383">
            <v>58120200</v>
          </cell>
          <cell r="E2383">
            <v>85353018</v>
          </cell>
          <cell r="F2383" t="str">
            <v>Not applicable</v>
          </cell>
          <cell r="G2383">
            <v>85353018</v>
          </cell>
          <cell r="H2383" t="str">
            <v>RELIGADOR COM DISPOSITIVO DE ACIONAMENTO AUTOMATICO AUTOALIMENTADO COM INTERRUPCAO À VACUO DE CIRCUITOS ELETRICOS, MONTADO EM CHAVE FUSÍVEL, DE CORRENTE NOMINAL 200A, DE TENSAO 27KV (27000V) (HXD820-29/200A-6.3KA), CORRENTE NOMINAL XXXX (A) , MARCA XXX MODELO XXX ANO DE FABRICACAO XXXX, NUMERO DE SERIE YYYY A ZZZZ.</v>
          </cell>
        </row>
        <row r="2384">
          <cell r="B2384">
            <v>40148001</v>
          </cell>
          <cell r="D2384">
            <v>40148001</v>
          </cell>
          <cell r="E2384">
            <v>90289010</v>
          </cell>
          <cell r="F2384" t="str">
            <v>Not applicable</v>
          </cell>
          <cell r="G2384">
            <v>90289010</v>
          </cell>
          <cell r="H2384" t="str">
            <v>Placa de circuito impresso montada (PCBA), parte para montagem de medidor de energia eletrica (contador de eletricidade) monofasico digital Cronos 6021-NG2, 120V,240V 1 Elem. 2 Fios 15(100)A + Aux + SU</v>
          </cell>
        </row>
        <row r="2385">
          <cell r="B2385">
            <v>4039896220</v>
          </cell>
          <cell r="D2385" t="str">
            <v>PENDING</v>
          </cell>
          <cell r="E2385">
            <v>90319010</v>
          </cell>
          <cell r="F2385" t="str">
            <v>Not applicable</v>
          </cell>
          <cell r="H2385" t="str">
            <v>Baquelite com terminais de corrente, parte para uso em bancada de calibracAo de medidores de energia eletrica</v>
          </cell>
        </row>
        <row r="2386">
          <cell r="B2386">
            <v>4039890730</v>
          </cell>
          <cell r="D2386" t="str">
            <v>PENDING</v>
          </cell>
          <cell r="E2386">
            <v>90319010</v>
          </cell>
          <cell r="F2386" t="str">
            <v>Not applicable</v>
          </cell>
          <cell r="H2386" t="str">
            <v>Pinos, parte para uso em bancada de calibracAo de medidores de energia eletrica</v>
          </cell>
        </row>
        <row r="2387">
          <cell r="B2387">
            <v>4039806690</v>
          </cell>
          <cell r="D2387" t="str">
            <v>PENDING</v>
          </cell>
          <cell r="E2387">
            <v>90319010</v>
          </cell>
          <cell r="F2387" t="str">
            <v>Not applicable</v>
          </cell>
          <cell r="H2387" t="str">
            <v>Ferramenta para inicializacAo, parte para uso em bancada de calibracAo de medidores de energia eletrica</v>
          </cell>
        </row>
        <row r="2388">
          <cell r="B2388" t="str">
            <v>523400129006</v>
          </cell>
          <cell r="D2388">
            <v>97045</v>
          </cell>
          <cell r="E2388">
            <v>85389010</v>
          </cell>
          <cell r="F2388" t="str">
            <v>Not applicable</v>
          </cell>
          <cell r="G2388">
            <v>85389010</v>
          </cell>
          <cell r="H2388" t="str">
            <v>Placa de circuito impresso com componentes eletronicos montados que possui a funcAo de controle microprocessado para controle das funcoes do inversores fotovoltaicos da marca Livoltek. TensAo de operacAo: 12V. Modelo do Inversor: GT1-8K-T1</v>
          </cell>
        </row>
        <row r="2389">
          <cell r="B2389">
            <v>5040902310</v>
          </cell>
          <cell r="D2389">
            <v>40277202</v>
          </cell>
          <cell r="E2389">
            <v>85444200</v>
          </cell>
          <cell r="F2389">
            <v>85444200</v>
          </cell>
          <cell r="G2389">
            <v>85444200</v>
          </cell>
          <cell r="H2389" t="str">
            <v>CONJUNTO DE PONTES DE COBRE MUNIDAS DE PINO RÍGIDO PARA CONEXAO, CONDUTOR ELeTRICO PARA APLICAcAO EM ATe TENSAO DE ATe 240V, ESTANHADA, CORRENTE MaXIMA DE 100A</v>
          </cell>
        </row>
        <row r="2390">
          <cell r="B2390">
            <v>5648990100</v>
          </cell>
          <cell r="D2390">
            <v>5648990100</v>
          </cell>
          <cell r="E2390">
            <v>90282010</v>
          </cell>
          <cell r="F2390" t="str">
            <v>Not applicable</v>
          </cell>
          <cell r="G2390">
            <v>90282010</v>
          </cell>
          <cell r="H2390" t="str">
            <v>Hidrometro Ultrassonico Dist. (contador de líquidos); LatAo;DN40-300 mm; Q3=16 m³/h; R250; Pulso; Mbus; 4-20mA; MODBUS; (ZLW-DN40) com peso líquido unitario aproximado entre 6,5 e 9 kgs.</v>
          </cell>
        </row>
        <row r="2391">
          <cell r="B2391" t="str">
            <v>565AC80600</v>
          </cell>
          <cell r="D2391" t="str">
            <v>565AC80600</v>
          </cell>
          <cell r="E2391">
            <v>90282010</v>
          </cell>
          <cell r="F2391" t="str">
            <v>Not applicable</v>
          </cell>
          <cell r="G2391">
            <v>90282010</v>
          </cell>
          <cell r="H2391" t="str">
            <v>Hidrometro Ultrassonico Ind. (contador de líquidos); Aco; DN50-200 mm; Q3= 40 m³/h; R500; Pulso; Mbus; 4-20mA; MODBUS (ZLW-DN50) com peso líquido unitario aproximado entre 10 e 13 kgs.</v>
          </cell>
        </row>
        <row r="2392">
          <cell r="B2392" t="str">
            <v>565CCB0600</v>
          </cell>
          <cell r="D2392" t="str">
            <v>565CCB0600</v>
          </cell>
          <cell r="E2392">
            <v>90282010</v>
          </cell>
          <cell r="F2392" t="str">
            <v>Not applicable</v>
          </cell>
          <cell r="G2392">
            <v>90282010</v>
          </cell>
          <cell r="H2392" t="str">
            <v>Hidrometro Ultrassonico Ind. (contador de líquidos); Aco; DN100-250 mm; Q3=100 m³/h; R500; Pulso; MODBUS (ZLW-DN100) com peso líquido unitario aproximado entre 18 e 23 kgs.</v>
          </cell>
        </row>
        <row r="2393">
          <cell r="B2393" t="str">
            <v>565ECA0600</v>
          </cell>
          <cell r="D2393" t="str">
            <v>565ECA0600</v>
          </cell>
          <cell r="E2393">
            <v>90282010</v>
          </cell>
          <cell r="F2393" t="str">
            <v>Not applicable</v>
          </cell>
          <cell r="G2393">
            <v>90282010</v>
          </cell>
          <cell r="H2393" t="str">
            <v>Hidrometro Ultrassonico Ind. (contador de líquidos); Aco; DN200-350 mm; Q3= 400 m³/h; R500; Pulso; Mbus; 4-20mA; MODBUS (ZLW-DN200) com peso líquido unitario aproximado entre 38 e 45 kgs.</v>
          </cell>
        </row>
        <row r="2394">
          <cell r="B2394">
            <v>2120305221</v>
          </cell>
          <cell r="D2394">
            <v>20640112</v>
          </cell>
          <cell r="E2394">
            <v>85241100</v>
          </cell>
          <cell r="F2394">
            <v>85241100</v>
          </cell>
          <cell r="G2394">
            <v>85241100</v>
          </cell>
          <cell r="H2394" t="str">
            <v>MODULO DE VISUALIZACAO DE TELA (ECRA) PLANA, DE CRISTAL LIQUIDO, SEM CONTROLADOR (DRIVER) NEM CIRCUITO DE CONTROLE, UTILIZADO EM PROCESSO DE MONTAGEM POR INSERCAO (PTH), COM TENSAO DE OPERACAO 3.6V E DIMENSOES 55.0X27.0X7.9 MM.</v>
          </cell>
        </row>
        <row r="2395">
          <cell r="B2395">
            <v>2020101400</v>
          </cell>
          <cell r="D2395">
            <v>20660666</v>
          </cell>
          <cell r="E2395">
            <v>85322310</v>
          </cell>
          <cell r="F2395" t="str">
            <v>Not applicable</v>
          </cell>
          <cell r="G2395">
            <v>85322310</v>
          </cell>
          <cell r="H2395" t="str">
            <v>CAPACITOR (CONDENSADOR ELETRICO FIXO) COM DIELETRICO DE CERAMICA, DE UMA SO CAMADA, PROPRIOSPARA MONTAGEM EM SUPERFÍCIE SMD; CAPACITANCIA 10PF; TENSAO NOMINAL 50VDC; TOLERANCIA 5POR CENTO; ENCAPSULAMENTO 0402</v>
          </cell>
        </row>
        <row r="2396">
          <cell r="B2396">
            <v>2010107220</v>
          </cell>
          <cell r="D2396">
            <v>20661021</v>
          </cell>
          <cell r="E2396">
            <v>85332120</v>
          </cell>
          <cell r="F2396">
            <v>85332120</v>
          </cell>
          <cell r="G2396">
            <v>85332120</v>
          </cell>
          <cell r="H2396" t="str">
            <v>RESISTOR PROPRIO PARA MONTAGEM EM SUPERFÍCIE (SMD),ENCAPSULAMENTO 0402, RESISTENCIA DE 10OHMS, TOLERANCIA 5POR CENTO,  POTENCIA 0,0625 (1/16)W.</v>
          </cell>
        </row>
        <row r="2397">
          <cell r="B2397">
            <v>2010110410</v>
          </cell>
          <cell r="D2397">
            <v>20633689</v>
          </cell>
          <cell r="E2397">
            <v>85332120</v>
          </cell>
          <cell r="F2397">
            <v>85332120</v>
          </cell>
          <cell r="G2397">
            <v>85332120</v>
          </cell>
          <cell r="H2397" t="str">
            <v>RESISTOR PROPRIO PARA MONTAGEM EM SUPERFÍCIE (SMD),ENCAPSULAMENTO 0603, RESISTENCIA DE 560K OHMS, TOLERANCIA 1POR CENTO,  POTENCIA 0,1 (1/10)W</v>
          </cell>
        </row>
        <row r="2398">
          <cell r="B2398">
            <v>2150152460</v>
          </cell>
          <cell r="D2398">
            <v>20661757</v>
          </cell>
          <cell r="E2398">
            <v>85340033</v>
          </cell>
          <cell r="F2398" t="str">
            <v>Not applicable</v>
          </cell>
          <cell r="G2398">
            <v>85340033</v>
          </cell>
          <cell r="H2398" t="str">
            <v>PLACA DE CIRCUITO IMPRESSO, DE NATUREZA DO MATERIAL BASE RÍGIDO, COMPOSIcAO DA PLACA DE ISOLANTE DE RESINA EPoXIDA E TECIDO DE FIBRA DE VIDRO, ESTRUTURA DE DUPLA FACE E INTERLIGAcAO ENTRE FACES POR FUROS METALIZADOS; dimensoes 165.6mm x 193.0mm</v>
          </cell>
        </row>
        <row r="2399">
          <cell r="B2399">
            <v>2150149930</v>
          </cell>
          <cell r="D2399">
            <v>20661758</v>
          </cell>
          <cell r="E2399">
            <v>85340033</v>
          </cell>
          <cell r="F2399" t="str">
            <v>Not applicable</v>
          </cell>
          <cell r="G2399">
            <v>85340033</v>
          </cell>
          <cell r="H2399" t="str">
            <v>PLACA DE CIRCUITO IMPRESSO, DE NATUREZA DO MATERIAL BASE RÍGIDO, COMPOSIcAO DA PLACA DE ISOLANTE DE RESINA EPoXIDA E TECIDO DE FIBRA DE VIDRO, ESTRUTURA DE DUPLA FACE E INTERLIGAcAO ENTRE FACES POR FUROS METALIZADOS; dimensoes 213.2mm x 214.1mm.</v>
          </cell>
        </row>
        <row r="2400">
          <cell r="B2400">
            <v>2040400011</v>
          </cell>
          <cell r="D2400">
            <v>20690639</v>
          </cell>
          <cell r="E2400">
            <v>85414122</v>
          </cell>
          <cell r="F2400">
            <v>85414122</v>
          </cell>
          <cell r="G2400">
            <v>85414122</v>
          </cell>
          <cell r="H2400" t="str">
            <v>DIODO EMISSOR DE LUZ (LED), MONTADO DO TIPO FOTOTRANSISTOR, AZUL, DIMENSOES 3.85*5.5MM, COMPRIMENTO 30MM</v>
          </cell>
        </row>
        <row r="2401">
          <cell r="B2401">
            <v>2091101210</v>
          </cell>
          <cell r="D2401">
            <v>20690640</v>
          </cell>
          <cell r="E2401">
            <v>85414122</v>
          </cell>
          <cell r="F2401">
            <v>85414122</v>
          </cell>
          <cell r="G2401">
            <v>85414122</v>
          </cell>
          <cell r="H2401" t="str">
            <v>DIODO EMISSOR DE LUZ (LED), MONTADO DO TIPO FOTOTRANSISTOR, F4*4MM, PA66.</v>
          </cell>
        </row>
        <row r="2402">
          <cell r="B2402">
            <v>2040500700</v>
          </cell>
          <cell r="D2402">
            <v>20690641</v>
          </cell>
          <cell r="E2402">
            <v>85414122</v>
          </cell>
          <cell r="F2402">
            <v>85414122</v>
          </cell>
          <cell r="G2402">
            <v>85414122</v>
          </cell>
          <cell r="H2402" t="str">
            <v>DIODO EMISSOR DE LUZ (LED), MONTADO DO TIPO FOTOTRANSISTOR, DIMENSOES  4.15*5.3 MM, COMPRIMENTO 30.0MM</v>
          </cell>
        </row>
        <row r="2403">
          <cell r="B2403">
            <v>2040500710</v>
          </cell>
          <cell r="D2403">
            <v>20690642</v>
          </cell>
          <cell r="E2403">
            <v>85414122</v>
          </cell>
          <cell r="F2403">
            <v>85414122</v>
          </cell>
          <cell r="G2403">
            <v>85414122</v>
          </cell>
          <cell r="H2403" t="str">
            <v>DIODO EMISSOR DE LUZ (LED), MONTADO DO TIPO FOTOTRANSISTOR, CINZA AZULADO, DIMENSOES 3.8*5.2MM , COMPRIMENTO 24MM.</v>
          </cell>
        </row>
        <row r="2404">
          <cell r="B2404">
            <v>2110301620</v>
          </cell>
          <cell r="D2404">
            <v>20691653</v>
          </cell>
          <cell r="E2404">
            <v>85416010</v>
          </cell>
          <cell r="F2404">
            <v>85416010</v>
          </cell>
          <cell r="G2404">
            <v>85416010</v>
          </cell>
          <cell r="H2404" t="str">
            <v>CRISTAL PIEZELETRICO DE QUARTZO, MONTADO, COM FREQUENCIA 4MHZ E DIMENSOES 4.5*1.2 MM E COMPRIMENTO 1.2 MM</v>
          </cell>
        </row>
        <row r="2405">
          <cell r="B2405">
            <v>2051700041</v>
          </cell>
          <cell r="D2405">
            <v>20691705</v>
          </cell>
          <cell r="E2405">
            <v>85423920</v>
          </cell>
          <cell r="F2405">
            <v>85423920</v>
          </cell>
          <cell r="G2405">
            <v>85423920</v>
          </cell>
          <cell r="H2405" t="str">
            <v>CIRCUITO INTEGRADO ELETRONICO DO TIPO SENSOR DE CAMPO MAGNETICO, NAO MONTADO; TENSAO DE SAÍDA  1,8V~5,0V; ENCAPSULAMENTO SOT-23-3; CORRENTE NOMINAL DE SAÍDA 3MA.</v>
          </cell>
        </row>
        <row r="2406">
          <cell r="B2406">
            <v>2040301221</v>
          </cell>
          <cell r="D2406">
            <v>20692050</v>
          </cell>
          <cell r="E2406">
            <v>85423939</v>
          </cell>
          <cell r="F2406">
            <v>85423939</v>
          </cell>
          <cell r="G2406">
            <v>85423939</v>
          </cell>
          <cell r="H2406" t="str">
            <v>CIRCUITO INTEGRADO ELETRONICO DO TIPO REGULADOR DE TENSAO MONTADO, PROPRIO PARA MONTAGEM EM SUPERFÍCIE SMD; TENSAO DE SAÍDA AJUSTAVEL 5V~3.75KV; ENCAPSULAMENTO SO4-208.</v>
          </cell>
        </row>
        <row r="2407">
          <cell r="B2407">
            <v>4020212380</v>
          </cell>
          <cell r="D2407">
            <v>97855</v>
          </cell>
          <cell r="E2407">
            <v>39269090</v>
          </cell>
          <cell r="F2407" t="str">
            <v>Not applicable</v>
          </cell>
          <cell r="H2407" t="str">
            <v>Corrente de rolos, de material plastico de nylon</v>
          </cell>
        </row>
        <row r="2408">
          <cell r="B2408">
            <v>4020108030</v>
          </cell>
          <cell r="D2408">
            <v>97856</v>
          </cell>
          <cell r="E2408">
            <v>84679900</v>
          </cell>
          <cell r="F2408" t="str">
            <v>Not applicable</v>
          </cell>
          <cell r="H2408" t="str">
            <v xml:space="preserve">Ponta, parte para uso em parafusadeira eletrica P1L BSD 6600L  </v>
          </cell>
        </row>
        <row r="2409">
          <cell r="B2409">
            <v>402021390</v>
          </cell>
          <cell r="D2409">
            <v>97870</v>
          </cell>
          <cell r="E2409">
            <v>85011029</v>
          </cell>
          <cell r="F2409" t="str">
            <v>Not applicable</v>
          </cell>
          <cell r="H2409" t="str">
            <v>Motor eletrico, de potencia de 0,2kW (200W), de corrente alternada, do tipo servomotor</v>
          </cell>
        </row>
        <row r="2410">
          <cell r="B2410">
            <v>4020212400</v>
          </cell>
          <cell r="D2410">
            <v>97858</v>
          </cell>
          <cell r="E2410">
            <v>84828000</v>
          </cell>
          <cell r="F2410" t="str">
            <v>Not applicable</v>
          </cell>
          <cell r="H2410" t="str">
            <v>Rolamento linear EG15 HIWIN</v>
          </cell>
        </row>
        <row r="2411">
          <cell r="B2411">
            <v>4020212410</v>
          </cell>
          <cell r="D2411">
            <v>97860</v>
          </cell>
          <cell r="E2411">
            <v>84829990</v>
          </cell>
          <cell r="F2411" t="str">
            <v>Not applicable</v>
          </cell>
          <cell r="H2411" t="str">
            <v>Graxeira de 1/8mm, parte para uso em rolamento linear EG15 Hiwin</v>
          </cell>
        </row>
        <row r="2412">
          <cell r="B2412">
            <v>7029900860</v>
          </cell>
          <cell r="D2412" t="str">
            <v>97806 </v>
          </cell>
          <cell r="E2412">
            <v>85371020</v>
          </cell>
          <cell r="F2412" t="str">
            <v>Not applicable</v>
          </cell>
          <cell r="G2412">
            <v>85371020</v>
          </cell>
          <cell r="H2412" t="str">
            <v>Controlador programavel modelo PG-STP-MAIN V3, para comando eletrico de funcAo "shutdown", para tensAo aproximada de 12V</v>
          </cell>
        </row>
        <row r="2413">
          <cell r="B2413" t="str">
            <v>GT3-20KD1R11001</v>
          </cell>
          <cell r="D2413">
            <v>95919</v>
          </cell>
          <cell r="E2413">
            <v>85044090</v>
          </cell>
          <cell r="F2413" t="str">
            <v>Not applicable</v>
          </cell>
          <cell r="H2413" t="str">
            <v>Inversores para sistemas fotovoltaicos "on grid", tipo "string", para rede trifasica, com potencia nominal de saída de 20.000W a 40 graus Celsius, com potencia maxima de saída de 20.000W a 40 graus Celsius, e tensAo nominal de saída de 220/380V e/ou 230/400V e/ou 240/415V, de marca XXXX, modelo YYYY, ano de fabricacAo ZZZZ e numeros de serie de AAAA a BBBB - para conversAo de energia corrente contínua em energia corrente alternada, de tecnologia de controle microprocessado, corrente nominal de saída de 28.9A, faixa de frequencia 50/60 Hz, eficiencia maxima de 98,6por cento, gabinetes com grau de protecAo IP65, projetados para suportar operacAo em temperaturas na faixa de -30 a 60 graus Celsius, duas MPPTs</v>
          </cell>
        </row>
        <row r="2414">
          <cell r="B2414">
            <v>2010106120</v>
          </cell>
          <cell r="D2414">
            <v>20620206</v>
          </cell>
          <cell r="E2414">
            <v>85332120</v>
          </cell>
          <cell r="F2414">
            <v>85332120</v>
          </cell>
          <cell r="G2414">
            <v>85332120</v>
          </cell>
          <cell r="H2414" t="str">
            <v>Resistor proprio para montagem em superfície (SMD), encapsulamento 0402, resistencia de 75k ohms, tolerAncia 1por cento, potencia 0,0625 (1/16)W</v>
          </cell>
        </row>
        <row r="2415">
          <cell r="B2415">
            <v>2020101800</v>
          </cell>
          <cell r="D2415">
            <v>20672689</v>
          </cell>
          <cell r="E2415">
            <v>85322410</v>
          </cell>
          <cell r="F2415" t="str">
            <v>Not applicable</v>
          </cell>
          <cell r="G2415">
            <v>85322410</v>
          </cell>
          <cell r="H2415" t="str">
            <v>Capacitor (condensador eletrico fixo) com dieletrico de cerAmica, de camadas multiplas, proprios para montagem em superfície SMD; CapacitAncia 68.0pF; TensAo nominal 50.0Vdc; TolerAncia 5por cento; Encapsulamento 0402</v>
          </cell>
        </row>
        <row r="2416">
          <cell r="B2416">
            <v>2020101970</v>
          </cell>
          <cell r="D2416">
            <v>20672690</v>
          </cell>
          <cell r="E2416">
            <v>85322410</v>
          </cell>
          <cell r="F2416" t="str">
            <v>Not applicable</v>
          </cell>
          <cell r="G2416">
            <v>85322410</v>
          </cell>
          <cell r="H2416" t="str">
            <v>Capacitor (condesador eletrico fixo) com dieletrico de cerAmica, de camadas multiplas, proprios para montagem em superfície SMD; CapacitAncia 470.0nF; TensAo nominal 10.0Vdc; TolerAncia 10por cento; Encapsulamento 0402</v>
          </cell>
        </row>
        <row r="2417">
          <cell r="B2417">
            <v>2020302671</v>
          </cell>
          <cell r="D2417">
            <v>20672691</v>
          </cell>
          <cell r="E2417">
            <v>85322200</v>
          </cell>
          <cell r="F2417">
            <v>85322200</v>
          </cell>
          <cell r="G2417">
            <v>85322200</v>
          </cell>
          <cell r="H2417" t="str">
            <v>Capacitor (condensador eletrico fixo) eletrolítico de alumínio para montagem PTH; CapacitAncia 100.0uF; TensAo nominal 35Vdc; TolerAncia 20por cento; Terminal radial; DiAmetro 2.5mm; Comprimento 11mm</v>
          </cell>
        </row>
        <row r="2418">
          <cell r="B2418">
            <v>2020302701</v>
          </cell>
          <cell r="D2418">
            <v>20672692</v>
          </cell>
          <cell r="E2418">
            <v>85322200</v>
          </cell>
          <cell r="F2418">
            <v>85322200</v>
          </cell>
          <cell r="G2418">
            <v>85322200</v>
          </cell>
          <cell r="H2418" t="str">
            <v>Capacitor (condensador eletrico fixo) eletrolítico de alumínio para montagem PTH; CapacitAncia 1000.0uF; TensAo nominal 35Vdc; TolerAncia 20por cento; Terminal radial; DiAmetro 5mm; Comprimento 20mm</v>
          </cell>
        </row>
        <row r="2419">
          <cell r="B2419">
            <v>2050101081</v>
          </cell>
          <cell r="D2419">
            <v>20660396</v>
          </cell>
          <cell r="E2419">
            <v>85423120</v>
          </cell>
          <cell r="F2419">
            <v>85423120</v>
          </cell>
          <cell r="G2419">
            <v>85423120</v>
          </cell>
          <cell r="H2419" t="str">
            <v>Circuito Integrado eletronico microcontrolador, modelo de microprocessador de 32 bits, montado, proprio para montagem em superfície (SMD) LQFP100, com Frequencia de clock de ate 29,4912MHz, memoria Flash 192KB e memoria SRAM 16kB.TensAo de operacAo 2,8V~5,5V.</v>
          </cell>
        </row>
        <row r="2420">
          <cell r="B2420">
            <v>2054300100</v>
          </cell>
          <cell r="D2420">
            <v>20680133</v>
          </cell>
          <cell r="E2420">
            <v>85423221</v>
          </cell>
          <cell r="F2420">
            <v>85423221</v>
          </cell>
          <cell r="G2420">
            <v>85423221</v>
          </cell>
          <cell r="H2420" t="str">
            <v>Circuito integrado eletronico de memoria tipo flash, de capacidade de memoria 4Mbytes, montado, proprio para montagem em superfície SMD; encapsulamento 8pin SOP 208-mil </v>
          </cell>
        </row>
        <row r="2421">
          <cell r="B2421">
            <v>2060501441</v>
          </cell>
          <cell r="D2421">
            <v>20630813</v>
          </cell>
          <cell r="E2421">
            <v>85411021</v>
          </cell>
          <cell r="F2421">
            <v>85411021</v>
          </cell>
          <cell r="G2421">
            <v>85411021</v>
          </cell>
          <cell r="H2421" t="str">
            <v>DISPOSITIVO SEMICONDUTOR, DO TIPO DIODO ZENER, MONTADO, PRoPRIO PARA MONTAGEM EM SUPERFÍCIE SMD DE INTENSIDADE DE CORRENTE 0,005 A (2060501441)</v>
          </cell>
        </row>
        <row r="2422">
          <cell r="B2422">
            <v>2060501451</v>
          </cell>
          <cell r="D2422">
            <v>20630814</v>
          </cell>
          <cell r="E2422">
            <v>85411021</v>
          </cell>
          <cell r="F2422">
            <v>85411021</v>
          </cell>
          <cell r="G2422">
            <v>85411021</v>
          </cell>
          <cell r="H2422" t="str">
            <v>DISPOSITIVO SEMICONDUTOR, DO TIPO DIODO ZENER, MONTADO, PRoPRIO PARA MONTAGEM EM SUPERFÍCIE SMD DE INTENSIDADE DE CORRENTE 0,005 A (2060501451)</v>
          </cell>
        </row>
        <row r="2423">
          <cell r="B2423">
            <v>2100101890</v>
          </cell>
          <cell r="D2423">
            <v>20601400</v>
          </cell>
          <cell r="E2423">
            <v>85043119</v>
          </cell>
          <cell r="F2423">
            <v>85043119</v>
          </cell>
          <cell r="G2423">
            <v>85043119</v>
          </cell>
          <cell r="H2423" t="str">
            <v>Transformador eletrico de frequencia de energia com Potencia de 0,00064 kVA, com aplicacAo em frequencia de 50 a 60 Hz</v>
          </cell>
        </row>
        <row r="2424">
          <cell r="B2424">
            <v>2150152730</v>
          </cell>
          <cell r="D2424">
            <v>20661754</v>
          </cell>
          <cell r="E2424">
            <v>85340033</v>
          </cell>
          <cell r="F2424" t="str">
            <v>Not applicable</v>
          </cell>
          <cell r="G2424">
            <v>85340033</v>
          </cell>
          <cell r="H2424" t="str">
            <v>PLACA DE CIRCUITO IMPRESSO, DE NATUREZA DO MATERIAL BASE RÍGIDO, COMPOSIcAO DA PLACA DE ISOLANTE DE RESINA EPoXIDA E TECIDO DE FIBRA DE VIDRO, ESTRUTURA DE DUPLA FACE E INTERLIGAcAO ENTRE FACES POR FUROS METALIZADOS; dimensoes 320mm x 216,6mm</v>
          </cell>
        </row>
        <row r="2425">
          <cell r="B2425">
            <v>2020101610</v>
          </cell>
          <cell r="D2425">
            <v>20672552</v>
          </cell>
          <cell r="E2425">
            <v>85322410</v>
          </cell>
          <cell r="F2425" t="str">
            <v>Not applicable</v>
          </cell>
          <cell r="G2425">
            <v>85322410</v>
          </cell>
          <cell r="H2425" t="str">
            <v>Capacitor (condensador eletrico fixo) com dieletrico de cerAmica, de camadas multiplas, proprios para montagem em superfície SMD; CapacitAncia 47pF; TensAo nominal 50.0Vdc; TolerAncia 5por cento; Encapsulamento 0402</v>
          </cell>
        </row>
        <row r="2426">
          <cell r="B2426" t="str">
            <v>MNGE72R11002</v>
          </cell>
          <cell r="D2426">
            <v>20694688</v>
          </cell>
          <cell r="E2426">
            <v>85176272</v>
          </cell>
          <cell r="F2426">
            <v>85176272</v>
          </cell>
          <cell r="G2426">
            <v>85176272</v>
          </cell>
          <cell r="H2426" t="str">
            <v>Modulo de comunicacAo de dados sem fio (recepcAo, conversAo e transmissAo) MNGE72.R110, digitais, emissores de radio frequencia com receptor incorporado, para medidores inteligentes de energia eletrica modelo Zeus-NG com tecnologia NB1, NB2 e CAT-M1, operando nas faixas de frequencia de 850/900/1900/2100 MHz e 850/900/1800/1900 MHz, contendo slot para SIM cards 2FF e supercapacitores para funcAo de "Last Gasp" e LEDs para indicacAo de comunicacAo com a rede e com os medidores de energia, com taxa de transmissAo de ate 1,119 Mbit/s</v>
          </cell>
        </row>
        <row r="2427">
          <cell r="B2427">
            <v>7020826101</v>
          </cell>
          <cell r="D2427">
            <v>97840</v>
          </cell>
          <cell r="E2427">
            <v>84807100</v>
          </cell>
          <cell r="F2427" t="str">
            <v>Not applicable</v>
          </cell>
          <cell r="G2427">
            <v>84807100</v>
          </cell>
          <cell r="H2427" t="str">
            <v>Molde para moldagem por injecAo, para materiais plasticos de policarbonato - S23060 (ref. 7020826101)</v>
          </cell>
        </row>
        <row r="2428">
          <cell r="B2428">
            <v>7020826111</v>
          </cell>
          <cell r="D2428">
            <v>97841</v>
          </cell>
          <cell r="E2428">
            <v>84807100</v>
          </cell>
          <cell r="F2428" t="str">
            <v>Not applicable</v>
          </cell>
          <cell r="G2428">
            <v>84807100</v>
          </cell>
          <cell r="H2428" t="str">
            <v>Molde para moldagem por injecAo, para materiais plasticos de policarbonato - S23061 (ref. 7020826111)</v>
          </cell>
        </row>
        <row r="2429">
          <cell r="B2429">
            <v>4020603140</v>
          </cell>
          <cell r="D2429">
            <v>98003</v>
          </cell>
          <cell r="E2429">
            <v>90319010</v>
          </cell>
          <cell r="F2429" t="str">
            <v>Not applicable</v>
          </cell>
          <cell r="H2429" t="str">
            <v>Sensor de pulso fotoeletrico, parte para uso em bancada de montagem de medidores de energia eletrica</v>
          </cell>
        </row>
        <row r="2430">
          <cell r="B2430">
            <v>4020404730</v>
          </cell>
          <cell r="D2430">
            <v>98005</v>
          </cell>
          <cell r="E2430">
            <v>84679200</v>
          </cell>
          <cell r="F2430" t="str">
            <v>Not applicable</v>
          </cell>
          <cell r="H2430" t="str">
            <v>Silenciador, parte para uso em parafusadeiras pneumaticas Codigo: 2P3020 M&amp;L</v>
          </cell>
        </row>
        <row r="2431">
          <cell r="B2431">
            <v>4020307480</v>
          </cell>
          <cell r="D2431">
            <v>98011</v>
          </cell>
          <cell r="E2431">
            <v>84779000</v>
          </cell>
          <cell r="F2431" t="str">
            <v>Not applicable</v>
          </cell>
          <cell r="H2431" t="str">
            <v xml:space="preserve">Rosca completa com flange e canhAo D-35, parte para uso em maquina de moldagem por injecAo </v>
          </cell>
        </row>
        <row r="2432">
          <cell r="B2432">
            <v>4020305950</v>
          </cell>
          <cell r="D2432">
            <v>98012</v>
          </cell>
          <cell r="E2432">
            <v>84779000</v>
          </cell>
          <cell r="F2432" t="str">
            <v>Not applicable</v>
          </cell>
          <cell r="H2432" t="str">
            <v xml:space="preserve">Rosca completa com flange e canhAo D-40, parte para uso em maquina de moldagem por injecAo </v>
          </cell>
        </row>
        <row r="2433">
          <cell r="B2433">
            <v>4020306160</v>
          </cell>
          <cell r="D2433">
            <v>98013</v>
          </cell>
          <cell r="E2433">
            <v>84779000</v>
          </cell>
          <cell r="F2433" t="str">
            <v>Not applicable</v>
          </cell>
          <cell r="H2433" t="str">
            <v xml:space="preserve">Rosca completa com flange e canhAo D-50, parte para uso em maquina de moldagem por injecAo </v>
          </cell>
        </row>
        <row r="2434">
          <cell r="B2434">
            <v>4020305590</v>
          </cell>
          <cell r="D2434">
            <v>98014</v>
          </cell>
          <cell r="E2434">
            <v>84779000</v>
          </cell>
          <cell r="F2434" t="str">
            <v>Not applicable</v>
          </cell>
          <cell r="H2434" t="str">
            <v xml:space="preserve">Rosca completa com flange e canhAo D-45, parte para uso em maquina de moldagem por injecAo </v>
          </cell>
        </row>
        <row r="2435">
          <cell r="B2435">
            <v>4020307470</v>
          </cell>
          <cell r="D2435">
            <v>98015</v>
          </cell>
          <cell r="E2435">
            <v>84779000</v>
          </cell>
          <cell r="F2435" t="str">
            <v>Not applicable</v>
          </cell>
          <cell r="H2435" t="str">
            <v xml:space="preserve">Rosca completa com flange e canhAo Q65MM, parte para uso em maquina de moldagem por injecAo </v>
          </cell>
        </row>
        <row r="2436">
          <cell r="B2436">
            <v>4020307490</v>
          </cell>
          <cell r="D2436">
            <v>98016</v>
          </cell>
          <cell r="E2436">
            <v>84779000</v>
          </cell>
          <cell r="F2436" t="str">
            <v>Not applicable</v>
          </cell>
          <cell r="H2436" t="str">
            <v>Painel de controle logico programavel, parte para uso em maquina de moldagem por injecAo</v>
          </cell>
        </row>
        <row r="2437">
          <cell r="B2437">
            <v>4020307420</v>
          </cell>
          <cell r="D2437">
            <v>98017</v>
          </cell>
          <cell r="E2437">
            <v>84779000</v>
          </cell>
          <cell r="F2437" t="str">
            <v>Not applicable</v>
          </cell>
          <cell r="H2437" t="str">
            <v>Servodrive 19F5A1H- YUC2, parte para uso em maquina de moldagem por injecAo</v>
          </cell>
        </row>
        <row r="2438">
          <cell r="B2438">
            <v>4020307450</v>
          </cell>
          <cell r="D2438">
            <v>98018</v>
          </cell>
          <cell r="E2438">
            <v>84779000</v>
          </cell>
          <cell r="F2438" t="str">
            <v>Not applicable</v>
          </cell>
          <cell r="H2438" t="str">
            <v>Servodrive IMS-H3-4018EB, parte para uso em maquina de moldagem por injecAo</v>
          </cell>
        </row>
        <row r="2439">
          <cell r="B2439">
            <v>4020307460</v>
          </cell>
          <cell r="D2439">
            <v>98019</v>
          </cell>
          <cell r="E2439">
            <v>84799090</v>
          </cell>
          <cell r="F2439" t="str">
            <v>Not applicable</v>
          </cell>
          <cell r="H2439" t="str">
            <v>Controle para braco robotico, parte para uso em maquina de moldagem por injecAo</v>
          </cell>
        </row>
        <row r="2440">
          <cell r="B2440">
            <v>4020307410</v>
          </cell>
          <cell r="D2440">
            <v>98020</v>
          </cell>
          <cell r="E2440">
            <v>84779000</v>
          </cell>
          <cell r="F2440" t="str">
            <v>Not applicable</v>
          </cell>
          <cell r="H2440" t="str">
            <v>Conjunto motor e bomba 0T52-63F-SV-Z, parte para uso em maquina de moldagem por injecAo - Max.pressure 16 Mpa - SPP QT Pump/ HT2512152R 1500RPM 43.5A 18.5KW 380V</v>
          </cell>
        </row>
        <row r="2441">
          <cell r="B2441">
            <v>4020307440</v>
          </cell>
          <cell r="D2441">
            <v>98021</v>
          </cell>
          <cell r="E2441">
            <v>84779000</v>
          </cell>
          <cell r="F2441" t="str">
            <v>Not applicable</v>
          </cell>
          <cell r="H2441" t="str">
            <v xml:space="preserve">Conjunto motor e bomba QT52-63F/HT2512122R, parte para uso em maquina de moldagem por injecAo - 1200RPM 28.5A 15KW 380V IP54, </v>
          </cell>
        </row>
        <row r="2442">
          <cell r="B2442">
            <v>4020307430</v>
          </cell>
          <cell r="D2442">
            <v>98022</v>
          </cell>
          <cell r="E2442">
            <v>84779000</v>
          </cell>
          <cell r="F2442" t="str">
            <v>Not applicable</v>
          </cell>
          <cell r="H2442" t="str">
            <v>Conjunto motor e bomba 0T52-63F-SV-Z, parte para uso em maquina de moldagem por injecAo - Max.pressure 16 Mpa - SPP QT Pump /HT2512152R 1500RPM 43.5A 18.5KW 380V</v>
          </cell>
        </row>
        <row r="2443">
          <cell r="B2443">
            <v>4020306500</v>
          </cell>
          <cell r="D2443">
            <v>98023</v>
          </cell>
          <cell r="E2443">
            <v>84779000</v>
          </cell>
          <cell r="F2443" t="str">
            <v>Not applicable</v>
          </cell>
          <cell r="H2443" t="str">
            <v xml:space="preserve">Controlador Logico Programavel modelo AK668, parte para uso em maquina de moldagem por injecAo </v>
          </cell>
        </row>
        <row r="2444">
          <cell r="B2444">
            <v>4020306510</v>
          </cell>
          <cell r="D2444">
            <v>98024</v>
          </cell>
          <cell r="E2444">
            <v>84779000</v>
          </cell>
          <cell r="F2444" t="str">
            <v>Not applicable</v>
          </cell>
          <cell r="H2444" t="str">
            <v>Servodrive IMS-H3-4022EB, parte para uso em maquina de moldagem por injecAo</v>
          </cell>
        </row>
        <row r="2445">
          <cell r="B2445">
            <v>7020200490</v>
          </cell>
          <cell r="D2445" t="str">
            <v>PENDING</v>
          </cell>
          <cell r="E2445">
            <v>84068200</v>
          </cell>
          <cell r="F2445" t="str">
            <v>Not applicable</v>
          </cell>
          <cell r="H2445" t="str">
            <v>Turbina a vapor, de potencia de 0,006MW (6kW), para termorregulacAo (ref.7020200490)</v>
          </cell>
        </row>
        <row r="2446">
          <cell r="B2446">
            <v>4032000430</v>
          </cell>
          <cell r="D2446">
            <v>25257</v>
          </cell>
          <cell r="E2446">
            <v>90278911</v>
          </cell>
          <cell r="F2446" t="str">
            <v>Not applicable</v>
          </cell>
          <cell r="H2446" t="str">
            <v>Calorímetro, para analise de temperatura, com 6 zonas (ref.4032000430)</v>
          </cell>
        </row>
        <row r="2447">
          <cell r="B2447">
            <v>7020201110</v>
          </cell>
          <cell r="D2447">
            <v>97891</v>
          </cell>
          <cell r="E2447">
            <v>84795000</v>
          </cell>
          <cell r="F2447" t="str">
            <v>Not applicable</v>
          </cell>
          <cell r="G2447">
            <v>84795000</v>
          </cell>
          <cell r="H2447" t="str">
            <v>Robo industrial, para automacAo de processo de injecAo de plasticos, de tres eixos, MDE-120III-120-110-P/N-18TR</v>
          </cell>
        </row>
        <row r="2448">
          <cell r="B2448">
            <v>7020201120</v>
          </cell>
          <cell r="D2448">
            <v>97892</v>
          </cell>
          <cell r="E2448">
            <v>84795000</v>
          </cell>
          <cell r="F2448" t="str">
            <v>Not applicable</v>
          </cell>
          <cell r="G2448">
            <v>84795000</v>
          </cell>
          <cell r="H2448" t="str">
            <v>Robo industrial, para automacAo de processo de injecAo de plasticos, de tres eixos, MDW-110II-150-130-P/N-20TR</v>
          </cell>
        </row>
        <row r="2449">
          <cell r="B2449">
            <v>7060300120</v>
          </cell>
          <cell r="D2449">
            <v>98032</v>
          </cell>
          <cell r="E2449">
            <v>87168000</v>
          </cell>
          <cell r="F2449" t="str">
            <v>Not applicable</v>
          </cell>
          <cell r="H2449" t="str">
            <v>Carrinho de tracAo manual (veículo nAo autopropulsado), para armazenamento e transporte de PCBAs, anti-estatico (ESD), com 5 colunas, com capacidade de armazenamento de 100 placas por coluna, capacidade total para 500 placas</v>
          </cell>
        </row>
        <row r="2450">
          <cell r="B2450">
            <v>5130006720</v>
          </cell>
          <cell r="D2450">
            <v>91257130</v>
          </cell>
          <cell r="E2450">
            <v>48191000</v>
          </cell>
          <cell r="F2450" t="str">
            <v>Need to update benefit</v>
          </cell>
          <cell r="G2450">
            <v>48191000</v>
          </cell>
          <cell r="H2450" t="str">
            <v>Caixa de papelAo ondulado para armazenamento de Religador</v>
          </cell>
        </row>
        <row r="2451">
          <cell r="B2451">
            <v>5130006740</v>
          </cell>
          <cell r="D2451">
            <v>20694087</v>
          </cell>
          <cell r="E2451">
            <v>85351000</v>
          </cell>
          <cell r="F2451" t="str">
            <v>Need to update benefit</v>
          </cell>
          <cell r="G2451">
            <v>85351000</v>
          </cell>
          <cell r="H2451" t="str">
            <v>BASE DE CHAVE FUSÍVEL COM TENSAO MAXIMA DE 15,5kV (15500V), NIVEL BASE DE ISOLAMENTO (NBI) DE 110KV, PARA INTERRUPcAO DE CIRCUITO ELeTRICO, COM MATERIAL DE  ISOLAMENTO FEITO COM BORRACHA DE SILICONE</v>
          </cell>
        </row>
        <row r="2452">
          <cell r="B2452">
            <v>5210200849</v>
          </cell>
          <cell r="C2452">
            <v>5210200849</v>
          </cell>
          <cell r="E2452">
            <v>90289090</v>
          </cell>
          <cell r="F2452" t="str">
            <v>Not applicable</v>
          </cell>
          <cell r="G2452">
            <v>90289090</v>
          </cell>
          <cell r="H2452" t="str">
            <v>TUBO (CARCACA) EM LATAO A BASE DE COBREZINCO, COM RETIFICADOR DE FLUXO, TOTALMENTE MONTADO, DESTINADO AO USO EM HIDROMETROS (CONTADORES DE LIQUIDOS) RESIDENCIAIS. POSSUI SECAO TRANSVERSAL NOMINAL DE 20 MM E COMPRIMENTO TOTAL DE 190 MM.</v>
          </cell>
        </row>
        <row r="2453">
          <cell r="B2453">
            <v>3140900980</v>
          </cell>
          <cell r="C2453">
            <v>3140900980</v>
          </cell>
          <cell r="D2453">
            <v>40279000</v>
          </cell>
          <cell r="E2453">
            <v>74153900</v>
          </cell>
          <cell r="F2453" t="str">
            <v>Need to update benefit</v>
          </cell>
          <cell r="G2453">
            <v>74153900</v>
          </cell>
          <cell r="H2453" t="str">
            <v>ACOPLAMENTO ROSCADO DE COBRE PARA HIDROMETRO, A BASE DE COBRE ZINCO (LATAO), PARA USO EM HIDROMETROS  (CONTADORES DE LIQUIDOS) RESIDENCIAIS, COM SECAO DE TRANSVERSAL DE 15mm E COMPRIMENTO DE 165mm.</v>
          </cell>
        </row>
        <row r="2454">
          <cell r="B2454">
            <v>2090106380</v>
          </cell>
          <cell r="D2454">
            <v>20534402</v>
          </cell>
          <cell r="E2454">
            <v>74153300</v>
          </cell>
          <cell r="F2454">
            <v>74153300</v>
          </cell>
          <cell r="H2454" t="str">
            <v>PINO METaLICO, ROSCADO, DE MATeRIA PRIMA DE COBREZINCO (LATAO), BANHADO A OURO, DE DIMENSoES 10.16*2.5*8.5mm/2.54mm PARA USO EM MEDIDORES DE aGUA</v>
          </cell>
        </row>
        <row r="2455">
          <cell r="B2455">
            <v>3090111110</v>
          </cell>
          <cell r="D2455">
            <v>10410806</v>
          </cell>
          <cell r="E2455">
            <v>85444900</v>
          </cell>
          <cell r="F2455">
            <v>85444900</v>
          </cell>
          <cell r="H2455" t="str">
            <v>FIO CONDUTOR ELeTRICO, ISOLADO PARA USO ELeTRICO, PARA APLICAcAO EM TENSAO APROXIMADA DE 24V, DE COBRE ESTANHADO, PRETO E VERMELHO - 26AWG UL1007</v>
          </cell>
        </row>
        <row r="2456">
          <cell r="B2456">
            <v>2070101361</v>
          </cell>
          <cell r="D2456">
            <v>20692026</v>
          </cell>
          <cell r="E2456">
            <v>85065010</v>
          </cell>
          <cell r="F2456">
            <v>85065010</v>
          </cell>
          <cell r="G2456">
            <v>85065010</v>
          </cell>
          <cell r="H2456" t="str">
            <v>BATERIA ELETRICA DE LITIO, DE VOLUME EXTERIOR APROXIMADO DE 113CM3, 3,6V 19,0AH/150MM 38MAH, PARA USO EM HIDROMETROS (CONTADORES DE LIQUIDOS) RESIDENCIAIS, NUMERO DE SERIE XXXX a XXXX, ANO DE FABRICACAO XXXX, MODELO: XXXX, MARCA: XXXX, (2070101361).</v>
          </cell>
        </row>
        <row r="2457">
          <cell r="B2457">
            <v>4050300720</v>
          </cell>
          <cell r="D2457">
            <v>11220607</v>
          </cell>
          <cell r="E2457">
            <v>35069110</v>
          </cell>
          <cell r="F2457" t="str">
            <v>Need to update benefit</v>
          </cell>
          <cell r="H2457" t="str">
            <v>ADESIVO BICOMPONENTE PREPARADO À BASE DE BORRACHA, ACONDICIONADO PARA USO INDUSTRIAL, DE PESO LÍQUIDO APROXIMADO DE ATe 0,02KG POR UNIDADE</v>
          </cell>
        </row>
        <row r="2458">
          <cell r="B2458">
            <v>4040100710</v>
          </cell>
          <cell r="D2458">
            <v>20553202</v>
          </cell>
          <cell r="E2458">
            <v>80070030</v>
          </cell>
          <cell r="F2458" t="str">
            <v>Need to update benefit</v>
          </cell>
          <cell r="H2458" t="str">
            <v>ANEL DE MATeRIA-PRIMA BASE DE ESTANHO, ACESSoRIO PARA TUBO DE ESTANHO, TERMOPLaSTICO, PROJETADO PARA SER UTILIZADO EM CONEXoES ELeTRICAS TEMPORaRIAS</v>
          </cell>
        </row>
        <row r="2459">
          <cell r="B2459">
            <v>3090601900</v>
          </cell>
          <cell r="D2459">
            <v>10410807</v>
          </cell>
          <cell r="E2459">
            <v>85444900</v>
          </cell>
          <cell r="F2459">
            <v>85444900</v>
          </cell>
          <cell r="H2459" t="str">
            <v>CABO CONDUTOR ELeTRICO, ISOLADO PARA USO ELeTRICO, PARA APLICAcAO EM TENSAO APROXIMADA DE 24V, DE 4 NuCLEOS (VERMELHO, AMARELO, VERDE E MARROM) PARA SAÍDA DE PULSO DE DIMENSoES 4*0,3m㎡.</v>
          </cell>
        </row>
        <row r="2460">
          <cell r="B2460">
            <v>5210200839</v>
          </cell>
          <cell r="C2460">
            <v>5210200839</v>
          </cell>
          <cell r="E2460">
            <v>90289090</v>
          </cell>
          <cell r="F2460" t="str">
            <v>Not applicable</v>
          </cell>
          <cell r="G2460">
            <v>90289090</v>
          </cell>
          <cell r="H2460" t="str">
            <v>TUBO (CARCACA) DE LATAO A BASE DE COBREZINCO, COM RETIFICADOR DE FLUXO, MONTADO, INCLUI 1 PAR DE TRANSDUTORES, 1 PLACA DE PRESSAO METALICA, 4 PARAFUSOS M4X8 E 2 ANEIS DE VEDACAO, PARA USO EM HIDROMETROS (CONTADORES DE LIQUIDOS) RESIDENCIAIS COM SECAO DE TRANSVERSAL DE 15mm E COMPRIMENTO DE 165mm.</v>
          </cell>
        </row>
        <row r="2461">
          <cell r="B2461">
            <v>5210200859</v>
          </cell>
          <cell r="C2461">
            <v>5210200859</v>
          </cell>
          <cell r="E2461">
            <v>90289090</v>
          </cell>
          <cell r="F2461" t="str">
            <v>Not applicable</v>
          </cell>
          <cell r="G2461">
            <v>90289090</v>
          </cell>
          <cell r="H2461" t="str">
            <v>TUBO (CARCACA) DE LATAO A BASE DE COBREZINCO, COM RETIFICADOR DE FLUXO, MONTADO, INCLUI 1 PAR DE TRANSDUTORES, 1 PLACA DE PRESSAO METALICA, 4 PARAFUSOS M4X8 E 2 ANEIS DE VEDACAO, PARA USO EM HIDROMETROS RESIDENCIAIS (CONTADORES DE LIQUIDOS) COM SECAO DE TRANSVERSAL DE 25mm E COMPRIMENTO DE 260mm.</v>
          </cell>
        </row>
        <row r="2462">
          <cell r="B2462">
            <v>5210101420</v>
          </cell>
          <cell r="D2462">
            <v>20547007</v>
          </cell>
          <cell r="E2462">
            <v>73071990</v>
          </cell>
          <cell r="F2462" t="str">
            <v>Need to update benefit</v>
          </cell>
          <cell r="H2462" t="str">
            <v>TUBETE DE FERRO FUNDIDO MALEAVEL PARA HIDROMETRO ROSCA BSP COD. 377, DE DIAMETRO INTERIOR DE 150MM, DE DIAMETRO NOMINAL DE 5,9 POLEGADAS, PARA UNIAO POR PARAFUSAMENTO DE TUBOS DE FERRO FUNDIDO.</v>
          </cell>
        </row>
        <row r="2463">
          <cell r="B2463">
            <v>5210101340</v>
          </cell>
          <cell r="D2463">
            <v>40290978</v>
          </cell>
          <cell r="E2463">
            <v>90289090</v>
          </cell>
          <cell r="F2463" t="str">
            <v>Need to update benefit</v>
          </cell>
          <cell r="H2463" t="str">
            <v>TAMPA DO FLIP, PARTE PARA USO EM HIDROMETROS (CONTADORES DE LIQUIDOS) DN150.</v>
          </cell>
        </row>
        <row r="2464">
          <cell r="B2464">
            <v>3142700100</v>
          </cell>
          <cell r="D2464">
            <v>20552406</v>
          </cell>
          <cell r="E2464">
            <v>73181600</v>
          </cell>
          <cell r="F2464">
            <v>73181600</v>
          </cell>
          <cell r="G2464">
            <v>73181600</v>
          </cell>
          <cell r="H2464" t="str">
            <v>PORCA, ROSCADA, DE MATERIA PRIMA BASE DE ACO INOX, DE PROCESSO DE FABRICACAO SEM TRATAMENTO E DE ACABAMENTO SUPERFICIAL SEM TRATAMENTO.</v>
          </cell>
        </row>
        <row r="2465">
          <cell r="B2465">
            <v>4032000520</v>
          </cell>
          <cell r="D2465">
            <v>10410808</v>
          </cell>
          <cell r="E2465">
            <v>85444900</v>
          </cell>
          <cell r="F2465">
            <v>85444900</v>
          </cell>
          <cell r="H2465" t="str">
            <v>CABO CONDUTOR ELeTRICO, ISOLADO PARA USO ELeTRICO, PARA APLICAcAO EM TENSAO APROXIMADA DE 24V, DE 5 NuCLEOS COM BLINDAGEM DE SEcAO 0,3m2 PARA HIDRoMETROS INDUSTRIAIS.</v>
          </cell>
        </row>
        <row r="2466">
          <cell r="B2466">
            <v>4040200860</v>
          </cell>
          <cell r="D2466">
            <v>10410809</v>
          </cell>
          <cell r="E2466">
            <v>85444900</v>
          </cell>
          <cell r="F2466">
            <v>85444900</v>
          </cell>
          <cell r="H2466" t="str">
            <v>CABO CONDUTOR ELETRICO, ISOLADO PARA USO ELETRICO, PARA APLICACAO EM TENSAO APROXIMADA DE 24V, DE 2 NUCLEOS DE SECAO 0,25m2 REFORCADO COM DE FIO DE COBRE PARA HIDROMETROS (CONTADORES DE LIQUIDOS) INDUSTRIAIS.</v>
          </cell>
        </row>
        <row r="2467">
          <cell r="B2467">
            <v>4040201200</v>
          </cell>
          <cell r="D2467">
            <v>20401201</v>
          </cell>
          <cell r="E2467">
            <v>39173290</v>
          </cell>
          <cell r="F2467" t="str">
            <v>Need to update benefit</v>
          </cell>
          <cell r="H2467" t="str">
            <v>TUBO TERMO RETRaTIL, FLEXÍVEL, DE MATERIAL PLaSTICO DE Poliolefina reticulada, CAPAZ DE SUPORTAR PRESSAO DE APROXIMADA DE 11  MPA</v>
          </cell>
        </row>
        <row r="2468">
          <cell r="B2468">
            <v>4040200800</v>
          </cell>
          <cell r="D2468">
            <v>20691353</v>
          </cell>
          <cell r="E2468">
            <v>85369010</v>
          </cell>
          <cell r="F2468" t="str">
            <v>Need to update benefit</v>
          </cell>
          <cell r="H2468" t="str">
            <v>CONECTOR DE CRIMPAGEM DE CABOS PLANOS constituídos por condutores paralelos isolados individualmente, PARA CONEXAO DE CIRCUITOS ELeTRICOS, PARA APLICAcAO EM TENSAO APROXIMADA DE 12V A 24V</v>
          </cell>
        </row>
        <row r="2469">
          <cell r="B2469">
            <v>5210101360</v>
          </cell>
          <cell r="D2469">
            <v>40242354</v>
          </cell>
          <cell r="E2469">
            <v>73071990</v>
          </cell>
          <cell r="F2469" t="str">
            <v>Need to update benefit</v>
          </cell>
          <cell r="G2469">
            <v>73071990</v>
          </cell>
          <cell r="H2469" t="str">
            <v>TUBETE DE FERRO FUNDIDO MALEAVEL PARA HIDROMETROS (CONTADORES DE LIQUIDOS) ROSCA BSP COD. 377, DE DIAMETRO INTERIOR DE 50MM, DE DIAMETRO NOMINAL DE 1,97 POLEGADAS, PARA UNIAO POR PARAFUSAMENTO DE TUBOS DE FERRO FUNDIDO.</v>
          </cell>
        </row>
        <row r="2470">
          <cell r="B2470">
            <v>5210101380</v>
          </cell>
          <cell r="D2470">
            <v>20547009</v>
          </cell>
          <cell r="E2470">
            <v>73071990</v>
          </cell>
          <cell r="F2470" t="str">
            <v>Need to update benefit</v>
          </cell>
          <cell r="H2470" t="str">
            <v>Tubete de ferro fundido maleavel para hidrometro rosca BSP cod. 377, DE DIAMETRO INTERIOR DE 80mm, DE DIAMETRO NOMINAL DE 3,15 POLEGADAS, PARA UNIAO POR PARAFUSAMENTO DE TUBOS DE FERRO FUNDIDO.</v>
          </cell>
        </row>
        <row r="2471">
          <cell r="B2471">
            <v>5210101400</v>
          </cell>
          <cell r="D2471">
            <v>20547010</v>
          </cell>
          <cell r="E2471">
            <v>73071990</v>
          </cell>
          <cell r="F2471" t="str">
            <v>Need to update benefit</v>
          </cell>
          <cell r="H2471" t="str">
            <v>Tubete de ferro fundido maleavel para hidrometro rosca BSP cod. 377, DE DIAMETRO INTERIOR DE 100mm, DE DIAMETRO NOMINAL DE 3,94 POLEGADAS, PARA UNIAO POR PARAFUSAMENTO DE TUBOS DE FERRO FUNDIDO.</v>
          </cell>
        </row>
        <row r="2472">
          <cell r="B2472">
            <v>5210101410</v>
          </cell>
          <cell r="D2472">
            <v>20547011</v>
          </cell>
          <cell r="E2472">
            <v>73071990</v>
          </cell>
          <cell r="F2472" t="str">
            <v>Need to update benefit</v>
          </cell>
          <cell r="H2472" t="str">
            <v>Tubete de ferro fundido maleavel para hidrometro rosca BSP cod. 377, DE DIAMETRO INTERIOR DE 150mm, DE DIAMETRO NOMINAL DE 5,9 POLEGADAS, PARA UNIAO POR PARAFUSAMENTO DE TUBOS DE FERRO FUNDIDO.</v>
          </cell>
        </row>
        <row r="2473">
          <cell r="B2473">
            <v>5010101430</v>
          </cell>
          <cell r="D2473">
            <v>20547012</v>
          </cell>
          <cell r="E2473">
            <v>73071990</v>
          </cell>
          <cell r="F2473" t="str">
            <v>Need to update benefit</v>
          </cell>
          <cell r="H2473" t="str">
            <v>Tubete de ferro fundido maleavel para hidrometro rosca BSP cod. 377, DE DIAMETRO INTERIOR DE 200mm, DE DIAMETRO NOMINAL DE 7,88 POLEGADAS, PARA UNIAO POR PARAFUSAMENTO DE TUBOS DE FERRO FUNDIDO.</v>
          </cell>
        </row>
        <row r="2474">
          <cell r="B2474">
            <v>5210101350</v>
          </cell>
          <cell r="D2474">
            <v>20547013</v>
          </cell>
          <cell r="E2474">
            <v>73071990</v>
          </cell>
          <cell r="F2474" t="str">
            <v>Need to update benefit</v>
          </cell>
          <cell r="H2474" t="str">
            <v>Tubete de ferro fundido maleavel para hidrometro rosca BSP cod. 377, DE DIAMETRO INTERIOR DE 50mm, DE DIAMETRO NOMINAL DE 1,97 POLEGADAS, PARA UNIAO POR PARAFUSAMENTO DE TUBOS DE FERRO FUNDIDO.</v>
          </cell>
        </row>
        <row r="2475">
          <cell r="B2475">
            <v>5210101370</v>
          </cell>
          <cell r="D2475">
            <v>20547014</v>
          </cell>
          <cell r="E2475">
            <v>73071990</v>
          </cell>
          <cell r="F2475" t="str">
            <v>Need to update benefit</v>
          </cell>
          <cell r="H2475" t="str">
            <v>Tubete de ferro fundido maleavel para hidrometro rosca BSP cod. 377, DE DIAMETRO INTERIOR DE 80mm, DE DIAMETRO NOMINAL DE 3,15 POLEGADAS, PARA UNIAO POR PARAFUSAMENTO DE TUBOS DE FERRO FUNDIDO.</v>
          </cell>
        </row>
        <row r="2476">
          <cell r="B2476">
            <v>5210101390</v>
          </cell>
          <cell r="D2476">
            <v>20547015</v>
          </cell>
          <cell r="E2476">
            <v>73071990</v>
          </cell>
          <cell r="F2476" t="str">
            <v>Need to update benefit</v>
          </cell>
          <cell r="H2476" t="str">
            <v>Tubete de ferro fundido maleavel para hidrometro rosca BSP cod. 377, DE DIAMETRO INTERIOR DE 100mm, DE DIAMETRO NOMINAL DE 3,94 POLEGADAS, PARA UNIAO POR PARAFUSAMENTO DE TUBOS DE FERRO FUNDIDO.</v>
          </cell>
        </row>
        <row r="2477">
          <cell r="B2477">
            <v>5210101440</v>
          </cell>
          <cell r="D2477">
            <v>20547016</v>
          </cell>
          <cell r="E2477">
            <v>73071990</v>
          </cell>
          <cell r="F2477" t="str">
            <v>Need to update benefit</v>
          </cell>
          <cell r="H2477" t="str">
            <v>Tubete de ferro fundido maleavel para hidrometro rosca BSP cod. 377, DE DIAMETRO INTERIOR DE 250mm, DE DIAMETRO NOMINAL DE 9,84 POLEGADAS, PARA UNIAO POR PARAFUSAMENTO DE TUBOS DE FERRO FUNDIDO.</v>
          </cell>
        </row>
        <row r="2478">
          <cell r="B2478">
            <v>5210101450</v>
          </cell>
          <cell r="D2478">
            <v>20547017</v>
          </cell>
          <cell r="E2478">
            <v>73071990</v>
          </cell>
          <cell r="F2478" t="str">
            <v>Need to update benefit</v>
          </cell>
          <cell r="H2478" t="str">
            <v>Tubete de ferro fundido maleavel para hidrometro rosca BSP cod. 377, DE DIAMETRO INTERIOR DE 300mm, DE DIAMETRO NOMINAL DE 11,8 POLEGADAS, PARA UNIAO POR PARAFUSAMENTO DE TUBOS DE FERRO FUNDIDO.</v>
          </cell>
        </row>
        <row r="2479">
          <cell r="B2479" t="str">
            <v>GT3-12KD1</v>
          </cell>
          <cell r="D2479">
            <v>98045</v>
          </cell>
          <cell r="E2479">
            <v>85044090</v>
          </cell>
          <cell r="F2479" t="str">
            <v>Not applicable</v>
          </cell>
          <cell r="G2479">
            <v>85044090</v>
          </cell>
          <cell r="H2479" t="str">
            <v>Inversores para sistemas fotovoltaicos "on grid", tipo "string", para rede trifasica, com potencia nominal de saída de 12.000W a 40 graus Celsius, com potencia maxima de saída de 12.000W a 40 graus Celsius, e tensAo nominal de saída de 220/380V e/ou 230/400V e/ou 240/415V, de marca XXXX, modelo YYYY, ano de fabricacAo ZZZZ e numeros de serie de AAAA a BBBB - para conversAo de energia corrente contínua em energia corrente alternada, de tecnologia de controle microprocessado, corrente nominal de saída de 17.3A, faixa de frequencia 50/60 Hz, eficiencia maxima de 98,6por cento, gabinetes com grau de protecAo IP65, projetados para suportar operacAo em temperaturas na faixa de -30 a 60 graus Celsius, duas MPPTs</v>
          </cell>
        </row>
        <row r="2480">
          <cell r="B2480" t="str">
            <v>GT3-15KD1R11001</v>
          </cell>
          <cell r="D2480">
            <v>98046</v>
          </cell>
          <cell r="E2480">
            <v>85044090</v>
          </cell>
          <cell r="F2480" t="str">
            <v>Not applicable</v>
          </cell>
          <cell r="G2480">
            <v>85044090</v>
          </cell>
          <cell r="H2480" t="str">
            <v>Inversores para sistemas fotovoltaicos "on grid", tipo "string", para rede trifasica, com potencia nominal de saída de 12.000W a 40 graus Celsius, com potencia maxima de saída de 12.000W a 40 graus Celsius, e tensAo nominal de saída de 220/380V e/ou 230/400V e/ou 240/415V, de marca XXXX, modelo YYYY, ano de fabricacAo ZZZZ e numeros de serie de AAAA a BBBB - para conversAo de energia corrente contínua em energia corrente alternada, de tecnologia de controle microprocessado, corrente nominal de saída de 21.7A, faixa de frequencia 50/60 Hz, eficiencia maxima de 98,5por cento, gabinetes com grau de protecAo IP65, projetados para suportar operacAo em temperaturas na faixa de -30 a 60 graus Celsius, duas MPPTs</v>
          </cell>
        </row>
        <row r="2481">
          <cell r="B2481">
            <v>7020703700</v>
          </cell>
          <cell r="D2481" t="str">
            <v>98067 </v>
          </cell>
          <cell r="E2481">
            <v>84283990</v>
          </cell>
          <cell r="F2481" t="str">
            <v>Not applicable</v>
          </cell>
          <cell r="H2481" t="str">
            <v>Esteira de transporte de componentes eletronicos, de acAo contínua, de duas camadas, bilateral, equipada com cinta de PVC, de secAo frontal de 10 metros (sendo 4 metros de dupla camada bilateral e 6 metros de camada unica sem bordas); e secAo traseira de 21 metros (sendo 14 metros de dupla camada bilatera e 7 metros de camada unica sem bordas)</v>
          </cell>
        </row>
        <row r="2482">
          <cell r="B2482">
            <v>7020601640</v>
          </cell>
          <cell r="D2482" t="str">
            <v>98068 </v>
          </cell>
          <cell r="E2482">
            <v>90312090</v>
          </cell>
          <cell r="F2482" t="str">
            <v>Not applicable</v>
          </cell>
          <cell r="H2482" t="str">
            <v>Bancada de ensaio para calibracAo de parAmetros de medidores de energia polifasicos, com 16 posicoes</v>
          </cell>
        </row>
        <row r="2483">
          <cell r="B2483">
            <v>7020602380</v>
          </cell>
          <cell r="D2483" t="str">
            <v>98069 </v>
          </cell>
          <cell r="E2483">
            <v>90312090</v>
          </cell>
          <cell r="F2483" t="str">
            <v>Not applicable</v>
          </cell>
          <cell r="G2483">
            <v>90312090</v>
          </cell>
          <cell r="H2483" t="str">
            <v>Bancada de ensaio para verificacAo de parAmetros de medidores de energia monofasicos, com 48 posicoes</v>
          </cell>
        </row>
        <row r="2484">
          <cell r="B2484">
            <v>7020602390</v>
          </cell>
          <cell r="D2484" t="str">
            <v>98070 </v>
          </cell>
          <cell r="E2484">
            <v>90312090</v>
          </cell>
          <cell r="F2484" t="str">
            <v>Not applicable</v>
          </cell>
          <cell r="G2484">
            <v>90312090</v>
          </cell>
          <cell r="H2484" t="str">
            <v>Bancada de ensaio para verificacAo de parAmetros de medidores de energia polfasicos, com 24 posicoes</v>
          </cell>
        </row>
        <row r="2485">
          <cell r="B2485">
            <v>7020400240</v>
          </cell>
          <cell r="D2485">
            <v>89755</v>
          </cell>
          <cell r="E2485">
            <v>85158090</v>
          </cell>
          <cell r="F2485" t="str">
            <v>Not applicable</v>
          </cell>
          <cell r="H2485" t="str">
            <v>Maquina de solda por ultrassom, frequencia de 15Hz</v>
          </cell>
        </row>
        <row r="2486">
          <cell r="B2486">
            <v>4030603190</v>
          </cell>
          <cell r="D2486" t="str">
            <v>98071 </v>
          </cell>
          <cell r="E2486">
            <v>85158090</v>
          </cell>
          <cell r="F2486" t="str">
            <v>Not applicable</v>
          </cell>
          <cell r="G2486">
            <v>85158090</v>
          </cell>
          <cell r="H2486" t="str">
            <v>Maquina de solda por termofusAo, com eixo duplo e acionamento pneumatico</v>
          </cell>
        </row>
        <row r="2487">
          <cell r="B2487">
            <v>7030102750</v>
          </cell>
          <cell r="D2487" t="str">
            <v>98072 </v>
          </cell>
          <cell r="E2487">
            <v>90319010</v>
          </cell>
          <cell r="F2487" t="str">
            <v>Not applicable</v>
          </cell>
          <cell r="G2487">
            <v>90319010</v>
          </cell>
          <cell r="H2487" t="str">
            <v>Dispositivo para teste funcional (FCT) de placas eletronicas, parte para uso em bancada de ensaio de testes de medidores de energia</v>
          </cell>
        </row>
        <row r="2488">
          <cell r="B2488">
            <v>5130006750</v>
          </cell>
          <cell r="D2488">
            <v>20694082</v>
          </cell>
          <cell r="E2488">
            <v>85065010</v>
          </cell>
          <cell r="F2488" t="str">
            <v>VER</v>
          </cell>
          <cell r="G2488">
            <v>85065010</v>
          </cell>
          <cell r="H2488" t="str">
            <v>KIT DE BATERIAS ELETRICAS DE LÍTIO, DE VOLUME EXTERIOR DE 243CM3, COM CAPACIDADE DE 5600mAH,  NAO RECARREGAVEL.</v>
          </cell>
        </row>
        <row r="2489">
          <cell r="B2489">
            <v>61617</v>
          </cell>
          <cell r="D2489">
            <v>20694086</v>
          </cell>
          <cell r="E2489">
            <v>85176294</v>
          </cell>
          <cell r="F2489">
            <v>85176294</v>
          </cell>
          <cell r="G2489">
            <v>85176294</v>
          </cell>
          <cell r="H2489" t="str">
            <v>GATEWAY (CONVERSOR) DE PROTOCOLOS PARA INTERCONEXAO DE REDES DE COMUNICACAO ALIMENTADO POR TRANSFORMADOR DE POTENCIAL COM TENSAO ALIMENTACAO DE 220V AC E FREQUENCIA REDE ELETRICA DE 50/60Hz. TEMPERATURA OPERACAO VAI DE -40°C A 55°C E APLICACAO PARA RELIGADOR MONOFASICO. DIMENSOES DO EQUIPAMENTO DE 631.5x390x245mm, , MARCA xxx MODELO xxx ANO DE FABRICACAO XXXX, NUMERO DE SERIE YYYY a ZZZZ.</v>
          </cell>
        </row>
        <row r="2490">
          <cell r="B2490" t="str">
            <v>61617B</v>
          </cell>
          <cell r="D2490">
            <v>20694089</v>
          </cell>
          <cell r="E2490">
            <v>85176294</v>
          </cell>
          <cell r="F2490">
            <v>85176294</v>
          </cell>
          <cell r="G2490">
            <v>85176294</v>
          </cell>
          <cell r="H2490" t="str">
            <v>GATEWAY (CONVERSOR) DE PROTOCOLOS PARA INTERCONEXAO DE REDES DE COMUNICACAO DE COMUNICACAO ALIMENTADO POR PAINEL SOLAR COM TENSAO ALIMENTACAO DE 12-18V DC E FREQUENCIA REDE ELETRICA DE 50/60Hz. TEMPERATURA OPERACAO VAI DE -40C A 55C E APLICACAO PARA RELIGADOR MONOFASICO. DIMENSOES DO EQUIPAMENTO DE 631.5x390x245mm, MARCA xxx MODELO xxx ANO DE FABRICACAO XXXX, NUMERO DE SERIE YYYY a ZZZZ.</v>
          </cell>
        </row>
        <row r="2491">
          <cell r="B2491">
            <v>2010107230</v>
          </cell>
          <cell r="D2491">
            <v>20660929</v>
          </cell>
          <cell r="E2491">
            <v>85332120</v>
          </cell>
          <cell r="F2491">
            <v>85332120</v>
          </cell>
          <cell r="G2491">
            <v>85332120</v>
          </cell>
          <cell r="H2491" t="str">
            <v>RESISTOR PROPRIO PARA MONTAGEM EM SUPERFICIE (SMD) ENCAPSULAMENTO 0402, RESISTENCIA DE 4.7k OHMS, TOLERANCIA 1POR CENTO, POTENCIA DE 1/16W</v>
          </cell>
        </row>
        <row r="2492">
          <cell r="B2492">
            <v>40274325</v>
          </cell>
          <cell r="D2492">
            <v>40274325</v>
          </cell>
          <cell r="E2492">
            <v>90319010</v>
          </cell>
          <cell r="F2492" t="str">
            <v>Not applicable</v>
          </cell>
          <cell r="G2492">
            <v>90319010</v>
          </cell>
          <cell r="H2492" t="str">
            <v>Perturbador de fluxo de perfil de velocidade DN15 tipo 3, parte para uso em bancada de ensaios de contadores de líquidos; Aco Inoxidavel 304</v>
          </cell>
        </row>
        <row r="2493">
          <cell r="B2493">
            <v>40274326</v>
          </cell>
          <cell r="D2493">
            <v>40274326</v>
          </cell>
          <cell r="E2493">
            <v>90319010</v>
          </cell>
          <cell r="F2493" t="str">
            <v>Not applicable</v>
          </cell>
          <cell r="G2493">
            <v>90319010</v>
          </cell>
          <cell r="H2493" t="str">
            <v>Gerador de redemoinho dextrorsal DN15 tipo 2, parte para uso em bancada de ensaios de contadores de líquidos; Aco Inoxidavel 304</v>
          </cell>
        </row>
        <row r="2494">
          <cell r="B2494">
            <v>40274327</v>
          </cell>
          <cell r="D2494">
            <v>40274327</v>
          </cell>
          <cell r="E2494">
            <v>90319010</v>
          </cell>
          <cell r="F2494" t="str">
            <v>Not applicable</v>
          </cell>
          <cell r="G2494">
            <v>90319010</v>
          </cell>
          <cell r="H2494" t="str">
            <v xml:space="preserve">Gerador de redemoinho sinistrorsal DN15 tipo 1, parte para uso em bancada de ensaios de contadores de líquidos; Aco Inoxidavel 304 </v>
          </cell>
        </row>
        <row r="2495">
          <cell r="B2495">
            <v>40274328</v>
          </cell>
          <cell r="D2495">
            <v>40274328</v>
          </cell>
          <cell r="E2495">
            <v>90319010</v>
          </cell>
          <cell r="F2495" t="str">
            <v>Not applicable</v>
          </cell>
          <cell r="G2495">
            <v>90319010</v>
          </cell>
          <cell r="H2495" t="str">
            <v>Perturbador de fluxo de perfil de velocidade DN20 tipo 3, parte para uso em bancada de ensaios de contadores de líquidos; Aco Inoxidavel 304</v>
          </cell>
        </row>
        <row r="2496">
          <cell r="B2496">
            <v>40274329</v>
          </cell>
          <cell r="D2496">
            <v>40274329</v>
          </cell>
          <cell r="E2496">
            <v>90319010</v>
          </cell>
          <cell r="F2496" t="str">
            <v>Not applicable</v>
          </cell>
          <cell r="G2496">
            <v>90319010</v>
          </cell>
          <cell r="H2496" t="str">
            <v>Gerador de redemoinho dextrorsal DN20 tipo 2, parte para uso em bancada de ensaios de contadores de líquidos; Aco Inoxidavel 304</v>
          </cell>
        </row>
        <row r="2497">
          <cell r="B2497">
            <v>40274330</v>
          </cell>
          <cell r="D2497">
            <v>40274330</v>
          </cell>
          <cell r="E2497">
            <v>90319010</v>
          </cell>
          <cell r="F2497" t="str">
            <v>Not applicable</v>
          </cell>
          <cell r="G2497">
            <v>90319010</v>
          </cell>
          <cell r="H2497" t="str">
            <v>Gerador de redemoinho sinistrorsal DN20 tipo 1, parte para uso em bancada de ensaios de contadores de líquidos; Aco Inoxidavel 304</v>
          </cell>
        </row>
        <row r="2498">
          <cell r="B2498">
            <v>40274331</v>
          </cell>
          <cell r="D2498">
            <v>40274331</v>
          </cell>
          <cell r="E2498">
            <v>90319010</v>
          </cell>
          <cell r="F2498" t="str">
            <v>Not applicable</v>
          </cell>
          <cell r="G2498">
            <v>90319010</v>
          </cell>
          <cell r="H2498" t="str">
            <v xml:space="preserve">Perturbador de fluxo de perfil de velocidade DN25 tipo 3, parte para uso em bancada de ensaios de contadores de líquidos; Aco Inoxidavel 304 </v>
          </cell>
        </row>
        <row r="2499">
          <cell r="B2499">
            <v>40274332</v>
          </cell>
          <cell r="D2499">
            <v>40274332</v>
          </cell>
          <cell r="E2499">
            <v>90319010</v>
          </cell>
          <cell r="F2499" t="str">
            <v>Not applicable</v>
          </cell>
          <cell r="G2499">
            <v>90319010</v>
          </cell>
          <cell r="H2499" t="str">
            <v xml:space="preserve">Perturbador de fluxo de perfil de velocidade DN25 tipo 3, parte para uso em bancada de ensaios de contadores de líquidos; Aco Inoxidavel 304 </v>
          </cell>
        </row>
        <row r="2500">
          <cell r="B2500">
            <v>40274333</v>
          </cell>
          <cell r="D2500">
            <v>40274333</v>
          </cell>
          <cell r="E2500">
            <v>90319010</v>
          </cell>
          <cell r="F2500" t="str">
            <v>Not applicable</v>
          </cell>
          <cell r="G2500">
            <v>90319010</v>
          </cell>
          <cell r="H2500" t="str">
            <v>Gerador de redemoinho sinistrorsal DN25 tipo 1, parte para uso em bancada de ensaios de contadores de líquidos; Aco Inoxidavel 304</v>
          </cell>
        </row>
        <row r="2501">
          <cell r="B2501">
            <v>5634930300</v>
          </cell>
          <cell r="D2501">
            <v>5634930300</v>
          </cell>
          <cell r="E2501">
            <v>90282010</v>
          </cell>
          <cell r="F2501" t="str">
            <v>Not applicable</v>
          </cell>
          <cell r="G2501">
            <v>90282010</v>
          </cell>
          <cell r="H2501" t="str">
            <v>Hidrometro Ultrassonico (contador de líquidos) Res.; LatAo; DN20-190 mm; Q3=4 m³/h; R250; NB-IoT (ZLW-DN20), com peso líquido unitario aproximado entre 1 e 3 kgs.</v>
          </cell>
        </row>
        <row r="2502">
          <cell r="B2502" t="str">
            <v>ECRU91NW53NS1S1BRUNNN</v>
          </cell>
          <cell r="D2502">
            <v>20694450</v>
          </cell>
          <cell r="E2502">
            <v>85176277</v>
          </cell>
          <cell r="F2502">
            <v>85176277</v>
          </cell>
          <cell r="G2502">
            <v>85176277</v>
          </cell>
          <cell r="H2502" t="str">
            <v>Radio de frequencia 900MHz (0,9GHz), com interface Wi-Fi protocolo IEE 802.11 de frequencia de ate 2500MHz (2,5GHz), para comunicacAo (recepcAo, conversAo e transmissAo) de dados por rede sem fio (WLAN), emissor, com receptor incorporado, digital, de taxa de transmissAo de ate 100Mbit/s - marca GE, modelo ECR (ECRU91NW53NS1S1BRUNNN)</v>
          </cell>
        </row>
        <row r="2503">
          <cell r="B2503" t="str">
            <v>MXNTU91NW53NNS3BESUNN</v>
          </cell>
          <cell r="D2503">
            <v>20694451</v>
          </cell>
          <cell r="E2503">
            <v>85176277</v>
          </cell>
          <cell r="F2503" t="str">
            <v>Not applicable</v>
          </cell>
          <cell r="G2503">
            <v>85176277</v>
          </cell>
          <cell r="H2503" t="str">
            <v>RADIO DE FREQUENCIA 900MHZ (0,9GHZ), COM INTERFACE WI-FI PROTOCOLO IEE 802.11 DE FREQUENCIA DE ATE 2500MHZ (2,5GHZ), PARA COMUNICACAO (RECEPCAO, CONVERSAO E TRANSMISSAO) DE DADOS POR REDE SEM FIO (WLAN), EMISSOR, COM RECEPTOR INCORPORADO, DIGITAL, DE TAXA DE TRANSMISSAO DE ATE 100 MBIT/S - MARCA GE, MODELO MCR (MXNTU91NW53NNS3BESUNN)</v>
          </cell>
        </row>
        <row r="2504">
          <cell r="B2504" t="str">
            <v>525030042001</v>
          </cell>
          <cell r="D2504">
            <v>40294900</v>
          </cell>
          <cell r="E2504">
            <v>76169900</v>
          </cell>
          <cell r="F2504" t="str">
            <v>Not applicable</v>
          </cell>
          <cell r="G2504">
            <v>76169900</v>
          </cell>
          <cell r="H2504" t="str">
            <v>Gabinete de alumínio, obtido por processos de forja e estampagem, sem componentes eletronicos, para montagem de carregador de veículos eletricos  (EV charger)</v>
          </cell>
        </row>
        <row r="2505">
          <cell r="B2505" t="str">
            <v>3990016000</v>
          </cell>
          <cell r="D2505">
            <v>40294910</v>
          </cell>
          <cell r="E2505">
            <v>76169900</v>
          </cell>
          <cell r="F2505" t="str">
            <v>Not applicable</v>
          </cell>
          <cell r="G2505">
            <v>76169900</v>
          </cell>
          <cell r="H2505" t="str">
            <v>Gabinete de alumínio, obtido por processos de forja e estampagem, sem componentes eletronicos, para montagem de inversor fotovoltaico 30Kw</v>
          </cell>
        </row>
        <row r="2506">
          <cell r="B2506" t="str">
            <v>523000372001</v>
          </cell>
          <cell r="D2506">
            <v>40294920</v>
          </cell>
          <cell r="E2506">
            <v>76169900</v>
          </cell>
          <cell r="F2506" t="str">
            <v>Not applicable</v>
          </cell>
          <cell r="G2506">
            <v>76169900</v>
          </cell>
          <cell r="H2506" t="str">
            <v>Gabinete de alumínio, obtido por processos de forja e estampagem, sem componentes eletronicos, para montagem de inversor fotovoltaico 50Kw</v>
          </cell>
        </row>
        <row r="2507">
          <cell r="B2507">
            <v>3080702330</v>
          </cell>
          <cell r="D2507">
            <v>11220610</v>
          </cell>
          <cell r="E2507">
            <v>40169990</v>
          </cell>
          <cell r="F2507">
            <v>40169990</v>
          </cell>
          <cell r="G2507">
            <v>40169990</v>
          </cell>
          <cell r="H2507" t="str">
            <v>Anel de vedacAo de borracha vulcanizada nAo endurecida</v>
          </cell>
        </row>
        <row r="2508">
          <cell r="B2508">
            <v>2140500050</v>
          </cell>
          <cell r="D2508">
            <v>20601103</v>
          </cell>
          <cell r="E2508">
            <v>85442000</v>
          </cell>
          <cell r="F2508">
            <v>85442000</v>
          </cell>
          <cell r="G2508">
            <v>85442000</v>
          </cell>
          <cell r="H2508" t="str">
            <v>Cabos coaxiais de RF, condutor eletrico para tensAo de ate 320V, isolado para uso eletrico, com conectorizacAo SMB femea - N macho</v>
          </cell>
        </row>
        <row r="2509">
          <cell r="B2509">
            <v>3080901860</v>
          </cell>
          <cell r="D2509">
            <v>11220608</v>
          </cell>
          <cell r="E2509">
            <v>40169300</v>
          </cell>
          <cell r="F2509" t="str">
            <v>Need to update benefit</v>
          </cell>
          <cell r="G2509">
            <v>40169300</v>
          </cell>
          <cell r="H2509" t="str">
            <v>GAXETA DE VEDACAO, DE MATERIAL DE BORRACHA VULCANIZADA NAO ENDURECIDA, PARA HIDROMETROS (CONTADORES DE LIQUIDOS) INDUSTRIAIS.</v>
          </cell>
        </row>
        <row r="2510">
          <cell r="B2510">
            <v>3080702040</v>
          </cell>
          <cell r="D2510">
            <v>11220609</v>
          </cell>
          <cell r="E2510">
            <v>40169300</v>
          </cell>
          <cell r="F2510" t="str">
            <v>Need to update benefit</v>
          </cell>
          <cell r="G2510">
            <v>40169300</v>
          </cell>
          <cell r="H2510" t="str">
            <v>GAXETA DE VEDACAO DE MATERIAL DE BORRACHA VULCANIZADA NAO ENDURECIDA, PARA HIDROMETROS INSDUSTRIAIS (CONTADORES DE LIQUIDOS).</v>
          </cell>
        </row>
        <row r="2511">
          <cell r="B2511">
            <v>3027600039</v>
          </cell>
          <cell r="D2511">
            <v>20691332</v>
          </cell>
          <cell r="E2511">
            <v>39269090</v>
          </cell>
          <cell r="F2511">
            <v>39269090</v>
          </cell>
          <cell r="G2511">
            <v>39269090</v>
          </cell>
          <cell r="H2511" t="str">
            <v>SUPORTE PARA PLACA DE CIRCUITO IMPRESSO DE HIDROMETROS (CONTADORES DE LIQUIDOS), DE MATERIAL PLASTICO DE POLICARBONATO.</v>
          </cell>
        </row>
        <row r="2512">
          <cell r="B2512">
            <v>3090112310</v>
          </cell>
          <cell r="D2512">
            <v>10410815</v>
          </cell>
          <cell r="E2512">
            <v>85444900</v>
          </cell>
          <cell r="F2512">
            <v>85444900</v>
          </cell>
          <cell r="G2512">
            <v>85444900</v>
          </cell>
          <cell r="H2512" t="str">
            <v>CABO CONDUTOR ELETRICO, ISOLADO PARA USO ELETRICO, PARA APLICACAO EM TENSAO APROXIMADA DE 24V, DE 8 NUCLEOS COM BLINDAGEM DE SECAO 0,3m2 PARA HIDROMETROS (CONTADORES DE LIQUIDOS) INDUSTRIAIS.</v>
          </cell>
        </row>
        <row r="2513">
          <cell r="B2513">
            <v>3090112300</v>
          </cell>
          <cell r="D2513">
            <v>10410814</v>
          </cell>
          <cell r="E2513">
            <v>85444900</v>
          </cell>
          <cell r="F2513">
            <v>85444900</v>
          </cell>
          <cell r="G2513">
            <v>85444900</v>
          </cell>
          <cell r="H2513" t="str">
            <v>CABO CONDUTOR ELeTRICO, ISOLADO PARA USO ELeTRICO, PARA APLICAcAO EM TENSAO APROXIMADA DE 24V, DE 6 NuCLEOS COM BLINDAGEM DE SEcAO 0,3m2 PARA HIDRoMETROS INDUSTRIAIS.</v>
          </cell>
        </row>
        <row r="2514">
          <cell r="B2514">
            <v>3061300130</v>
          </cell>
          <cell r="D2514">
            <v>20910603</v>
          </cell>
          <cell r="E2514">
            <v>70071900</v>
          </cell>
          <cell r="F2514" t="str">
            <v>Need to update benefit</v>
          </cell>
          <cell r="G2514">
            <v>70071900</v>
          </cell>
          <cell r="H2514" t="str">
            <v>VIDRO TEMPERADO, DE ESPESSURA DE 3MM, PARA APLICACAO EM HIDROMETROS INDUSTRIAIS (CONTADORES DE LIQUIDOS).</v>
          </cell>
        </row>
        <row r="2515">
          <cell r="B2515">
            <v>3030101750</v>
          </cell>
          <cell r="D2515">
            <v>21160111</v>
          </cell>
          <cell r="E2515">
            <v>73181500</v>
          </cell>
          <cell r="F2515">
            <v>73181500</v>
          </cell>
          <cell r="G2515">
            <v>73181500</v>
          </cell>
          <cell r="H2515" t="str">
            <v>PARAFUSO SEXTAVADO M5X10, ARTIGO ROSCADO, DE MATeRIA-PRIMA BASE DE AcO INOX, DE PROCESSO DE FABRICAcAO SEM TRATAMENTO E ACABAMENTO SUPERFICIAL SEM TRATAMENTO (3030101750)</v>
          </cell>
        </row>
        <row r="2516">
          <cell r="B2516">
            <v>5210101220</v>
          </cell>
          <cell r="D2516">
            <v>20610702</v>
          </cell>
          <cell r="E2516">
            <v>90289090</v>
          </cell>
          <cell r="F2516" t="str">
            <v>Not applicable</v>
          </cell>
          <cell r="G2516">
            <v>90289090</v>
          </cell>
          <cell r="H2516" t="str">
            <v>PLACA DE CIRCUITO IMPRESSO MONTADA COM COMPONENTES ELETRoNICOS, ADAPTADORA PARA COMUNICAcAO RS485 + PULSO, PARTE PARA USO EM HIDRoMETROS (CONTADORES DE LÍQUIDOS) INDUSTRIAIS.</v>
          </cell>
        </row>
        <row r="2517">
          <cell r="B2517">
            <v>5210101170</v>
          </cell>
          <cell r="D2517">
            <v>20610703</v>
          </cell>
          <cell r="E2517">
            <v>90289090</v>
          </cell>
          <cell r="F2517" t="str">
            <v>Not applicable</v>
          </cell>
          <cell r="G2517">
            <v>90289090</v>
          </cell>
          <cell r="H2517" t="str">
            <v>PLACA DE CIRCUITO IMPRESSO MONTADA COM COMPONENTES ELETRONICOS, ADAPTADORA PARA COMUNICACAO RS485 + PULSO + 4-20mA, PARTE PARA USO EM HIDROMETROS (CONTADORES DE LÍQUIDOS) INDUSTRIAIS.</v>
          </cell>
        </row>
        <row r="2518">
          <cell r="B2518">
            <v>4010301620</v>
          </cell>
          <cell r="D2518" t="str">
            <v>PENDING</v>
          </cell>
          <cell r="E2518">
            <v>90303200</v>
          </cell>
          <cell r="F2518" t="str">
            <v>Not applicable</v>
          </cell>
          <cell r="G2518">
            <v>90303200</v>
          </cell>
          <cell r="H2518" t="str">
            <v>Multímetro, com dispositivo registrador, para medicAo de grandeza eletrica de tensAo</v>
          </cell>
        </row>
        <row r="2519">
          <cell r="B2519">
            <v>4020404700</v>
          </cell>
          <cell r="D2519">
            <v>98114</v>
          </cell>
          <cell r="E2519">
            <v>84799090</v>
          </cell>
          <cell r="F2519" t="str">
            <v>Not applicable</v>
          </cell>
          <cell r="G2519">
            <v>84799090</v>
          </cell>
          <cell r="H2519" t="str">
            <v xml:space="preserve">Painel de operacAo, parte para uso em maquina de insercAo automatica de componentes eletronicos SM471 por montagem em superfície SMD </v>
          </cell>
        </row>
        <row r="2520">
          <cell r="B2520">
            <v>2050701990</v>
          </cell>
          <cell r="D2520">
            <v>20660700</v>
          </cell>
          <cell r="E2520">
            <v>85423939</v>
          </cell>
          <cell r="F2520">
            <v>85423939</v>
          </cell>
          <cell r="G2520">
            <v>85423939</v>
          </cell>
          <cell r="H2520" t="str">
            <v>Circuito integrado eletronico do tipo transceptor RS485 semiduplex, montado, proprio para montagem em superfície (SMD - Surface Mounted Device); AZRS485E; 4.75~5.25V; UART; 250kbps; encapsulamento SOP8</v>
          </cell>
        </row>
        <row r="2521">
          <cell r="B2521">
            <v>5134001820</v>
          </cell>
          <cell r="D2521">
            <v>20694626</v>
          </cell>
          <cell r="E2521">
            <v>85176272</v>
          </cell>
          <cell r="G2521">
            <v>85176272</v>
          </cell>
          <cell r="H2521" t="str">
            <v>TRANSCEIVER PARA COMUNICACAO DE DADOS SEM FIO (RECEPCAO, CONVERSAO E TRANSMISSAO), DIGITAL, EMISSOR DE RADIO FREQUENCIA COM RECEPTOR INCORPORADO, EQUIPADO COM ANTENA, CAPAZ DE OPERAR EM FREQUENCIA DE 860-935MHZ, COM TAXA DE TRANSMISSAO DE 0.2-37.5 KBPS.</v>
          </cell>
        </row>
        <row r="2522">
          <cell r="B2522">
            <v>3100703570</v>
          </cell>
          <cell r="D2522" t="str">
            <v>PENDING</v>
          </cell>
          <cell r="E2522">
            <v>85235210</v>
          </cell>
          <cell r="F2522" t="str">
            <v>Not applicable</v>
          </cell>
          <cell r="H2522" t="str">
            <v>Etiquetas de acionamento por aproximacAo, utilizadas para identificacAo automatica de veículos, acionadas por radiofrequencia (RFID - Radio Frequency Identification), modo passivo, operando na faixa de 915 à 928MHz, dotados de um chip combinado e antena de alumínio envoltos em encapsulamento plastico com face adesiva.</v>
          </cell>
        </row>
        <row r="2523">
          <cell r="B2523">
            <v>4070402920</v>
          </cell>
          <cell r="D2523" t="str">
            <v>PENDING</v>
          </cell>
          <cell r="E2523">
            <v>84719011</v>
          </cell>
          <cell r="F2523" t="str">
            <v>Not applicable</v>
          </cell>
          <cell r="H2523" t="str">
            <v>Unidade Hibrida para leitura e gravacAo de dados em etiquetas e cartoes magneticos por aproximacAo acionadas por radiofrequencia (RFID - Radio Frequency Identification).</v>
          </cell>
        </row>
        <row r="2524">
          <cell r="B2524" t="str">
            <v>525030024002</v>
          </cell>
          <cell r="D2524" t="str">
            <v>PENDING</v>
          </cell>
          <cell r="E2524">
            <v>84719019</v>
          </cell>
          <cell r="F2524" t="str">
            <v>Not applicable</v>
          </cell>
          <cell r="H2524" t="str">
            <v>Modulo leitor de RFID, equipado com tecnologia de IdentificacAo por radiofrequencia (RFID), utilizado para realizar a leitura de dados provenientes de  "tags" (etiquetas de acionamento por aproximacAo), para uso de instalacAo interna, opera na faixa de frequencia de 917 a 926MHz, com entrada de alimentacAo de 9 a 24Vdc, temperatura de operacAo de -10 a 55 graus celsius.</v>
          </cell>
        </row>
        <row r="2525">
          <cell r="B2525">
            <v>4020410390</v>
          </cell>
          <cell r="D2525">
            <v>98115</v>
          </cell>
          <cell r="E2525">
            <v>84799090</v>
          </cell>
          <cell r="F2525" t="str">
            <v>Not applicable</v>
          </cell>
          <cell r="G2525">
            <v>84799090</v>
          </cell>
          <cell r="H2525" t="str">
            <v>Modulo de controle de iluminacAo LEDC400, parte para uso em maquinas automaticas para aplicacAo de pasta de solda em placas de circuito impresso</v>
          </cell>
        </row>
        <row r="2526">
          <cell r="B2526">
            <v>61049</v>
          </cell>
          <cell r="D2526">
            <v>20694088</v>
          </cell>
          <cell r="E2526">
            <v>85359010</v>
          </cell>
          <cell r="F2526" t="str">
            <v>Need to update benefit</v>
          </cell>
          <cell r="G2526">
            <v>85359010</v>
          </cell>
          <cell r="H2526" t="str">
            <v xml:space="preserve">RELIGADOR AUTOMaTICO TRIFaSICO, COMUTADOR COM AMPOLA À VaCUO, SEM INTERRUPcAO DE CIRCULAcAO DE CORRENTE DURANTE A COMUTAcAO, DE CORRENTE NOMINAL DE 630A, COM CONTROLE ELETRoNICO. ATUAcAO AUTOMaTICA POR CAPACITORES E IMAS PERMANENTES TEMPERATURA OPERACAO DE -40C A 55C. CONTROLE ELETRoNICO ALIMENTAcAO POR REDES DE BAIXA TENSAO OU TRANSFORMADORES SECUNDaRIOS 127VAC OU 220V AC, FREQUENCIA DE 50Hz ou 60HZ. DIMENSoES CONTROLADOR DE 640x415x290 mm. GRAU PROTEcAO CONTROLADOR e IP65. </v>
          </cell>
        </row>
        <row r="2527">
          <cell r="B2527" t="str">
            <v>KEBA BS1500</v>
          </cell>
          <cell r="D2527" t="str">
            <v>PENDING</v>
          </cell>
          <cell r="E2527">
            <v>85371020</v>
          </cell>
          <cell r="F2527" t="str">
            <v>Not applicable</v>
          </cell>
          <cell r="H2527" t="str">
            <v>CONTROLADOR PROGRAMaVEL "KEBA" BS1500, PARA COMANDO ELeTRICO, COM TENSAO DE 380V, DE MaQUINA PARA MOLDAR PLaSTICOS POR INJEcAO</v>
          </cell>
        </row>
        <row r="2528">
          <cell r="B2528" t="str">
            <v>SERVODRIVER BS1500</v>
          </cell>
          <cell r="D2528" t="str">
            <v>PENDING</v>
          </cell>
          <cell r="E2528">
            <v>85371020</v>
          </cell>
          <cell r="F2528" t="str">
            <v>Not applicable</v>
          </cell>
          <cell r="H2528" t="str">
            <v>CONTROLADOR PROGRAMaVEL "SERVODRIVER" BS1500 N/S 1203H078, PARA COMANDO ELeTRICO, COM TENSAO DE 380V, DE MaQUINA PARA MOLDAR PLaSTICOS POR INJEcAO</v>
          </cell>
        </row>
        <row r="2529">
          <cell r="B2529" t="str">
            <v>SERVOMOTOR BS1500</v>
          </cell>
          <cell r="D2529" t="str">
            <v>PENDING</v>
          </cell>
          <cell r="E2529">
            <v>85013210</v>
          </cell>
          <cell r="F2529" t="str">
            <v>Not applicable</v>
          </cell>
          <cell r="H2529" t="str">
            <v>MOTOR ELeTRICO "SERVOMOTOR"  S105-15 P/ BS1500 N/S 1203H078, DE CORRENTE CONTÍNUA, DE POTeNCIA 15KW E CARCAcA COM DISTANCIA APROXIMADA DE 10MM DA BASE DO MOTOR ATe O CENTRO DO SEU EIXO, PARA USO EM MaQUINA PARA MOLDAR PLaSTICOS POR INJEcAO</v>
          </cell>
        </row>
        <row r="2530">
          <cell r="B2530" t="str">
            <v>HYDRAULIC PUMP BS1500</v>
          </cell>
          <cell r="D2530" t="str">
            <v>PENDING</v>
          </cell>
          <cell r="E2530">
            <v>84135010</v>
          </cell>
          <cell r="F2530" t="str">
            <v>Not applicable</v>
          </cell>
          <cell r="H2530" t="str">
            <v>BOMBA VOLUMeTRICA ALTERNATIVA (DE PISTAO DE DESLOCAMENTO VARIaVEL) YUKEN A56-FR00-HS P/ BS1500 N/S 1203H078, DE POTeNCIA 26KW E VAZAO DE 100 LITROS/MINUTO, PARA USO EM MaQUINA PARA MOLDAR PLaSTICOS POR INJEcAO</v>
          </cell>
        </row>
        <row r="2531">
          <cell r="B2531" t="str">
            <v>KEBA BS1200</v>
          </cell>
          <cell r="D2531" t="str">
            <v>PENDING</v>
          </cell>
          <cell r="E2531">
            <v>85371020</v>
          </cell>
          <cell r="F2531" t="str">
            <v>Not applicable</v>
          </cell>
          <cell r="H2531" t="str">
            <v>CONTROLADOR PROGRAMaVEL "KEBA" BS1200, PARA COMANDO ELeTRICO, COM TENSAO DE 380V, DE MaQUINA PARA MOLDAR PLaSTICOS POR INJEcAO</v>
          </cell>
        </row>
        <row r="2532">
          <cell r="B2532" t="str">
            <v>SERVODRIVER BS1200</v>
          </cell>
          <cell r="D2532" t="str">
            <v>PENDING</v>
          </cell>
          <cell r="E2532">
            <v>85371020</v>
          </cell>
          <cell r="F2532" t="str">
            <v>Not applicable</v>
          </cell>
          <cell r="H2532" t="str">
            <v>CONTROLADOR PROGRAMaVEL "SERVODRIVER" BS1200 N/S 1202H182, PARA COMANDO ELeTRICO, COM TENSAO DE 380V, DE MaQUINA PARA MOLDAR PLaSTICOS POR INJEcAO</v>
          </cell>
        </row>
        <row r="2533">
          <cell r="B2533" t="str">
            <v>SERVOMOTOR BS1200</v>
          </cell>
          <cell r="D2533" t="str">
            <v>PENDING</v>
          </cell>
          <cell r="E2533">
            <v>85013210</v>
          </cell>
          <cell r="F2533" t="str">
            <v>Not applicable</v>
          </cell>
          <cell r="H2533" t="str">
            <v>MOTOR ELeTRICO "SERVOMOTOR" S105-13 P/ BS1200 N/S 1202H182, DE CORRENTE CONTÍNUA, DE POTeNCIA 13KW E CARCAcA COM DISTANCIA APROXIMADA DE 10MM DA BASE DO MOTOR ATe O CENTRO DO SEU EIXO, PARA USO EM MaQUINA PARA MOLDAR PLaSTICOS POR INJEcAO</v>
          </cell>
        </row>
        <row r="2534">
          <cell r="B2534" t="str">
            <v>HYDRAULIC PUMP BS1200</v>
          </cell>
          <cell r="D2534" t="str">
            <v>PENDING</v>
          </cell>
          <cell r="E2534">
            <v>84135010</v>
          </cell>
          <cell r="F2534" t="str">
            <v>Not applicable</v>
          </cell>
          <cell r="H2534" t="str">
            <v>BOMBA VOLUMeTRICA ALTERNATIVA (DE PISTAO DE DESLOCAMENTO VARIaVEL) A56-FR00-HS YUKEN BS1200 N/S 1202H182, DE POTeNCIA 26KW E VAZAO DE 100 LITROS/MINUTO, PARA USO EM MaQUINA PARA MOLDAR PLaSTICOS POR INJEcAO</v>
          </cell>
        </row>
        <row r="2535">
          <cell r="B2535" t="str">
            <v>KEBA BS2000</v>
          </cell>
          <cell r="D2535" t="str">
            <v>PENDING</v>
          </cell>
          <cell r="E2535">
            <v>85371020</v>
          </cell>
          <cell r="F2535" t="str">
            <v>Not applicable</v>
          </cell>
          <cell r="H2535" t="str">
            <v>CONTROLADOR PROGRAMaVEL "KEBA" BS2000, PARA COMANDO ELeTRICO, COM TENSAO DE 380V, DE MaQUINA PARA MOLDAR PLaSTICOS POR INJEcAO</v>
          </cell>
        </row>
        <row r="2536">
          <cell r="B2536" t="str">
            <v>SERVODRIVER BS2000</v>
          </cell>
          <cell r="D2536" t="str">
            <v>PENDING</v>
          </cell>
          <cell r="E2536">
            <v>85371020</v>
          </cell>
          <cell r="F2536" t="str">
            <v>Not applicable</v>
          </cell>
          <cell r="H2536" t="str">
            <v>CONTROLADOR PROGRAMaVEL "SERVODRIVER" BS2000, PARA COMANDO ELeTRICO, COM TENSAO DE 380V, DE MaQUINA PARA MOLDAR PLaSTICOS POR INJEcAO</v>
          </cell>
        </row>
        <row r="2537">
          <cell r="B2537" t="str">
            <v>SERVOMOTOR BS2000</v>
          </cell>
          <cell r="D2537" t="str">
            <v>PENDING</v>
          </cell>
          <cell r="E2537">
            <v>85013210</v>
          </cell>
          <cell r="F2537" t="str">
            <v>Not applicable</v>
          </cell>
          <cell r="H2537" t="str">
            <v>MOTOR ELeTRICO "SERVOMOTOR" S185-11 PARA BS2000 N/S 1204H080, DE CORRENTE CONTÍNUA, DE POTeNCIA 22KW E CARCAcA COM DISTANCIA APROXIMADA DE 10MM DA BASE DO MOTOR ATe O CENTRO DO SEU EIXO, PARA USO EM MaQUINA PARA MOLDAR PLaSTICOS POR INJEcAO</v>
          </cell>
        </row>
        <row r="2538">
          <cell r="B2538" t="str">
            <v>HYDRAULIC PUMP BS2000</v>
          </cell>
          <cell r="D2538" t="str">
            <v>PENDING</v>
          </cell>
          <cell r="E2538">
            <v>84135010</v>
          </cell>
          <cell r="F2538" t="str">
            <v>Not applicable</v>
          </cell>
          <cell r="H2538" t="str">
            <v>BOMBA VOLUMeTRICA ALTERNATIVA (DE PISTAO DE DESLOCAMENTO VARIaVEL) YUKEN A100-FR00HSSPD24N-10422, DE POTeNCIA 63KW E VAZAO DE 180 LITROS/MINUTO, PARA USO EM MaQUINA PARA MOLDAR PLaSTICOS POR INJEcAO</v>
          </cell>
        </row>
        <row r="2539">
          <cell r="B2539">
            <v>7030301570</v>
          </cell>
          <cell r="D2539">
            <v>90461</v>
          </cell>
          <cell r="E2539">
            <v>90318099</v>
          </cell>
          <cell r="F2539" t="str">
            <v>Not applicable</v>
          </cell>
          <cell r="G2539">
            <v>90318099</v>
          </cell>
          <cell r="H2539" t="str">
            <v>CAmara para execucAo de ensaios e testes com controle da temperatura e umidade relativa do ar dentro de compartimento  vedado, com ajuste do controle de tempo de ensaios e variacAo dos parAmetros determinados, dentro dos respectivos limites de operacAo -20C ate +150C; e 25por cento ate 98por cento de umidade relativa no ar. Numero de Serie: XXXXXX; Ano de FabricacAo: XXXXX; Modelo: XXXXXX; Marca: XXXXX</v>
          </cell>
        </row>
        <row r="2540">
          <cell r="B2540">
            <v>4020403310</v>
          </cell>
          <cell r="D2540">
            <v>98172</v>
          </cell>
          <cell r="E2540">
            <v>84799090</v>
          </cell>
          <cell r="F2540" t="str">
            <v>Not applicable</v>
          </cell>
          <cell r="H2540" t="str">
            <v xml:space="preserve">Elemento de filtro para bomba de vacuo AM03-019040A, parte para uso em maquina de insercAo automatica de componentes eletronicos SM481 por montagem em superfície SMD </v>
          </cell>
        </row>
        <row r="2541">
          <cell r="B2541" t="str">
            <v>HXB8021Z.R120</v>
          </cell>
          <cell r="D2541">
            <v>68494</v>
          </cell>
          <cell r="E2541">
            <v>90289010</v>
          </cell>
          <cell r="F2541" t="str">
            <v>Not applicable</v>
          </cell>
          <cell r="G2541">
            <v>90289010</v>
          </cell>
          <cell r="H2541" t="str">
            <v>Placa de circuito impresso montada (PCBA), parte para montagem de medidor de energia eletrica (contador de eletricidade) monofasico digital Smart Meter 8021 1P2W, Autorange, 15(100)A + RS232 + Rele + Bat + 15V</v>
          </cell>
        </row>
        <row r="2542">
          <cell r="B2542">
            <v>4030400540</v>
          </cell>
          <cell r="D2542">
            <v>59440</v>
          </cell>
          <cell r="E2542">
            <v>84719019</v>
          </cell>
          <cell r="F2542" t="str">
            <v>Not applicable</v>
          </cell>
          <cell r="G2542">
            <v>84719019</v>
          </cell>
          <cell r="H2542" t="str">
            <v>Gravadora automatica de dados (programador de firmware) modelo TFP3 (4030400540)</v>
          </cell>
        </row>
        <row r="2543">
          <cell r="B2543">
            <v>2050300811</v>
          </cell>
          <cell r="D2543">
            <v>20660398</v>
          </cell>
          <cell r="E2543">
            <v>85423120</v>
          </cell>
          <cell r="F2543">
            <v>85423120</v>
          </cell>
          <cell r="G2543">
            <v>85423120</v>
          </cell>
          <cell r="H2543" t="str">
            <v>CIRCUITO INTEGRADO ELETRONICO MICROCONTROLADOR MONTADO, PROPRIO PARA MONTAGEM EM SUPERFÍCIE (SMD), MODELO DE MICROPROCESSADOR GP30, FREQUENCIA DE CLOCK 4MHZ, SPI UART QFN32. TENSAO DE OPERACAO 2,5V~3,6V.</v>
          </cell>
        </row>
        <row r="2544">
          <cell r="B2544">
            <v>2050102411</v>
          </cell>
          <cell r="D2544">
            <v>20660399</v>
          </cell>
          <cell r="E2544">
            <v>85423120</v>
          </cell>
          <cell r="F2544">
            <v>85423120</v>
          </cell>
          <cell r="G2544">
            <v>85423120</v>
          </cell>
          <cell r="H2544" t="str">
            <v>CIRCUITO INTEGRADO ELETRONICO MICROCONTROLADOR, MONTADO, PROPRIO PARA MONTAGEM EM SUPERFÍCIE (SMD), MODELO DE MICROPROCESSADOR FUDAN MCU, COM FREQUENCIA DE CLOCK DE ATE 64MHZ, MEMORIA FLASH 256KB E MEMORIA SRAM 24KB. LQFP64 TENSAO DE OPERACAO 1.8～5.5V</v>
          </cell>
        </row>
        <row r="2545">
          <cell r="B2545">
            <v>3140900990</v>
          </cell>
          <cell r="C2545">
            <v>3140900990</v>
          </cell>
          <cell r="D2545">
            <v>40279001</v>
          </cell>
          <cell r="E2545">
            <v>74153900</v>
          </cell>
          <cell r="F2545" t="str">
            <v>Need to update benefit</v>
          </cell>
          <cell r="G2545">
            <v>74153900</v>
          </cell>
          <cell r="H2545" t="str">
            <v>ACOPLAMENTO ROSCADO DE COBRE PARA HIDROMETRO, A BASE DE COBREZINCO (LATAO), PARA USO EM HIDROMETROS (CONTADORES DE LIQUIDOS) RESIDENCIAIS, COM SECAO DE TRANSVERSAL DE 20mm.</v>
          </cell>
        </row>
        <row r="2546">
          <cell r="B2546">
            <v>3140901000</v>
          </cell>
          <cell r="C2546">
            <v>3140901000</v>
          </cell>
          <cell r="D2546">
            <v>40279002</v>
          </cell>
          <cell r="E2546">
            <v>74153900</v>
          </cell>
          <cell r="F2546" t="str">
            <v>Need to update benefit</v>
          </cell>
          <cell r="G2546">
            <v>74153900</v>
          </cell>
          <cell r="H2546" t="str">
            <v>ACOPLAMENTO ROSCADO DE COBRE PARA HIDROMETRO, A BASE DE COBREZINCO (LATAO), PARA USO EM HIDROMETROS (CONTADORES DE LIQUIDOS) RESIDENCIAIS, COM SECAO DE TRANSVERSAL DE 25mm.</v>
          </cell>
        </row>
        <row r="2547">
          <cell r="B2547">
            <v>3030104370</v>
          </cell>
          <cell r="D2547">
            <v>21160112</v>
          </cell>
          <cell r="E2547">
            <v>73181500</v>
          </cell>
          <cell r="F2547">
            <v>73181500</v>
          </cell>
          <cell r="G2547">
            <v>73181500</v>
          </cell>
          <cell r="H2547" t="str">
            <v>PARAFUSO SEXTAVADO M4X8, ARTIGO ROSCADO, DE MATERIA-PRIMA BASE DE ACO INOX, DE PROCESSO DE FABRICACAO SEM TRATAMENTO E ACABAMENTO SUPERFICIAL SEM TRATAMENTO (3030104370)</v>
          </cell>
        </row>
        <row r="2548">
          <cell r="B2548">
            <v>2150155910</v>
          </cell>
          <cell r="D2548">
            <v>20610701</v>
          </cell>
          <cell r="E2548">
            <v>90289090</v>
          </cell>
          <cell r="F2548" t="str">
            <v>Not applicable</v>
          </cell>
          <cell r="G2548">
            <v>90289090</v>
          </cell>
          <cell r="H2548" t="str">
            <v>PLACA DE CIRCUITO IMPRESSO MONTADA COM COMPONENTES ELETRONICOS, PARA ADAPTACAO PARA COMUNICACAO RS485, PARTE PARA USO EM HIDROMETROS (CONTADOR DE LÍQUIDOS).</v>
          </cell>
        </row>
        <row r="2549">
          <cell r="B2549">
            <v>3142300010</v>
          </cell>
          <cell r="D2549">
            <v>20547018</v>
          </cell>
          <cell r="E2549">
            <v>90289090</v>
          </cell>
          <cell r="F2549" t="str">
            <v>Not applicable</v>
          </cell>
          <cell r="G2549">
            <v>90289090</v>
          </cell>
          <cell r="H2549" t="str">
            <v>PLACA DE CIRCUITO IMPRESSO MONTADA COM COMPONENTES ELETRONICOS (PCBA), PARTE PARA USO EM HIDROMETROS (CONTADORES DE LIQUIDOS).</v>
          </cell>
        </row>
        <row r="2550">
          <cell r="B2550">
            <v>7020703720</v>
          </cell>
          <cell r="D2550">
            <v>98191</v>
          </cell>
          <cell r="E2550">
            <v>84283300</v>
          </cell>
          <cell r="F2550" t="str">
            <v>Not applicable</v>
          </cell>
          <cell r="G2550">
            <v>84283300</v>
          </cell>
          <cell r="H2550" t="str">
            <v>Linha de Montagem de Macro Medidores de agua DN50-DN200 - esteira de correia automatica com velocidade controlavel, de acAo contínua, para uso em operacAo de montagem de componentes em processo de fabricacAo de contadores de líquidos (hidrometros) - com 10 metros de comprimento, 21 metros de largura, linha de circulacAo, linha de tambor, com lAmpadas fluorescentes, insercAo de touro 6PSC, com caixa de madeira do mar</v>
          </cell>
        </row>
        <row r="2551">
          <cell r="B2551">
            <v>40398000630</v>
          </cell>
          <cell r="D2551">
            <v>98205</v>
          </cell>
          <cell r="E2551">
            <v>70200090</v>
          </cell>
          <cell r="F2551" t="str">
            <v>Not applicable</v>
          </cell>
          <cell r="G2551">
            <v>70200090</v>
          </cell>
          <cell r="H2551" t="str">
            <v>Bandeja de fibra de vidro para uso em forno de soldagem de componentes eletronicos para medidores de agua residencial</v>
          </cell>
        </row>
        <row r="2552">
          <cell r="B2552">
            <v>4039896170</v>
          </cell>
          <cell r="D2552">
            <v>98206</v>
          </cell>
          <cell r="E2552">
            <v>70200090</v>
          </cell>
          <cell r="F2552" t="str">
            <v>Not applicable</v>
          </cell>
          <cell r="G2552">
            <v>70200090</v>
          </cell>
          <cell r="H2552" t="str">
            <v>Tampa de bandeja de fibra de vidro para uso em forno de soldagem de componentes eletronicos para medidores de agua residencial</v>
          </cell>
        </row>
        <row r="2553">
          <cell r="B2553">
            <v>4030100440</v>
          </cell>
          <cell r="D2553">
            <v>98207</v>
          </cell>
          <cell r="E2553">
            <v>84719019</v>
          </cell>
          <cell r="F2553" t="str">
            <v>Not applicable</v>
          </cell>
          <cell r="G2553">
            <v>84719019</v>
          </cell>
          <cell r="H2553" t="str">
            <v>GRAVADORA DE DADOS DE FIRMWARE PARA PLACA DE CIRCUITO DE MEDIDORES DE AGUA RESIDENCIAIS - DN15-DN25 (REF.: 4030100440).</v>
          </cell>
        </row>
        <row r="2554">
          <cell r="B2554">
            <v>4030410380</v>
          </cell>
          <cell r="D2554">
            <v>98208</v>
          </cell>
          <cell r="E2554">
            <v>85369090</v>
          </cell>
          <cell r="F2554" t="str">
            <v>Not applicable</v>
          </cell>
          <cell r="H2554" t="str">
            <v>Soquete PARA CONEXAO DE CIRCUITO ELeTRICO COM TENSAO ATe 320V - para programacAo de firmware em hidrometros (contadores de líquidos)</v>
          </cell>
        </row>
        <row r="2555">
          <cell r="B2555">
            <v>4039898740</v>
          </cell>
          <cell r="C2555">
            <v>4039898740</v>
          </cell>
          <cell r="D2555">
            <v>98192</v>
          </cell>
          <cell r="E2555">
            <v>90319010</v>
          </cell>
          <cell r="F2555" t="str">
            <v>Not applicable</v>
          </cell>
          <cell r="G2555">
            <v>90319010</v>
          </cell>
          <cell r="H2555" t="str">
            <v>Dispositivo para teste funcional (FCT) de placas eletronicas, parte para uso em bancada de ensaio de testes de hidrometros (contadores de líquidos)</v>
          </cell>
        </row>
        <row r="2556">
          <cell r="B2556">
            <v>7020201140</v>
          </cell>
          <cell r="D2556">
            <v>98203</v>
          </cell>
          <cell r="E2556">
            <v>84798290</v>
          </cell>
          <cell r="F2556" t="str">
            <v>Not applicable</v>
          </cell>
          <cell r="H2556" t="str">
            <v>Maquina trituradora de materiais e resíduos solidos a base de policarbonato - SPC700 800-900kg/h 22Kw (7020201140)</v>
          </cell>
        </row>
        <row r="2557">
          <cell r="B2557">
            <v>4020403670</v>
          </cell>
          <cell r="D2557">
            <v>98204</v>
          </cell>
          <cell r="E2557">
            <v>76169900</v>
          </cell>
          <cell r="F2557" t="str">
            <v>Not applicable</v>
          </cell>
          <cell r="H2557" t="str">
            <v>Trilho para uso em maquinas de solda por onda, de materia-prima base de alumínio (4020403670)</v>
          </cell>
        </row>
        <row r="2558">
          <cell r="B2558">
            <v>8020400170</v>
          </cell>
          <cell r="D2558">
            <v>97124</v>
          </cell>
          <cell r="E2558">
            <v>85414300</v>
          </cell>
          <cell r="F2558" t="str">
            <v>Not applicable</v>
          </cell>
          <cell r="H2558" t="str">
            <v>Modulos solares fotovoltaicos para geracAo de energia eletrica, bifaciais, dotados de celulas de silício monocristalino, com potencia de pico (STC) na parte frontal de 545Wp para sistema com tensAo maxima de 1.500V, com dimensoes de 2.278 x 1.134 x 35mm (eficiencia de 211,0Wp/m2, equivalente a 21,1por cento), marca XXXX, modelo YYYY, ano de fabricacAo ZZZZ e numeros de serie AAAA a BBBB.</v>
          </cell>
        </row>
        <row r="2559">
          <cell r="B2559">
            <v>8020400630</v>
          </cell>
          <cell r="D2559">
            <v>97125</v>
          </cell>
          <cell r="E2559">
            <v>85371090</v>
          </cell>
          <cell r="F2559" t="str">
            <v>Not applicable</v>
          </cell>
          <cell r="H2559" t="str">
            <v>Quadro controlador para inversores fotovoltaicos, para tensAo de ate 600V em corrente contínua, munido de 3 fusíveis de corrente de entrada 16A e 3 disjuntores de corrente de saída 32A para protecAo de circuitos dos inversores, com classe de protecAo IP65</v>
          </cell>
        </row>
        <row r="2560">
          <cell r="B2560">
            <v>8020400640</v>
          </cell>
          <cell r="D2560">
            <v>97128</v>
          </cell>
          <cell r="E2560">
            <v>85044090</v>
          </cell>
          <cell r="F2560" t="str">
            <v>Not applicable</v>
          </cell>
          <cell r="H2560" t="str">
            <v>Inversores para sistemas fotovoltaicos string, para rede trifasica, com potencia nominal de saída de 30.000W a 40 graus Celsius, com potencia maxima de saída de 30.000W a 40 graus Celsius, e tensAo nominal de saída de 220VCA, de marca XXXX, modelo YYYY, ano de fabricacAo ZZZZ e numeros de serie AAAA a BBBB - para conversAo de energia corrente contínua em energia corrente alternada, de tecnologia de controle microprocessado, tensAo de alimentacAo 220VCA, corrente nominal de saída de 78,8A, faixa de frequencia 50/60Hz, eficiencia maxima de 98,8por cento, gabinetes com grau de protecAo IP65, projetados para suportar operacAo em temperaturas na faixa de -25 a 60 graus Celsius, tres MPPTs</v>
          </cell>
        </row>
        <row r="2561">
          <cell r="B2561">
            <v>8020400670</v>
          </cell>
          <cell r="D2561">
            <v>97127</v>
          </cell>
          <cell r="E2561">
            <v>85371090</v>
          </cell>
          <cell r="F2561" t="str">
            <v>Not applicable</v>
          </cell>
          <cell r="H2561" t="str">
            <v>Quadro controlador para inversores fotovoltaicos, para tensAo de ate 400V em corrente alternada, munido de cabos eletricos e protetor de surto tipo 2 275VAC 4P para protecAo de circuitos dos inversores, com classe de protecAo IP65</v>
          </cell>
        </row>
        <row r="2562">
          <cell r="B2562">
            <v>8020400810</v>
          </cell>
          <cell r="D2562">
            <v>97130</v>
          </cell>
          <cell r="E2562">
            <v>85371090</v>
          </cell>
          <cell r="F2562" t="str">
            <v>Not applicable</v>
          </cell>
          <cell r="H2562" t="str">
            <v>Gabinete controlador de comunicacAo para kit gerador de energia solar, para tensAo maxima de 1000V, munido de cabos e conectores eletricos para conexAo com modulos de paineis fotovoltaicos e inversores fotovoltaicos</v>
          </cell>
        </row>
        <row r="2563">
          <cell r="B2563">
            <v>4010400270</v>
          </cell>
          <cell r="D2563">
            <v>98404</v>
          </cell>
          <cell r="E2563">
            <v>39231090</v>
          </cell>
          <cell r="F2563" t="str">
            <v>Not applicable</v>
          </cell>
          <cell r="G2563">
            <v>39231090</v>
          </cell>
          <cell r="H2563" t="str">
            <v>Caixa de material de plastico, antiestatica (ESD), para acomodacAo e transporte de componentes eletronicos</v>
          </cell>
        </row>
        <row r="2564">
          <cell r="B2564">
            <v>5111200960</v>
          </cell>
          <cell r="D2564">
            <v>40291600</v>
          </cell>
          <cell r="E2564">
            <v>73261900</v>
          </cell>
          <cell r="F2564">
            <v>73261900</v>
          </cell>
          <cell r="G2564">
            <v>73261900</v>
          </cell>
          <cell r="H2564" t="str">
            <v>Gabinete Metalico Pantheon G6; em chapa de aco galvanizado, obtida por estapagem; 1,2mm; 635x342x150mm; sem cobertura; RAL-7035; com advertencia de perigo</v>
          </cell>
        </row>
        <row r="2565">
          <cell r="B2565">
            <v>2020303371</v>
          </cell>
          <cell r="D2565">
            <v>20660667</v>
          </cell>
          <cell r="E2565">
            <v>85322200</v>
          </cell>
          <cell r="F2565">
            <v>85322200</v>
          </cell>
          <cell r="G2565">
            <v>85322200</v>
          </cell>
          <cell r="H2565" t="str">
            <v>Capacitor (condensador eletrico fíxo) eletrolítico de alumínio para montagem PTH; CapacitAncia 10uF; TensAo nominal 450Vdc; TolerAncia 20por cento; Terminal radial; DiAmetro 5mm; Comprimento 20mm</v>
          </cell>
        </row>
        <row r="2566">
          <cell r="B2566">
            <v>4020402690</v>
          </cell>
          <cell r="D2566">
            <v>98317</v>
          </cell>
          <cell r="E2566">
            <v>40169990</v>
          </cell>
          <cell r="F2566" t="str">
            <v>Not applicable</v>
          </cell>
          <cell r="G2566">
            <v>40169990</v>
          </cell>
          <cell r="H2566" t="str">
            <v>Correia sincronizada 255-GT 867J, de material de borracha vulcanizada nAo endurecida, nAo alveolar</v>
          </cell>
        </row>
        <row r="2567">
          <cell r="B2567">
            <v>4020500310</v>
          </cell>
          <cell r="D2567">
            <v>59059</v>
          </cell>
          <cell r="E2567">
            <v>84689090</v>
          </cell>
          <cell r="F2567" t="str">
            <v>Not applicable</v>
          </cell>
          <cell r="H2567" t="str">
            <v>Pino duplo metálico, parte para uso exclusivo em máquina de solda por onda, destinado à fixação e condução elétrica no processo de soldagem automatizada de placas de circuito impresso - REF. 4020500310)</v>
          </cell>
        </row>
        <row r="2568">
          <cell r="B2568">
            <v>2050501900</v>
          </cell>
          <cell r="D2568">
            <v>20680136</v>
          </cell>
          <cell r="E2568">
            <v>85423221</v>
          </cell>
          <cell r="F2568">
            <v>85423221</v>
          </cell>
          <cell r="G2568">
            <v>85423221</v>
          </cell>
          <cell r="H2568" t="str">
            <v>CIRCUITO INTEGRADO ELETRONICO DE MEMORIA TIPO EEPROM, MONTADO, PROPRIO PARA MONTAGEM EM SUPERFÍCIE SMD, DE CAPACIDADE DE MEMORIA 64KBYTES E TEMPO DE ACESSO 25NS (2050501900)</v>
          </cell>
        </row>
        <row r="2569">
          <cell r="B2569" t="str">
            <v>GT3-17KD1</v>
          </cell>
          <cell r="D2569">
            <v>98196</v>
          </cell>
          <cell r="E2569">
            <v>85044090</v>
          </cell>
          <cell r="F2569" t="str">
            <v>Not applicable</v>
          </cell>
          <cell r="H2569" t="str">
            <v>Inversores para sistemas fotovoltaicos Ongrid, para rede trifasica, com potencia nominal de saída de 17.000W a 40 graus Celsius, e tensAo nominal de saída de 380/220VCA, de marca XXXX, modelo YYYY, ano de fabricacAo ZZZZ e numeros de serie AAAA a BBBB - para conversAo de energia corrente contínua em energia corrente alternada, de tecnologia de controle microprocessado, tensAo de alimentacAo 220VCA/380VCA ou 230VCA/400VCA, corrente nominal de saída de 24,5A, faixa de frequencia 50/60  Hz, eficiencia maxima de 98,50por cento, gabinetes com grau de protecAo IP65, projetados para suportar operacAo em temperaturas na faixa de -30 a  60 graus Celsius,  duas MPPTs</v>
          </cell>
        </row>
        <row r="2570">
          <cell r="B2570" t="str">
            <v>GT3-22KD1</v>
          </cell>
          <cell r="D2570">
            <v>98197</v>
          </cell>
          <cell r="E2570">
            <v>85044090</v>
          </cell>
          <cell r="F2570" t="str">
            <v>Not applicable</v>
          </cell>
          <cell r="H2570" t="str">
            <v>Inversores para sistemas fotovoltaicos “on-grid”, tipo “string”, para rede trifasica, com potencia nominal de saída de 22.000W a 40 graus Celsius, com potencia maxima de saída de 22.000W a 40 graus Celsius e tensAo nominal de saída de 380VCA, de marca XXXX, modelo YYYY, ano de fabricacAo ZZZZ e numeros de serie AAAA a BBBB - para conversAo de energia corrente contínua em energia corrente alternada, de tecnologia de controle microprocessado, tensAo de alimentacAo 220VCA/380VCA ou 230VCA/400VCA, corrente nominal de saída de 31,8A, faixa de frequencia 50/60 Hz, eficiencia maxima de 98,60por cento, gabinetes com grau de protecAo IP65, projetados para suportar operacAo em temperaturas na faixa de -30 a 60 graus Celsius, duas MPPTs</v>
          </cell>
        </row>
        <row r="2571">
          <cell r="B2571" t="str">
            <v>HYPER-3000</v>
          </cell>
          <cell r="D2571">
            <v>90949</v>
          </cell>
          <cell r="E2571">
            <v>85044090</v>
          </cell>
          <cell r="F2571" t="str">
            <v>Not applicable</v>
          </cell>
          <cell r="H2571" t="str">
            <v>Inversores para sistemas fotovoltaicos "string", para rede monofasica, com potencia nominal de saída de 3.000W a 40 graus Celsius, com potencia maxima de saída de 3.000W a 40 graus Celsius, e tensAo nominal de saída de 220 ou 230 ou 240V, de marca XXXX, modelo YYYY, ano de fabricacAo ZZZZ e numeros de serie AAAA a BBBB - para conversAo de energia corrente contínua em energia corrente alternada, de tecnologia de controle microprocessado,tensAo de alimentacAo 220VCA a 240VCA, corrente nominal de saída de 13A, "hibrido", faixa de frequencia 50/60 Hz, eficiencia maxima de 97,8por cento, gabinete com grau de protecAo IP65, projetado para suportar operacAo em temperaturas na faixa de -25 a 60 graus Celsius, unica  MPPT</v>
          </cell>
        </row>
        <row r="2572">
          <cell r="B2572">
            <v>3100117470</v>
          </cell>
          <cell r="D2572">
            <v>20213103</v>
          </cell>
          <cell r="E2572">
            <v>39269090</v>
          </cell>
          <cell r="F2572">
            <v>39269090</v>
          </cell>
          <cell r="G2572">
            <v>39269090</v>
          </cell>
          <cell r="H2572" t="str">
            <v>PLAQUETA DE IDENTIFICACAO, SEM IMPRESSAO, DE MATERIAL PLASTICO DE POLICARBONATO, PARA HIDROMETRO (CONTADORES DE LIQUIDOS) ULTRASSONICO INDUSTRIAL.</v>
          </cell>
        </row>
        <row r="2573">
          <cell r="B2573">
            <v>5210101540</v>
          </cell>
          <cell r="D2573">
            <v>20691333</v>
          </cell>
          <cell r="E2573">
            <v>39269090</v>
          </cell>
          <cell r="F2573">
            <v>39269090</v>
          </cell>
          <cell r="G2573">
            <v>39269090</v>
          </cell>
          <cell r="H2573" t="str">
            <v>SUPORTE PARA PLACA DE CIRCUITO IMPRESSO DE HIDRoMETROS, DE MATERIAL PLaSTICO DE POLICARBONATO</v>
          </cell>
        </row>
        <row r="2574">
          <cell r="B2574">
            <v>5210101530</v>
          </cell>
          <cell r="D2574" t="str">
            <v>402HD000</v>
          </cell>
          <cell r="E2574">
            <v>39269090</v>
          </cell>
          <cell r="F2574">
            <v>39269090</v>
          </cell>
          <cell r="G2574">
            <v>39269090</v>
          </cell>
          <cell r="H2574" t="str">
            <v>SUPORTE PARA PLACA DE CIRCUITO IMPRESSO DE HIDROMETROS (CONTADORES DE LIQUIDOS), DE MATERIAL PLASTICO DE POLICARBONATO.</v>
          </cell>
        </row>
        <row r="2575">
          <cell r="B2575">
            <v>5130006820</v>
          </cell>
          <cell r="D2575">
            <v>20694091</v>
          </cell>
          <cell r="E2575">
            <v>85351000</v>
          </cell>
          <cell r="F2575" t="str">
            <v>Need to update benefit</v>
          </cell>
          <cell r="G2575">
            <v>85351000</v>
          </cell>
          <cell r="H2575" t="str">
            <v>BASE DE CHAVE FUSIVEL COM TENSAO MAXIMA DE 27KV (27000V), NIVEL BASE DE ISOLAMENTO (NBI) DE 150KV, PARA INTERRUPCAO DE CIRCUITO ELETRICO, COM MATERIAL DE ISOLAMENTO FEITO COM BORRACHA DE SILICONE</v>
          </cell>
        </row>
        <row r="2576">
          <cell r="B2576" t="str">
            <v>GT1-3K6D1</v>
          </cell>
          <cell r="D2576">
            <v>98200</v>
          </cell>
          <cell r="E2576">
            <v>85044090</v>
          </cell>
          <cell r="F2576" t="str">
            <v>Not applicable</v>
          </cell>
          <cell r="G2576">
            <v>85044090</v>
          </cell>
          <cell r="H2576" t="str">
            <v xml:space="preserve">Inversores para sistemas fotovoltaicos string, para rede monofasica, com potencia nominal de saída de 3.600W a 40 graus Celsius, com potencia maxima de saída de 3.960W a 40 graus Celsius, e tensAo nominal de saída de 220VCA, de marca XXXX, modelo YYYY, ano de fabricacAo ZZZZ e numeros de serie de AAAA a BBBB - para conversAo de energia corrente contínua em energia corrente alternada, de tecnologia de controle microprocessado, corrente nominal de saída 15.7A, faixa de frequencia 50/60 Hz, eficiencia maxima de 98,2por cento, gabinetes com grau de protecAo IP65, projetados para suportar operacAo em temperaturas na faixa de -30 a 60 graus Celsius. MPPT dupla. </v>
          </cell>
        </row>
        <row r="2577">
          <cell r="B2577">
            <v>3990017160</v>
          </cell>
          <cell r="D2577" t="str">
            <v>PENDING</v>
          </cell>
          <cell r="E2577">
            <v>85354090</v>
          </cell>
          <cell r="F2577" t="str">
            <v>Not applicable</v>
          </cell>
          <cell r="H2577" t="str">
            <v>Supressor de Surto para protecAo de circuitos eletricos, de tensAo ate 1.200V, modelo LSP-40-175AC/1P (3990017160)</v>
          </cell>
        </row>
        <row r="2578">
          <cell r="B2578">
            <v>3990017170</v>
          </cell>
          <cell r="D2578" t="str">
            <v>PENDING</v>
          </cell>
          <cell r="E2578">
            <v>85354090</v>
          </cell>
          <cell r="F2578" t="str">
            <v>Not applicable</v>
          </cell>
          <cell r="H2578" t="str">
            <v>Supressor de Surto para protecAo de circuitos eletricos, de tensAo ate 3.500V, modelo LSP-40-600DC/3P (3990017170)</v>
          </cell>
        </row>
        <row r="2579">
          <cell r="B2579">
            <v>7020826471</v>
          </cell>
          <cell r="D2579">
            <v>98368</v>
          </cell>
          <cell r="E2579">
            <v>84807100</v>
          </cell>
          <cell r="F2579" t="str">
            <v>Not applicable</v>
          </cell>
          <cell r="G2579">
            <v>84807100</v>
          </cell>
          <cell r="H2579" t="str">
            <v>Molde para moldagem por injecAo, para materiais plasticos de policarbonato - S23097 (ref. 7020826471)</v>
          </cell>
        </row>
        <row r="2580">
          <cell r="B2580">
            <v>7020826261</v>
          </cell>
          <cell r="D2580">
            <v>98365</v>
          </cell>
          <cell r="E2580">
            <v>84807100</v>
          </cell>
          <cell r="F2580" t="str">
            <v>Not applicable</v>
          </cell>
          <cell r="G2580">
            <v>84807100</v>
          </cell>
          <cell r="H2580" t="str">
            <v>Molde para moldagem por injecAo, para materiais plasticos de policarbonato - S23076 (ref. 7020826261)</v>
          </cell>
        </row>
        <row r="2581">
          <cell r="B2581">
            <v>7020826271</v>
          </cell>
          <cell r="D2581">
            <v>98366</v>
          </cell>
          <cell r="E2581">
            <v>84807100</v>
          </cell>
          <cell r="F2581" t="str">
            <v>Not applicable</v>
          </cell>
          <cell r="G2581">
            <v>84807100</v>
          </cell>
          <cell r="H2581" t="str">
            <v>Molde para moldagem por injecAo, para materiais plasticos de policarbonato - S23077 (ref. 7020826271)</v>
          </cell>
        </row>
        <row r="2582">
          <cell r="B2582">
            <v>7020703750</v>
          </cell>
          <cell r="D2582">
            <v>91528</v>
          </cell>
          <cell r="E2582">
            <v>84223022</v>
          </cell>
          <cell r="F2582" t="str">
            <v>Not applicable</v>
          </cell>
          <cell r="H2582" t="str">
            <v>Maquina para aplicacAo de de fita para selagem e fechamento de caixas de papelAo - MH-FJ-3A</v>
          </cell>
        </row>
        <row r="2583">
          <cell r="B2583">
            <v>4020111570</v>
          </cell>
          <cell r="D2583">
            <v>98419</v>
          </cell>
          <cell r="E2583">
            <v>84123110</v>
          </cell>
          <cell r="F2583" t="str">
            <v>Not applicable</v>
          </cell>
          <cell r="H2583" t="str">
            <v>Cilindro pneumatico de acionamento, de movimento retilíneo - AIRTAC Modelo: TCL12X80S</v>
          </cell>
        </row>
        <row r="2584">
          <cell r="B2584">
            <v>4020400630</v>
          </cell>
          <cell r="D2584">
            <v>98418</v>
          </cell>
          <cell r="E2584">
            <v>84818092</v>
          </cell>
          <cell r="F2584" t="str">
            <v>Not applicable</v>
          </cell>
          <cell r="H2584" t="str">
            <v>Valvula solenoide para canalizacAo de fluidos de cilindro SMC Modelo: V114T-5MOZ</v>
          </cell>
        </row>
        <row r="2585">
          <cell r="B2585">
            <v>3022701839</v>
          </cell>
          <cell r="D2585">
            <v>20447200</v>
          </cell>
          <cell r="E2585">
            <v>90289010</v>
          </cell>
          <cell r="F2585">
            <v>90289010</v>
          </cell>
          <cell r="G2585">
            <v>90289010</v>
          </cell>
          <cell r="H2585" t="str">
            <v>Guia de luz do modulo de medicAo - Pantheon, parte para uso em medidores de energia eletrica (contadores de eletricidade)</v>
          </cell>
        </row>
        <row r="2586">
          <cell r="B2586">
            <v>3020129999</v>
          </cell>
          <cell r="D2586">
            <v>20447300</v>
          </cell>
          <cell r="E2586">
            <v>90289010</v>
          </cell>
          <cell r="F2586">
            <v>90289010</v>
          </cell>
          <cell r="G2586">
            <v>90289010</v>
          </cell>
          <cell r="H2586" t="str">
            <v>Base do modulo de medicAo Bifasico - Pantheon, parte para uso em medidores de energia eletrica (contadores de eletricidade)</v>
          </cell>
        </row>
        <row r="2587">
          <cell r="B2587">
            <v>3021102849</v>
          </cell>
          <cell r="D2587">
            <v>20447400</v>
          </cell>
          <cell r="E2587">
            <v>90289010</v>
          </cell>
          <cell r="F2587">
            <v>90289010</v>
          </cell>
          <cell r="G2587">
            <v>90289010</v>
          </cell>
          <cell r="H2587" t="str">
            <v>Bloco de terminais do modulo de medicAo Bifasico - Pantheon, parte para uso em medidores de energia eletrica (contadores de eletricidade)</v>
          </cell>
        </row>
        <row r="2588">
          <cell r="B2588">
            <v>3020310099</v>
          </cell>
          <cell r="D2588">
            <v>20447500</v>
          </cell>
          <cell r="E2588">
            <v>90289010</v>
          </cell>
          <cell r="F2588">
            <v>90289010</v>
          </cell>
          <cell r="G2588">
            <v>90289010</v>
          </cell>
          <cell r="H2588" t="str">
            <v>Tampa do modulo de medicAo Bifasico - Pantheon, parte para uso em medidores de energia eletrica (contadores de eletricidade)</v>
          </cell>
        </row>
        <row r="2589">
          <cell r="B2589">
            <v>3020130009</v>
          </cell>
          <cell r="D2589">
            <v>20447600</v>
          </cell>
          <cell r="E2589">
            <v>90289010</v>
          </cell>
          <cell r="F2589">
            <v>90289010</v>
          </cell>
          <cell r="G2589">
            <v>90289010</v>
          </cell>
          <cell r="H2589" t="str">
            <v>Base do modulo de medicAo Trifasico - Pantheon, parte para uso em medidores de energia eletrica (contadores de eletricidade)</v>
          </cell>
        </row>
        <row r="2590">
          <cell r="B2590">
            <v>3021102859</v>
          </cell>
          <cell r="D2590">
            <v>20447700</v>
          </cell>
          <cell r="E2590">
            <v>90289010</v>
          </cell>
          <cell r="F2590">
            <v>90289010</v>
          </cell>
          <cell r="G2590">
            <v>90289010</v>
          </cell>
          <cell r="H2590" t="str">
            <v>Bloco de terminais do modulo de medicAo Trifasico - Pantheon, parte para uso em medidores de energia eletrica (contadores de eletricidade)</v>
          </cell>
        </row>
        <row r="2591">
          <cell r="B2591">
            <v>3020310109</v>
          </cell>
          <cell r="D2591">
            <v>20447800</v>
          </cell>
          <cell r="E2591">
            <v>90289010</v>
          </cell>
          <cell r="F2591">
            <v>90289010</v>
          </cell>
          <cell r="G2591">
            <v>90289010</v>
          </cell>
          <cell r="H2591" t="str">
            <v>Tampa do modulo de medicAo Trifasico - Pantheon, parte para uso em medidores de energia eletrica (contadores de eletricidade)</v>
          </cell>
        </row>
        <row r="2592">
          <cell r="B2592" t="str">
            <v>5633C20100</v>
          </cell>
          <cell r="D2592" t="str">
            <v>5633C20100</v>
          </cell>
          <cell r="E2592">
            <v>90282010</v>
          </cell>
          <cell r="F2592" t="str">
            <v>Not applicable</v>
          </cell>
          <cell r="G2592">
            <v>90282010</v>
          </cell>
          <cell r="H2592" t="str">
            <v>HIDROMETRO ULTRASSONICO (CONTADOR DE LÍQUIDOS) RESIDENCIAL COM CARCACA DE LATAO,  DIAMETRO NOMINAL DE 15MM, COMPRIMENTO 165 MM, VAZAO DE 2,5 M3/H, R500 E SAIDA PULSADA (ZLW-DN15-2),  COM PESO LIQUIDO UNITARIO APROXIMADO ENTRE  0,5 KG E 2,0 KGS.</v>
          </cell>
        </row>
        <row r="2593">
          <cell r="B2593" t="str">
            <v>5634D30100</v>
          </cell>
          <cell r="D2593" t="str">
            <v>5634D30100</v>
          </cell>
          <cell r="E2593">
            <v>90282010</v>
          </cell>
          <cell r="F2593" t="str">
            <v>Not applicable</v>
          </cell>
          <cell r="G2593">
            <v>90282010</v>
          </cell>
          <cell r="H2593" t="str">
            <v>HIDROMETRO ULTRASSONICO (CONTADOR DE LÍQUIDOS) RESIDENCIAL COM CARCACA DE LATAO,  DIAMETRO NOMINAL DE 20MM, COMPRIMENTO 190 MM, VAZAO DE 4 M3/H, R630 E SAIDA PULSADA (ZLW-DN20-4),  COM PESO LIQUIDO UNITARIO APROXIMADO ENTRE  0,5 KG E 2,0 KGS.</v>
          </cell>
        </row>
        <row r="2594">
          <cell r="B2594" t="str">
            <v>5636E70100</v>
          </cell>
          <cell r="D2594" t="str">
            <v>5636E70100</v>
          </cell>
          <cell r="E2594">
            <v>90282010</v>
          </cell>
          <cell r="F2594" t="str">
            <v>Not applicable</v>
          </cell>
          <cell r="G2594">
            <v>90282010</v>
          </cell>
          <cell r="H2594" t="str">
            <v>HIDROMETRO ULTRASSONICO (CONTADOR DE LÍQUIDOS) RESIDENCIAL COM CARCACA DE LATAO,  DIAMETRO NOMINAL DE 25MM, COMPRIMENTO 260 MM, VAZAO DE 10 M3/H, R800 E SAIDA PULSADA (ZLW-DN25-10),  COM PESO LIQUIDO UNITARIO APROXIMADO ENTRE  0,5 KG E 2,0 KGS.</v>
          </cell>
        </row>
        <row r="2595">
          <cell r="B2595">
            <v>7020201060</v>
          </cell>
          <cell r="D2595">
            <v>97368</v>
          </cell>
          <cell r="E2595">
            <v>84771011</v>
          </cell>
          <cell r="F2595" t="str">
            <v>Not applicable</v>
          </cell>
          <cell r="G2595">
            <v>84771011</v>
          </cell>
          <cell r="H2595" t="str">
            <v>Maquina de moldar por injecAo, horizontal, de comando numerico, marca Haitian, modelo MA4700/3200SE, monocolor, para materiais termoplasticos, com capacidade de injecAo aproximada de 3145g e forca de fechamento 4700kN, com Conjunto de CanhAo e Rosca Cromado para PC optico e CanhAo bimetalico, Interface para Robo Euromap 67 e 2 jogos de macho hidraulico no placa movel, numero de serie XXXX, ano de fabricacAo YYYY</v>
          </cell>
        </row>
        <row r="2596">
          <cell r="B2596">
            <v>4020111600</v>
          </cell>
          <cell r="D2596">
            <v>98527</v>
          </cell>
          <cell r="E2596">
            <v>84213990</v>
          </cell>
          <cell r="F2596" t="str">
            <v>Not applicable</v>
          </cell>
          <cell r="H2596" t="str">
            <v>Filtro estatico para depuracAo de ar, proveniente de Sistema de alimentacAo automatico das maquinas injetoras de policarbonato D65×160</v>
          </cell>
        </row>
        <row r="2597">
          <cell r="B2597">
            <v>4020111610</v>
          </cell>
          <cell r="D2597">
            <v>98528</v>
          </cell>
          <cell r="E2597">
            <v>84213990</v>
          </cell>
          <cell r="F2597" t="str">
            <v>Not applicable</v>
          </cell>
          <cell r="H2597" t="str">
            <v>Filtro estatico para depuracAo de ar, proveniente de Sistema de alimentacAo automatico das maquinas injetoras de policarbonato D105×180</v>
          </cell>
        </row>
        <row r="2598">
          <cell r="B2598">
            <v>3040901360</v>
          </cell>
          <cell r="D2598">
            <v>20290818</v>
          </cell>
          <cell r="E2598">
            <v>90289010</v>
          </cell>
          <cell r="F2598">
            <v>90289010</v>
          </cell>
          <cell r="G2598">
            <v>90289010</v>
          </cell>
          <cell r="H2598" t="str">
            <v>CONECTOR METaLICO PARA PORTA DE COMUNICAcAO oPTICA, PARTE PARA MONTAGEM DE CONTADORES DE ELETRICIDADE</v>
          </cell>
        </row>
        <row r="2599">
          <cell r="B2599">
            <v>4020111580</v>
          </cell>
          <cell r="D2599">
            <v>98529</v>
          </cell>
          <cell r="E2599">
            <v>73110000</v>
          </cell>
          <cell r="F2599" t="str">
            <v>Not applicable</v>
          </cell>
          <cell r="H2599" t="str">
            <v>Recipiente de aco inoxidavel para desumidificacAo de ar proveniente de Sistema de alimentacAo automatico das maquinas injetoras de policarbonato CMR12-50-01</v>
          </cell>
        </row>
        <row r="2600">
          <cell r="B2600">
            <v>4020111620</v>
          </cell>
          <cell r="D2600">
            <v>98524</v>
          </cell>
          <cell r="E2600">
            <v>85015290</v>
          </cell>
          <cell r="F2600" t="str">
            <v>Not applicable</v>
          </cell>
          <cell r="H2600" t="str">
            <v>Motor de vacuo, de inducAo, trifasico, de corrente alternada, de potencia 7,5 KW e torque aproximado de 125N.m - Top Star Modelo: 2GH720 H5 010020210401</v>
          </cell>
        </row>
        <row r="2601">
          <cell r="B2601">
            <v>4020111590</v>
          </cell>
          <cell r="D2601">
            <v>98525</v>
          </cell>
          <cell r="E2601">
            <v>85015290</v>
          </cell>
          <cell r="F2601" t="str">
            <v>Not applicable</v>
          </cell>
          <cell r="H2601" t="str">
            <v>Motor de vacuo, de inducAo, trifasico, de corrente alternada, de potencia 4,6 KW e torque aproximado de 75N.m - Top Star Model: 2GH710 H37 010020210504</v>
          </cell>
        </row>
        <row r="2602">
          <cell r="B2602">
            <v>4020111630</v>
          </cell>
          <cell r="D2602">
            <v>98526</v>
          </cell>
          <cell r="E2602">
            <v>85015190</v>
          </cell>
          <cell r="F2602" t="str">
            <v>Not applicable</v>
          </cell>
          <cell r="G2602">
            <v>85015190</v>
          </cell>
          <cell r="H2602" t="str">
            <v>Motor de vacuo, de inducAo, trifasico, de corrente alternada, de potencia 0,7KW - Top Star Model: 2GH410 H06 010020210421</v>
          </cell>
        </row>
        <row r="2603">
          <cell r="B2603">
            <v>3990016300</v>
          </cell>
          <cell r="D2603">
            <v>20694068</v>
          </cell>
          <cell r="E2603">
            <v>85362000</v>
          </cell>
          <cell r="F2603" t="str">
            <v>Need to update benefit</v>
          </cell>
          <cell r="G2603">
            <v>85362000</v>
          </cell>
          <cell r="H2603" t="str">
            <v>Disjuntor inteligente para protecAo de circuitos eletricos, para aplicacAo em tensAo de 400V - com display LCD para interface homem maquina, microprocessador ARM 32bits de alto desempenho para processamento de sinal em tempo real e controle inteligente de funcoes de protecAo contra sobretensAo, subtensAo e falta de fase - Características eletricas de operacAo 250A, 400VAC 50/60Hz, 3P+N.</v>
          </cell>
        </row>
        <row r="2604">
          <cell r="B2604">
            <v>3990017120</v>
          </cell>
          <cell r="D2604">
            <v>21182022</v>
          </cell>
          <cell r="E2604">
            <v>73181500</v>
          </cell>
          <cell r="F2604">
            <v>73181500</v>
          </cell>
          <cell r="H2604" t="str">
            <v>Parafuso tipo prisioneiro com fenda hexagonal dimensAo 11mm, artigo roscado, de materia-prima base em Aco baixo carbono (1022), de processo de fabricacAo por usinagem e acabamento superficial por galvanizacAo estanhado (3990017120).</v>
          </cell>
        </row>
        <row r="2605">
          <cell r="B2605">
            <v>3032701870</v>
          </cell>
          <cell r="D2605">
            <v>21182023</v>
          </cell>
          <cell r="E2605">
            <v>73181500</v>
          </cell>
          <cell r="F2605">
            <v>73181500</v>
          </cell>
          <cell r="H2605" t="str">
            <v>Parafuso tipo combinado dimensAo M4x8mm, artigo roscado, de materia-prima base em Aco baixo carbono (1022), de processo de fabricacAo por usinagem e acabamento superficial Zinco cromado trivalente, Cabeca cilíndrica com fenda cruzada e diAmetro de 7mm; (3032701870)</v>
          </cell>
        </row>
        <row r="2606">
          <cell r="B2606">
            <v>3032702060</v>
          </cell>
          <cell r="D2606">
            <v>21182024</v>
          </cell>
          <cell r="E2606">
            <v>73181500</v>
          </cell>
          <cell r="F2606">
            <v>73181500</v>
          </cell>
          <cell r="H2606" t="str">
            <v>Parafuso tipo sextavado dimensAo M5x10mm, artigo roscado, de materia-prima base em Aco inoxidavel SUS304, de processo de fabricacAo por usinagem com acabamento superficial sem tratamento, Cabeca cilíndrica com fenda hexagonal e diAmetro de 4.5mm; (3032702060)</v>
          </cell>
        </row>
        <row r="2607">
          <cell r="B2607">
            <v>2150160180</v>
          </cell>
          <cell r="D2607">
            <v>20661760</v>
          </cell>
          <cell r="E2607">
            <v>85340033</v>
          </cell>
          <cell r="F2607" t="str">
            <v>Not applicable</v>
          </cell>
          <cell r="G2607">
            <v>85340033</v>
          </cell>
          <cell r="H2607" t="str">
            <v>PLACA DE CIRCUITO IMPRESSO, DE NATUREZA DO MATERIAL BASE RÍGIDO, COMPOSIcAO DA PLACA DE ISOLANTE DE RESINA EPoXIDA E TECIDO DE FIBRA DE VIDRO, ESTRUTURA DE DUPLA FACE E INTERLIGAcAO ENTRE FACES POR FUROS METALIZADOS; dimensoes 247mm x 235mm</v>
          </cell>
        </row>
        <row r="2608">
          <cell r="B2608" t="str">
            <v>523400220002</v>
          </cell>
          <cell r="D2608">
            <v>20680257</v>
          </cell>
          <cell r="E2608">
            <v>85389010</v>
          </cell>
          <cell r="F2608" t="str">
            <v>Not applicable</v>
          </cell>
          <cell r="G2608">
            <v>85389010</v>
          </cell>
          <cell r="H2608" t="str">
            <v>Placa de circuito impresso com componentes eletronicos montados com a funcAo de filtro passivo, com tensAo de operacAo de 12V, parte para equipamentos de comando eletrico de inversores fotovoltaicos</v>
          </cell>
        </row>
        <row r="2609">
          <cell r="B2609">
            <v>4020305990</v>
          </cell>
          <cell r="D2609">
            <v>84654</v>
          </cell>
          <cell r="E2609">
            <v>84779000</v>
          </cell>
          <cell r="F2609" t="str">
            <v>Not applicable</v>
          </cell>
          <cell r="H2609" t="str">
            <v xml:space="preserve">Controlador Logico Programavel modelo CP033/Z KEBA, parte para uso em maquina de moldagem por injecAo </v>
          </cell>
        </row>
        <row r="2610">
          <cell r="B2610">
            <v>4020306520</v>
          </cell>
          <cell r="D2610">
            <v>91827</v>
          </cell>
          <cell r="E2610">
            <v>84779000</v>
          </cell>
          <cell r="F2610" t="str">
            <v>Not applicable</v>
          </cell>
          <cell r="H2610" t="str">
            <v>Painel de controle logico programavel para maquina injetora de policarbonato Haitian</v>
          </cell>
        </row>
        <row r="2611">
          <cell r="B2611">
            <v>4020306620</v>
          </cell>
          <cell r="D2611">
            <v>91558</v>
          </cell>
          <cell r="E2611">
            <v>84779000</v>
          </cell>
          <cell r="F2611" t="str">
            <v>Not applicable</v>
          </cell>
          <cell r="H2611" t="str">
            <v>Rosca completa com flange e canhAo D-60 para maquina injetora de policarbonato</v>
          </cell>
        </row>
        <row r="2612">
          <cell r="B2612">
            <v>4020306490</v>
          </cell>
          <cell r="D2612">
            <v>91553</v>
          </cell>
          <cell r="E2612">
            <v>84779000</v>
          </cell>
          <cell r="F2612" t="str">
            <v>Not applicable</v>
          </cell>
          <cell r="H2612" t="str">
            <v>Servodrive conversor de frequencia modelo  VFD300VL43B-J, parte para uso em maquina de moldagem por injecAo</v>
          </cell>
        </row>
        <row r="2613">
          <cell r="B2613" t="str">
            <v>HXCB10R02103</v>
          </cell>
          <cell r="D2613">
            <v>40288000</v>
          </cell>
          <cell r="E2613">
            <v>85371090</v>
          </cell>
          <cell r="F2613" t="str">
            <v>Not applicable</v>
          </cell>
          <cell r="G2613">
            <v>85371090</v>
          </cell>
          <cell r="H2613" t="str">
            <v>Caixa de juncAo String Box de corrente continua para protecAo de sistemas fotovoltaicos, modelo HXCB06-1/1 com 1 entrada e 1 saída, equipado com 2 dispositivos de protecAo contra surtos, possuí capacidade de conducAo de corrente maxima por entrada de 40A, tensAo maxima de operacAo de 600V, grau de protecAo IP65.</v>
          </cell>
        </row>
        <row r="2614">
          <cell r="B2614" t="str">
            <v>HXCB10R02101</v>
          </cell>
          <cell r="D2614">
            <v>40288001</v>
          </cell>
          <cell r="E2614">
            <v>85371090</v>
          </cell>
          <cell r="F2614" t="str">
            <v>Not applicable</v>
          </cell>
          <cell r="G2614">
            <v>85371090</v>
          </cell>
          <cell r="H2614" t="str">
            <v>Caixa de juncAo String Box de corrente continua para protecAo de sistemas fotovoltaicos, modelo HXCB10-1/1 com 1 entrada e 1 saída, equipado com 3 dispositivos de protecAo contra surtos, possuí capacidade de conducAo de corrente maxima por entrada de 40A, tensAo maxima de operacAo de 1000V, grau de protecAo IP65.</v>
          </cell>
        </row>
        <row r="2615">
          <cell r="B2615" t="str">
            <v>HXCB10R02104</v>
          </cell>
          <cell r="D2615">
            <v>40288002</v>
          </cell>
          <cell r="E2615">
            <v>85371090</v>
          </cell>
          <cell r="F2615" t="str">
            <v>Not applicable</v>
          </cell>
          <cell r="G2615">
            <v>85371090</v>
          </cell>
          <cell r="H2615" t="str">
            <v>Caixa de juncAo String Box de corrente continua para protecAo de sistemas fotovoltaicos, modelo HXCB06-2/2 com 2 entradas e 2 saídas, equipado com 4 dispositivos de protecAo contra surtos, possuí capacidade de conducAo de corrente maxima por entrada de 40A, tensAo maxima de operacAo de 600V, grau de protecAo IP65.</v>
          </cell>
        </row>
        <row r="2616">
          <cell r="B2616" t="str">
            <v>HXCB10R02102</v>
          </cell>
          <cell r="D2616">
            <v>40288003</v>
          </cell>
          <cell r="E2616">
            <v>85371090</v>
          </cell>
          <cell r="F2616" t="str">
            <v>Not applicable</v>
          </cell>
          <cell r="H2616" t="str">
            <v>Caixa de juncAo String Box de corrente continua para protecAo de sistemas fotovoltaicos, modelo HXCB10-2/2 com 2 entradas e 2 saídas, equipado com 6 dispositivos de protecAo contra surtos, possuí capacidade de conducAo de corrente maxima por entrada de 40A, tensAo maxima de operacAo de 1000V, grau de protecAo IP65.</v>
          </cell>
        </row>
        <row r="2617">
          <cell r="B2617" t="str">
            <v>HXCB10R02001</v>
          </cell>
          <cell r="D2617">
            <v>40288004</v>
          </cell>
          <cell r="E2617">
            <v>85371090</v>
          </cell>
          <cell r="F2617" t="str">
            <v>Not applicable</v>
          </cell>
          <cell r="H2617" t="str">
            <v>Caixa de juncAo String Box de corrente continua para protecAo de sistemas fotovoltaicos, modelo HXCB10S-2/2 com 2 entradas e 2 saídas, equipado com 2 dispositivos de interrupcAo/seccionamento, protecAo contra sobrecargas e 6 dispositivos de protecAo contra surtos, possuí capacidade de conducAo de corrente maxima por entrada de 40A, tensAo maxima de operacAo de 1000V, grau de protecAo IP65.</v>
          </cell>
        </row>
        <row r="2618">
          <cell r="B2618" t="str">
            <v>HXCB20R02001</v>
          </cell>
          <cell r="D2618">
            <v>40288005</v>
          </cell>
          <cell r="E2618">
            <v>85371090</v>
          </cell>
          <cell r="F2618" t="str">
            <v>Not applicable</v>
          </cell>
          <cell r="H2618" t="str">
            <v>Quadro de distribuicAo de corrente alternada monofasica para protecAo de sistemas fotovoltaicos, modelo HXDB20-2P, equipado com 1 dispositivo de interrupcAo/seccionamento, protecAo contra sobrecargas e 2 dispositivos de protecAo contra surtos, possuí capacidade de conducAo de corrente maxima de 20A, tensAo de operacAo de 127V/220V, faixa de frequencia de 50Hz a 60Hz, grau de protecAo IP65.</v>
          </cell>
        </row>
        <row r="2619">
          <cell r="B2619" t="str">
            <v>HXCB20R02002</v>
          </cell>
          <cell r="D2619">
            <v>40288006</v>
          </cell>
          <cell r="E2619">
            <v>85371090</v>
          </cell>
          <cell r="F2619" t="str">
            <v>Not applicable</v>
          </cell>
          <cell r="H2619" t="str">
            <v>Quadro de distribuicAo de corrente alternada monofasica para protecAo de sistemas fotovoltaicos, modelo HXDB40-2P, equipado com 1 dispositivo de interrupcAo/seccionamento, protecAo contra sobrecargas e 2 dispositivos de protecAo contra surtos, possuí capacidade de conducAo de corrente maxima de 40A, tensAo de operacAo de 127V/220V, faixa de frequencia de 50Hz a 60Hz, grau de protecAo IP65.</v>
          </cell>
        </row>
        <row r="2620">
          <cell r="B2620" t="str">
            <v>HXCB20R02003</v>
          </cell>
          <cell r="D2620">
            <v>40288007</v>
          </cell>
          <cell r="E2620">
            <v>85371090</v>
          </cell>
          <cell r="F2620" t="str">
            <v>Not applicable</v>
          </cell>
          <cell r="H2620" t="str">
            <v>Quadro de distribuicAo de corrente alternada monofasica para protecAo de sistemas fotovoltaicos, modelo HXDB63-2P, equipado com 1 dispositivo de interrupcAo/seccionamento, protecAo contra sobrecargas e 2 dispositivos de protecAo contra surtos, possuí capacidade de conducAo de corrente maxima de 63A, tensAo de operacAo de 127V/220V, faixa de frequencia de 50Hz a 60Hz, grau de protecAo IP65.</v>
          </cell>
        </row>
        <row r="2621">
          <cell r="B2621" t="str">
            <v>HXCB20R02101</v>
          </cell>
          <cell r="D2621">
            <v>40288008</v>
          </cell>
          <cell r="E2621">
            <v>85371090</v>
          </cell>
          <cell r="F2621" t="str">
            <v>Not applicable</v>
          </cell>
          <cell r="H2621" t="str">
            <v>Quadro de distribuicAo de corrente alternada trifasica para protecAo de sistemas fotovoltaicos, modelo HXDB50-3P, equipado com 1 dispositivo de interrupcAo/seccionamento, protecAo contra sobrecargas e 4 dispositivos de protecAo contra surtos, possuí capacidade de conducAo de corrente maxima de 50A, tensAo de operacAo de 127V/220V, faixa de frequencia de 50Hz a 60Hz, grau de protecAo IP65.</v>
          </cell>
        </row>
        <row r="2622">
          <cell r="B2622">
            <v>4020111530</v>
          </cell>
          <cell r="D2622" t="str">
            <v>PENDING</v>
          </cell>
          <cell r="E2622">
            <v>85065010</v>
          </cell>
          <cell r="F2622" t="str">
            <v>Not applicable</v>
          </cell>
          <cell r="H2622" t="str">
            <v>BATERIA ELeTRICA DE LÍTIO DE 3.6V 2.4Ah COM VOLUME EXTERIOR APROXIMADO DE 60cm³</v>
          </cell>
        </row>
        <row r="2623">
          <cell r="B2623">
            <v>4020111540</v>
          </cell>
          <cell r="D2623" t="str">
            <v>PENDING</v>
          </cell>
          <cell r="E2623">
            <v>85444200</v>
          </cell>
          <cell r="F2623" t="str">
            <v>Not applicable</v>
          </cell>
          <cell r="H2623" t="str">
            <v>CABO CONVERSOR, CONDUTOR ELeTRICO, ISOLADO PARA USO ELeTRICO, MUNIDO DE CONEXoES USB IS620N/IS620F RS 232, PARA APLICAcAO EM TENSAO DE ATe 380V</v>
          </cell>
        </row>
        <row r="2624">
          <cell r="B2624">
            <v>4020111550</v>
          </cell>
          <cell r="D2624" t="str">
            <v>PENDING</v>
          </cell>
          <cell r="E2624">
            <v>85414900</v>
          </cell>
          <cell r="F2624" t="str">
            <v>Not applicable</v>
          </cell>
          <cell r="H2624" t="str">
            <v>Dispositivo fotossensível semicondutor, sensor optico fotoeletrico por proximidade, de fonte de LED - GTB6-N1212 NPN 1052445</v>
          </cell>
        </row>
        <row r="2625">
          <cell r="B2625">
            <v>4020111560</v>
          </cell>
          <cell r="D2625" t="str">
            <v>PENDING</v>
          </cell>
          <cell r="E2625">
            <v>85371020</v>
          </cell>
          <cell r="F2625" t="str">
            <v>Not applicable</v>
          </cell>
          <cell r="H2625" t="str">
            <v>Controlador programavel RMG88.62C2, para comando eletrico de protecAo anti-chama, aplicavel em tensAo aproximada de 380V</v>
          </cell>
        </row>
        <row r="2626">
          <cell r="B2626">
            <v>2091500120</v>
          </cell>
          <cell r="D2626" t="str">
            <v>PENDING</v>
          </cell>
          <cell r="E2626">
            <v>85366910</v>
          </cell>
          <cell r="F2626" t="str">
            <v>Not applicable</v>
          </cell>
          <cell r="H2626" t="str">
            <v>Tomada bipolarizada tipo 8 2 pinos 90, para conexAo de circuitos eletricos de placa de comunicacAo, de tensAo de ate 380V</v>
          </cell>
        </row>
        <row r="2627">
          <cell r="B2627">
            <v>3027400199</v>
          </cell>
          <cell r="D2627" t="str">
            <v>204H0300</v>
          </cell>
          <cell r="E2627">
            <v>90289090</v>
          </cell>
          <cell r="F2627" t="str">
            <v>Need to update benefit</v>
          </cell>
          <cell r="H2627" t="str">
            <v>Base (Parte Inferior), parte para uso em montagem de hidrometros (contadores de líquidos) residenciais DN15</v>
          </cell>
        </row>
        <row r="2628">
          <cell r="B2628">
            <v>3027400239</v>
          </cell>
          <cell r="D2628" t="str">
            <v>204H0310</v>
          </cell>
          <cell r="E2628">
            <v>90289090</v>
          </cell>
          <cell r="F2628" t="str">
            <v>Need to update benefit</v>
          </cell>
          <cell r="H2628" t="str">
            <v>Base (Parte Inferior), parte para uso em montagem de hidrometros (contadores de líquidos) residenciais DN20</v>
          </cell>
        </row>
        <row r="2629">
          <cell r="B2629">
            <v>3027400219</v>
          </cell>
          <cell r="D2629" t="str">
            <v>204H0320</v>
          </cell>
          <cell r="E2629">
            <v>90289090</v>
          </cell>
          <cell r="F2629" t="str">
            <v>Need to update benefit</v>
          </cell>
          <cell r="H2629" t="str">
            <v>Base (Parte Inferior), parte para uso em montagem de hidrometros (contadores de líquidos) residenciais DN25</v>
          </cell>
        </row>
        <row r="2630">
          <cell r="B2630">
            <v>3027300049</v>
          </cell>
          <cell r="D2630" t="str">
            <v>204H0100</v>
          </cell>
          <cell r="E2630">
            <v>90289090</v>
          </cell>
          <cell r="F2630" t="str">
            <v>Need to update benefit</v>
          </cell>
          <cell r="H2630" t="str">
            <v>Base (Parte Intermediaria), parte para uso em montagem de hidrometros (contadores de líquidos) residenciais</v>
          </cell>
        </row>
        <row r="2631">
          <cell r="B2631">
            <v>3027500089</v>
          </cell>
          <cell r="D2631" t="str">
            <v>204H0400</v>
          </cell>
          <cell r="E2631">
            <v>90289090</v>
          </cell>
          <cell r="F2631" t="str">
            <v>Need to update benefit</v>
          </cell>
          <cell r="H2631" t="str">
            <v>Caixa de Encapsulamento de placa montada, parte para uso em montagem de hidrometros (contadores de líquidos) residenciais</v>
          </cell>
        </row>
        <row r="2632">
          <cell r="B2632">
            <v>3027200099</v>
          </cell>
          <cell r="D2632" t="str">
            <v>204H0200</v>
          </cell>
          <cell r="E2632">
            <v>90289090</v>
          </cell>
          <cell r="F2632" t="str">
            <v>Need to update benefit</v>
          </cell>
          <cell r="H2632" t="str">
            <v>Tampa, parte para uso em montagem de hidrometros (contadores de líquidos) residenciais</v>
          </cell>
        </row>
        <row r="2633">
          <cell r="B2633">
            <v>3027100059</v>
          </cell>
          <cell r="D2633" t="str">
            <v>204H0500</v>
          </cell>
          <cell r="E2633">
            <v>90289090</v>
          </cell>
          <cell r="F2633" t="str">
            <v>Need to update benefit</v>
          </cell>
          <cell r="H2633" t="str">
            <v>Tampa do Flip, parte para uso em montagem de hidrometros (contadores de líquidos) residenciais</v>
          </cell>
        </row>
        <row r="2634">
          <cell r="B2634">
            <v>1010100820</v>
          </cell>
          <cell r="D2634">
            <v>10910630</v>
          </cell>
          <cell r="E2634">
            <v>39074090</v>
          </cell>
          <cell r="F2634">
            <v>39074090</v>
          </cell>
          <cell r="H2634" t="str">
            <v>Policarbonato em formas primarias em grAnulos estabilizado contra radiacoes UV anti-chama, de cor azul PANTONE 287C, virgem</v>
          </cell>
        </row>
        <row r="2635">
          <cell r="B2635">
            <v>4020610490</v>
          </cell>
          <cell r="D2635" t="str">
            <v>PENDING</v>
          </cell>
          <cell r="E2635">
            <v>90319010</v>
          </cell>
          <cell r="F2635" t="str">
            <v>Not applicable</v>
          </cell>
          <cell r="H2635" t="str">
            <v>Pino de conectores, parte para uso em bancada de ensaio de medidores de energia eletrica</v>
          </cell>
        </row>
        <row r="2636">
          <cell r="B2636">
            <v>4020610500</v>
          </cell>
          <cell r="D2636" t="str">
            <v>PENDING</v>
          </cell>
          <cell r="E2636">
            <v>73209000</v>
          </cell>
          <cell r="F2636" t="str">
            <v>Not applicable</v>
          </cell>
          <cell r="H2636" t="str">
            <v>Mola espiral plana, de aco, para uso em bancada de ensaios de medidores eletricos</v>
          </cell>
        </row>
        <row r="2637">
          <cell r="B2637">
            <v>5130006830</v>
          </cell>
          <cell r="D2637">
            <v>20694097</v>
          </cell>
          <cell r="E2637">
            <v>85444200</v>
          </cell>
          <cell r="F2637">
            <v>85444200</v>
          </cell>
          <cell r="H2637" t="str">
            <v>CABO CONDUTOR ELeTRICO, ISOLADO PARA USO ELeTRICO, TIPO DE PROTEcAO TRANcADO, MUNIDO DE PEcA DE CONEXAO, PARA APLICAcAO EM TENSAO APROXIMADA DE 300V - PARA USO EM RELIGADOR TRIFaSICO HXD811</v>
          </cell>
        </row>
        <row r="2638">
          <cell r="B2638">
            <v>4020804330</v>
          </cell>
          <cell r="D2638" t="str">
            <v>PENDING</v>
          </cell>
          <cell r="E2638">
            <v>85444200</v>
          </cell>
          <cell r="F2638" t="str">
            <v>Not applicable</v>
          </cell>
          <cell r="H2638" t="str">
            <v>Cabo USB Tipo A Honeywell CBL-500-300-S00, condutor eletrico, isolado para uso eletrico, munido de conexAo USB Tipo A, para aplicacAo em tensAo aproximada de 5V USB Tipo A, para uso em leitores de  codigo de barras 2D</v>
          </cell>
        </row>
        <row r="2639">
          <cell r="B2639">
            <v>3100913846</v>
          </cell>
          <cell r="D2639">
            <v>21331204</v>
          </cell>
          <cell r="E2639">
            <v>48211000</v>
          </cell>
          <cell r="F2639">
            <v>48211000</v>
          </cell>
          <cell r="H2639" t="str">
            <v>Etiqueta Reflexiva de papel, impressa, na cor amarelo fluorescente, dimensoes (450mm x 65mm x 0,4mm), material resina sintetica, Material da tinta: Epoxi Fenolico, Adesivo de etiqueta: Cola acrílica</v>
          </cell>
        </row>
        <row r="2640">
          <cell r="B2640" t="str">
            <v>MJN72R12005-CELESC</v>
          </cell>
          <cell r="D2640">
            <v>20691389</v>
          </cell>
          <cell r="E2640">
            <v>85176272</v>
          </cell>
          <cell r="F2640">
            <v>85176272</v>
          </cell>
          <cell r="G2640">
            <v>85176272</v>
          </cell>
          <cell r="H2640"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 E MARCA XXXX, MODELO XXXX, ANO DE FABRICACAO XXXX, NUMERO DE SERIE YYYY A ZZZZ.</v>
          </cell>
        </row>
        <row r="2641">
          <cell r="B2641">
            <v>4031000400</v>
          </cell>
          <cell r="D2641" t="str">
            <v>PENDING</v>
          </cell>
          <cell r="E2641">
            <v>73269090</v>
          </cell>
          <cell r="F2641" t="str">
            <v>Not applicable</v>
          </cell>
          <cell r="H2641" t="str">
            <v>Postico de aco inoxidavel S136, obtido por processo de torno, para molde Cronos NG 7022 96x27.5x78.14mm S136</v>
          </cell>
        </row>
        <row r="2642">
          <cell r="B2642">
            <v>7020501440</v>
          </cell>
          <cell r="D2642" t="str">
            <v>PENDING</v>
          </cell>
          <cell r="E2642">
            <v>84719019</v>
          </cell>
          <cell r="F2642" t="str">
            <v>Not applicable</v>
          </cell>
          <cell r="H2642" t="str">
            <v>Programadora automatica de dados de firmware em circuitos integrados eletronicos - AP8000</v>
          </cell>
        </row>
        <row r="2643">
          <cell r="B2643">
            <v>7029902250</v>
          </cell>
          <cell r="D2643" t="str">
            <v>PENDING</v>
          </cell>
          <cell r="E2643">
            <v>85369090</v>
          </cell>
          <cell r="F2643" t="str">
            <v>Not applicable</v>
          </cell>
          <cell r="H2643" t="str">
            <v>Soquete para conexAo de programador de firmware em circuitos eletronicos, tensAo ate 380V - TQFP100(14*14)-S05</v>
          </cell>
        </row>
        <row r="2644">
          <cell r="B2644">
            <v>7029902260</v>
          </cell>
          <cell r="D2644" t="str">
            <v>PENDING</v>
          </cell>
          <cell r="E2644">
            <v>85369090</v>
          </cell>
          <cell r="F2644" t="str">
            <v>Not applicable</v>
          </cell>
          <cell r="H2644" t="str">
            <v>Soquete para conexAo de programador de firmware em circuitos eletronicos, tensAo ate 380V - PQFP80(12*12)-S02</v>
          </cell>
        </row>
        <row r="2645">
          <cell r="B2645">
            <v>7029902270</v>
          </cell>
          <cell r="D2645" t="str">
            <v>PENDING</v>
          </cell>
          <cell r="E2645">
            <v>85369090</v>
          </cell>
          <cell r="F2645" t="str">
            <v>Not applicable</v>
          </cell>
          <cell r="H2645" t="str">
            <v>Soquete para conexAo de programador de firmware em circuitos eletronicos, tensAo ate 380V - PQFP176(24*24)-S03</v>
          </cell>
        </row>
        <row r="2646">
          <cell r="B2646">
            <v>7029902280</v>
          </cell>
          <cell r="D2646" t="str">
            <v>PENDING</v>
          </cell>
          <cell r="E2646">
            <v>85369090</v>
          </cell>
          <cell r="F2646" t="str">
            <v>Not applicable</v>
          </cell>
          <cell r="H2646" t="str">
            <v>Soquete para conexAo de programador de firmware em circuitos eletronicos, tensAo ate 380V - TQFP48(7x7)-AG127</v>
          </cell>
        </row>
        <row r="2647">
          <cell r="B2647">
            <v>7029902290</v>
          </cell>
          <cell r="D2647" t="str">
            <v>PENDING</v>
          </cell>
          <cell r="E2647">
            <v>85369090</v>
          </cell>
          <cell r="F2647" t="str">
            <v>Not applicable</v>
          </cell>
          <cell r="H2647" t="str">
            <v>Soquete para conexAo de programador de firmware em circuitos eletronicos, tensAo ate 380V - TQFP100(14x14)-AG74</v>
          </cell>
        </row>
        <row r="2648">
          <cell r="B2648">
            <v>4070800700</v>
          </cell>
          <cell r="D2648" t="str">
            <v>PENDING</v>
          </cell>
          <cell r="E2648">
            <v>94032090</v>
          </cell>
          <cell r="F2648" t="str">
            <v>Not applicable</v>
          </cell>
          <cell r="H2648" t="str">
            <v>Mesa de metal, para uso industrial em linha de montagem de componentes eletronicos - duas camadas, 600*600*900mm; altura da camada unica450mm.</v>
          </cell>
        </row>
        <row r="2649">
          <cell r="B2649">
            <v>7020501650</v>
          </cell>
          <cell r="D2649">
            <v>99028</v>
          </cell>
          <cell r="E2649">
            <v>84283300</v>
          </cell>
          <cell r="F2649" t="str">
            <v>Not applicable</v>
          </cell>
          <cell r="H2649" t="str">
            <v>Maquina alimentadora de placas de circuito impresso, de acAo contínua por elevacAo e transporte horizontal, de correia, para linha de montagem de componentes eletronicos em superfície SMD - LD-LL-TN</v>
          </cell>
        </row>
        <row r="2650">
          <cell r="B2650">
            <v>7020501620</v>
          </cell>
          <cell r="D2650">
            <v>99022</v>
          </cell>
          <cell r="E2650">
            <v>84798999</v>
          </cell>
          <cell r="F2650" t="str">
            <v>Not applicable</v>
          </cell>
          <cell r="H2650" t="str">
            <v>Maquina de aplicacAo automatica de pasta de solda em componentes eletronicos montados em placas de circuito impresso  por processo de montagem em superfície SMD</v>
          </cell>
        </row>
        <row r="2651">
          <cell r="B2651">
            <v>7020501700</v>
          </cell>
          <cell r="D2651">
            <v>98922</v>
          </cell>
          <cell r="E2651">
            <v>84283300</v>
          </cell>
          <cell r="F2651" t="str">
            <v>Not applicable</v>
          </cell>
          <cell r="G2651">
            <v>84283300</v>
          </cell>
          <cell r="H2651" t="str">
            <v>Linha de montagem de equipamentos eletronicos, com esteira de correia automatica com velocidade controlavel, de acAo contínua, para uso em operacAo de montagem de componentes em equipamentos eletronicos</v>
          </cell>
        </row>
        <row r="2652">
          <cell r="B2652">
            <v>7020501630</v>
          </cell>
          <cell r="D2652">
            <v>98918</v>
          </cell>
          <cell r="E2652">
            <v>90314990</v>
          </cell>
          <cell r="F2652" t="str">
            <v>Not applicable</v>
          </cell>
          <cell r="H2652" t="str">
            <v>Maquina para inspecAo optica automatica de pasta de solda aplicada em componentes eletronicos montados em placas de circuito impresso</v>
          </cell>
        </row>
        <row r="2653">
          <cell r="B2653">
            <v>7020501340</v>
          </cell>
          <cell r="D2653">
            <v>98995</v>
          </cell>
          <cell r="E2653">
            <v>84798999</v>
          </cell>
          <cell r="F2653" t="str">
            <v>Not applicable</v>
          </cell>
          <cell r="H2653" t="str">
            <v>Maquina para montagem automatica de componentes eletronicos em superícies SMD de placas de circuito impresso, marca Panasonic, modelo NPM-W2 (H16+H16)+DGS, ano de fabricacAo 202x, numero de serie YYYY</v>
          </cell>
        </row>
        <row r="2654">
          <cell r="B2654">
            <v>7020501350</v>
          </cell>
          <cell r="D2654">
            <v>99018</v>
          </cell>
          <cell r="E2654">
            <v>84798999</v>
          </cell>
          <cell r="F2654" t="str">
            <v>Not applicable</v>
          </cell>
          <cell r="H2654" t="str">
            <v>Maquina para montagem automatica de componentes eletronicos em superícies SMD de placas de circuito impresso, marca Panasonic, modelo NPM-W2 (H8+H3+Tary), ano de fabricacAo 202x, numero de serie YYYY</v>
          </cell>
        </row>
        <row r="2655">
          <cell r="B2655">
            <v>7020501670</v>
          </cell>
          <cell r="D2655">
            <v>98922</v>
          </cell>
          <cell r="E2655">
            <v>84283300</v>
          </cell>
          <cell r="F2655" t="str">
            <v>Not applicable</v>
          </cell>
          <cell r="G2655">
            <v>84283300</v>
          </cell>
          <cell r="H2655" t="str">
            <v>Linha de montagem de equipamentos eletronicos, com esteira de correia automatica com velocidade controlavel, de acAo contínua, para uso em operacAo de montagem de componentes em equipamentos eletronicos</v>
          </cell>
        </row>
        <row r="2656">
          <cell r="B2656">
            <v>7020501570</v>
          </cell>
          <cell r="D2656">
            <v>98920</v>
          </cell>
          <cell r="E2656">
            <v>85143900</v>
          </cell>
          <cell r="F2656" t="str">
            <v>Not applicable</v>
          </cell>
          <cell r="H2656" t="str">
            <v>Forno eletrico industrial de refluxo para solda sem chumbo (leadfree) de componentes eletronicos em placas de circuito impresso</v>
          </cell>
        </row>
        <row r="2657">
          <cell r="B2657">
            <v>7020501690</v>
          </cell>
          <cell r="D2657">
            <v>98922</v>
          </cell>
          <cell r="E2657">
            <v>84283300</v>
          </cell>
          <cell r="F2657" t="str">
            <v>Not applicable</v>
          </cell>
          <cell r="G2657">
            <v>84283300</v>
          </cell>
          <cell r="H2657" t="str">
            <v>Linha de montagem de equipamentos eletronicos, com esteira de correia automatica com velocidade controlavel, de acAo contínua, para uso em operacAo de montagem de componentes em equipamentos eletronicos</v>
          </cell>
        </row>
        <row r="2658">
          <cell r="B2658">
            <v>7020501610</v>
          </cell>
          <cell r="D2658">
            <v>98994</v>
          </cell>
          <cell r="E2658">
            <v>90314990</v>
          </cell>
          <cell r="F2658" t="str">
            <v>Not applicable</v>
          </cell>
          <cell r="H2658" t="str">
            <v>Maquinas para inspecAo otica automatica (AOI) para placas de circuito impressos (PCI), para inspecAo e revisAo de falta de componentes SMD e PTH, excesso ou falta de solda nos "pad", deslocamento de componentes, valores e polaridade de componentes SMD para placas de circuito impresso.</v>
          </cell>
        </row>
        <row r="2659">
          <cell r="B2659">
            <v>7020501680</v>
          </cell>
          <cell r="D2659">
            <v>98922</v>
          </cell>
          <cell r="E2659">
            <v>84283300</v>
          </cell>
          <cell r="F2659" t="str">
            <v>Not applicable</v>
          </cell>
          <cell r="G2659">
            <v>84283300</v>
          </cell>
          <cell r="H2659" t="str">
            <v>Linha de montagem de equipamentos eletronicos, com esteira de correia automatica com velocidade controlavel, de acAo contínua, para uso em operacAo de montagem de componentes em equipamentos eletronicos</v>
          </cell>
        </row>
        <row r="2660">
          <cell r="B2660">
            <v>7020501640</v>
          </cell>
          <cell r="D2660">
            <v>98923</v>
          </cell>
          <cell r="E2660">
            <v>84283300</v>
          </cell>
          <cell r="F2660" t="str">
            <v>Not applicable</v>
          </cell>
          <cell r="H2660" t="str">
            <v>Maquina alimentadora de linha de montagem de componentes eletronicos, de acAo contínua por elevacAo e transporte horizontal, de correia, para transporte de placas semi-montadas atraves da linha de montagem</v>
          </cell>
        </row>
        <row r="2661">
          <cell r="B2661">
            <v>7080380610</v>
          </cell>
          <cell r="D2661">
            <v>99010</v>
          </cell>
          <cell r="E2661">
            <v>84799090</v>
          </cell>
          <cell r="F2661" t="str">
            <v>Not applicable</v>
          </cell>
          <cell r="H2661" t="str">
            <v>Alimentador (feeder), parte de maquina para montagem de componentes eletronicos em superfícies SMD - 8mm</v>
          </cell>
        </row>
        <row r="2662">
          <cell r="B2662">
            <v>7080380620</v>
          </cell>
          <cell r="D2662">
            <v>99005</v>
          </cell>
          <cell r="E2662">
            <v>84799090</v>
          </cell>
          <cell r="F2662" t="str">
            <v>Not applicable</v>
          </cell>
          <cell r="H2662" t="str">
            <v>Alimentador (feeder), parte de maquina para montagem de componentes eletronicos em superfícies SMD - 12/16mm</v>
          </cell>
        </row>
        <row r="2663">
          <cell r="B2663">
            <v>7080380600</v>
          </cell>
          <cell r="D2663">
            <v>99019</v>
          </cell>
          <cell r="E2663">
            <v>84799090</v>
          </cell>
          <cell r="F2663" t="str">
            <v>Not applicable</v>
          </cell>
          <cell r="H2663" t="str">
            <v>Alimentador (feeder), parte de maquina para montagem de componentes eletronicos em superfícies SMD - 24/32mm</v>
          </cell>
        </row>
        <row r="2664">
          <cell r="B2664">
            <v>7080381390</v>
          </cell>
          <cell r="D2664">
            <v>99020</v>
          </cell>
          <cell r="E2664">
            <v>84799090</v>
          </cell>
          <cell r="F2664" t="str">
            <v>Not applicable</v>
          </cell>
          <cell r="H2664" t="str">
            <v>Alimentador (feeder), parte de maquina para montagem de componentes eletronicos em superfícies SMD - 44/56mm</v>
          </cell>
        </row>
        <row r="2665">
          <cell r="B2665">
            <v>7080381460</v>
          </cell>
          <cell r="D2665">
            <v>99021</v>
          </cell>
          <cell r="E2665">
            <v>84799090</v>
          </cell>
          <cell r="F2665" t="str">
            <v>Not applicable</v>
          </cell>
          <cell r="H2665" t="str">
            <v>Alimentador (feeder) vibratorio, para alimentador tubular vibratorio de 3 fileiras, parte de maquina para montagem de componentes eletronicos em superfícies SMD</v>
          </cell>
        </row>
        <row r="2666">
          <cell r="B2666">
            <v>7020500900</v>
          </cell>
          <cell r="D2666">
            <v>98921</v>
          </cell>
          <cell r="E2666">
            <v>84799090</v>
          </cell>
          <cell r="F2666" t="str">
            <v>Not applicable</v>
          </cell>
          <cell r="H2666" t="str">
            <v>Alimentador (feeder), com rodas, parte de maquina para montagem de componentes eletronicos em superfícies SMD</v>
          </cell>
        </row>
        <row r="2667">
          <cell r="B2667">
            <v>4020408870</v>
          </cell>
          <cell r="D2667">
            <v>99016</v>
          </cell>
          <cell r="E2667">
            <v>84799090</v>
          </cell>
          <cell r="F2667" t="str">
            <v>Not applicable</v>
          </cell>
          <cell r="G2667">
            <v>84799090</v>
          </cell>
          <cell r="H2667" t="str">
            <v>Bocal (nozzle) de succAo, parte de maquina para montagem de componentes eletronicos em superfícies SMD</v>
          </cell>
        </row>
        <row r="2668">
          <cell r="B2668">
            <v>4020408880</v>
          </cell>
          <cell r="D2668">
            <v>99016</v>
          </cell>
          <cell r="E2668">
            <v>84799090</v>
          </cell>
          <cell r="F2668" t="str">
            <v>Not applicable</v>
          </cell>
          <cell r="G2668">
            <v>84799090</v>
          </cell>
          <cell r="H2668" t="str">
            <v>Bocal (nozzle) de succAo, parte de maquina para montagem de componentes eletronicos em superfícies SMD</v>
          </cell>
        </row>
        <row r="2669">
          <cell r="B2669">
            <v>4020402420</v>
          </cell>
          <cell r="C2669">
            <v>4020402420</v>
          </cell>
          <cell r="D2669">
            <v>99016</v>
          </cell>
          <cell r="E2669">
            <v>84799090</v>
          </cell>
          <cell r="F2669" t="str">
            <v>Not applicable</v>
          </cell>
          <cell r="G2669">
            <v>84799090</v>
          </cell>
          <cell r="H2669" t="str">
            <v>Bocal (nozzle) de succAo, parte de maquina para montagem de componentes eletronicos em superfícies SMD</v>
          </cell>
        </row>
        <row r="2670">
          <cell r="B2670">
            <v>4020408890</v>
          </cell>
          <cell r="D2670">
            <v>99016</v>
          </cell>
          <cell r="E2670">
            <v>84799090</v>
          </cell>
          <cell r="F2670" t="str">
            <v>Not applicable</v>
          </cell>
          <cell r="G2670">
            <v>84799090</v>
          </cell>
          <cell r="H2670" t="str">
            <v>Bocal (nozzle) de succAo, parte de maquina para montagem de componentes eletronicos em superfícies SMD</v>
          </cell>
        </row>
        <row r="2671">
          <cell r="B2671">
            <v>7020501600</v>
          </cell>
          <cell r="D2671" t="str">
            <v>PENDING</v>
          </cell>
          <cell r="E2671">
            <v>85176259</v>
          </cell>
          <cell r="F2671" t="str">
            <v>Not applicable</v>
          </cell>
          <cell r="H2671" t="str">
            <v>Servidor serial, para recepcAo e transmissAo de dados em rede com fio, com linha de coordenacAo de seguranca - para uso em conjunto com maquina de montagem de componentes eletronicos em superfície SMD</v>
          </cell>
        </row>
        <row r="2672">
          <cell r="B2672">
            <v>7070504740</v>
          </cell>
          <cell r="D2672">
            <v>98929</v>
          </cell>
          <cell r="E2672">
            <v>85176234</v>
          </cell>
          <cell r="F2672" t="str">
            <v>Not applicable</v>
          </cell>
          <cell r="H2672" t="str">
            <v>Aparelho para comutacAo de pacotes de dados (switch), recepcAo, conversAo e transmissAo de dados - interruptor de rede TPLINK TL-SG1016DT</v>
          </cell>
        </row>
        <row r="2673">
          <cell r="B2673">
            <v>7020501410</v>
          </cell>
          <cell r="D2673" t="str">
            <v>PENDING</v>
          </cell>
          <cell r="E2673">
            <v>90318099</v>
          </cell>
          <cell r="F2673" t="str">
            <v>Not applicable</v>
          </cell>
          <cell r="H2673" t="str">
            <v>Instrumento para analise e medida de temperatura de forno eletrico industrial de solda por refluxo</v>
          </cell>
        </row>
        <row r="2674">
          <cell r="B2674">
            <v>7020501390</v>
          </cell>
          <cell r="D2674">
            <v>98996</v>
          </cell>
          <cell r="E2674">
            <v>87168000</v>
          </cell>
          <cell r="F2674" t="str">
            <v>Not applicable</v>
          </cell>
          <cell r="H2674" t="str">
            <v>Carrinho de tracAo manual (veículo nAo autopropulsado), para armazenamento e transporte de componentes eletronicos SMD, com dois racks de bandejas para carregamento de componentes</v>
          </cell>
        </row>
        <row r="2675">
          <cell r="B2675">
            <v>7020501400</v>
          </cell>
          <cell r="D2675" t="str">
            <v>PENDING</v>
          </cell>
          <cell r="E2675">
            <v>94032090</v>
          </cell>
          <cell r="F2675" t="str">
            <v>Not applicable</v>
          </cell>
          <cell r="H2675" t="str">
            <v>Prateleira de aco inoxidavel, para armazenamento de bandejas e rolos de componentes eletronicos SMD, anti-estatica (ESD)</v>
          </cell>
        </row>
        <row r="2676">
          <cell r="B2676">
            <v>7020702730</v>
          </cell>
          <cell r="D2676">
            <v>98914</v>
          </cell>
          <cell r="E2676">
            <v>84198920</v>
          </cell>
          <cell r="F2676" t="str">
            <v>Not applicable</v>
          </cell>
          <cell r="H2676" t="str">
            <v>Estufa à prova de umidade para armazenamento de componentes eletronicos SMD</v>
          </cell>
        </row>
        <row r="2677">
          <cell r="B2677">
            <v>7020501290</v>
          </cell>
          <cell r="D2677">
            <v>99027</v>
          </cell>
          <cell r="E2677">
            <v>90328911</v>
          </cell>
          <cell r="F2677" t="str">
            <v>Not applicable</v>
          </cell>
          <cell r="H2677" t="str">
            <v>Fonte estabilizada eletronica para regulacAo, protecAo e estabilizacAo de voltagem, automatica, com potencia de 20kVA</v>
          </cell>
        </row>
        <row r="2678">
          <cell r="B2678">
            <v>7050100220</v>
          </cell>
          <cell r="D2678">
            <v>98924</v>
          </cell>
          <cell r="E2678">
            <v>84433232</v>
          </cell>
          <cell r="F2678" t="str">
            <v>Not applicable</v>
          </cell>
          <cell r="H2678" t="str">
            <v>Impressora de transferencia termica de cera solida, para impressAo de codigos de barras em etiquetas adesivas, capaz de conexAo com maquina automatica de processamento de dados ou rede de dados</v>
          </cell>
        </row>
        <row r="2679">
          <cell r="B2679">
            <v>7080380090</v>
          </cell>
          <cell r="D2679" t="str">
            <v>PENDING</v>
          </cell>
          <cell r="E2679">
            <v>84411090</v>
          </cell>
          <cell r="F2679" t="str">
            <v>Not applicable</v>
          </cell>
          <cell r="H2679" t="str">
            <v>Cortadeira bobinadora de etiquetas, de velocidade de bobinado inferior a 2000m/min</v>
          </cell>
        </row>
        <row r="2680">
          <cell r="B2680">
            <v>4070300080</v>
          </cell>
          <cell r="D2680" t="str">
            <v>PENDING</v>
          </cell>
          <cell r="E2680">
            <v>96121000</v>
          </cell>
          <cell r="F2680" t="str">
            <v>Not applicable</v>
          </cell>
          <cell r="H2680" t="str">
            <v>Fita impressora tintada para impressora de codigos de barras, montada em rolo</v>
          </cell>
        </row>
        <row r="2681">
          <cell r="B2681">
            <v>4040300080</v>
          </cell>
          <cell r="D2681" t="str">
            <v>PENDING</v>
          </cell>
          <cell r="E2681">
            <v>48219000</v>
          </cell>
          <cell r="F2681" t="str">
            <v>Not applicable</v>
          </cell>
          <cell r="H2681" t="str">
            <v>Etiquetas de papel, adesivas, nAo impressas, para impressAo de codigo de barras</v>
          </cell>
        </row>
        <row r="2682">
          <cell r="B2682">
            <v>7029902000</v>
          </cell>
          <cell r="D2682" t="str">
            <v>PENDING</v>
          </cell>
          <cell r="E2682">
            <v>94032090</v>
          </cell>
          <cell r="F2682" t="str">
            <v>Not applicable</v>
          </cell>
          <cell r="H2682" t="str">
            <v>Mesa de metal, para uso industrial em linha de montagem de componentes eletronicos: 800*600*750mm, mesa plana, couro antiestatico no tampo da mesa, rolamento ≥ 50Kg</v>
          </cell>
        </row>
        <row r="2683">
          <cell r="B2683">
            <v>7020501280</v>
          </cell>
          <cell r="D2683" t="str">
            <v>PENDING</v>
          </cell>
          <cell r="E2683">
            <v>94032090</v>
          </cell>
          <cell r="F2683" t="str">
            <v>Not applicable</v>
          </cell>
          <cell r="H2683" t="str">
            <v>Bancada de metal, para uso industrial em linha de montagem de componentes eletronicos: 1200*750*1600mm, com mesa de altura 750mm, equipada com luzes LED e lupa para inspecAo de qualidade</v>
          </cell>
        </row>
        <row r="2684">
          <cell r="B2684">
            <v>4010201410</v>
          </cell>
          <cell r="D2684">
            <v>98931</v>
          </cell>
          <cell r="E2684">
            <v>85152900</v>
          </cell>
          <cell r="F2684" t="str">
            <v>Not applicable</v>
          </cell>
          <cell r="G2684">
            <v>85152900</v>
          </cell>
          <cell r="H2684" t="str">
            <v>EstacAo de solda com pistola de solda para soldagem de metais por resistencia, com regulador manual - QUICK 850A</v>
          </cell>
        </row>
        <row r="2685">
          <cell r="B2685">
            <v>7020500410</v>
          </cell>
          <cell r="D2685">
            <v>98916</v>
          </cell>
          <cell r="E2685">
            <v>84743900</v>
          </cell>
          <cell r="F2685" t="str">
            <v>Not applicable</v>
          </cell>
          <cell r="H2685" t="str">
            <v>Maquina misturadora de pasta de solda</v>
          </cell>
        </row>
        <row r="2686">
          <cell r="B2686">
            <v>4020804350</v>
          </cell>
          <cell r="D2686">
            <v>5737</v>
          </cell>
          <cell r="E2686">
            <v>85371090</v>
          </cell>
          <cell r="F2686" t="str">
            <v>Not applicable</v>
          </cell>
          <cell r="H2686" t="str">
            <v>Quadro de alimentacAo de energia off-line, de tensAo entre 100V e 240V, para maquina de montagem de componentes eletronicos SMD</v>
          </cell>
        </row>
        <row r="2687">
          <cell r="B2687">
            <v>7020400410</v>
          </cell>
          <cell r="D2687">
            <v>98912</v>
          </cell>
          <cell r="E2687">
            <v>84688090</v>
          </cell>
          <cell r="F2687" t="str">
            <v>Not applicable</v>
          </cell>
          <cell r="H2687" t="str">
            <v>Maquina de solda por onda sem chumbo - Nitto-E-FLOW-450-3H-III, pre-aquecimento de dupla face</v>
          </cell>
        </row>
        <row r="2688">
          <cell r="B2688">
            <v>5210101040</v>
          </cell>
          <cell r="D2688">
            <v>20610704</v>
          </cell>
          <cell r="E2688">
            <v>90289090</v>
          </cell>
          <cell r="F2688" t="str">
            <v>Not applicable</v>
          </cell>
          <cell r="G2688">
            <v>90289090</v>
          </cell>
          <cell r="H2688" t="str">
            <v xml:space="preserve">PLACA DE CIRCUITO IMPRESSO MONTADA COM COMPONENTES ELETRoNICOS, ADAPTADORA PARA COMUNICAcAO DE SAÍDA DE PULSO, PARTE PARA USO EM CONTADORES DE LÍQUIDOS (HIDRoMETROS) RESIDENCIAIS.	</v>
          </cell>
        </row>
        <row r="2689">
          <cell r="B2689">
            <v>5210101560</v>
          </cell>
          <cell r="D2689">
            <v>20610705</v>
          </cell>
          <cell r="E2689">
            <v>90289090</v>
          </cell>
          <cell r="F2689" t="str">
            <v>Not applicable</v>
          </cell>
          <cell r="G2689">
            <v>90289090</v>
          </cell>
          <cell r="H2689" t="str">
            <v xml:space="preserve">PLACA DE CIRCUITO IMPRESSO MONTADA COM COMPONENTES ELETRoNICOS PARA USO EM CONTADORES DE LÍQUIDOS (HIDRoMETROS) RESIDENCIAIS.	</v>
          </cell>
        </row>
        <row r="2690">
          <cell r="B2690" t="str">
            <v>600100765001</v>
          </cell>
          <cell r="D2690" t="str">
            <v>PENDING</v>
          </cell>
          <cell r="E2690">
            <v>85044090</v>
          </cell>
          <cell r="F2690" t="str">
            <v>Not applicable</v>
          </cell>
          <cell r="H2690" t="str">
            <v>Inversores para sistemas fotovoltaicos string, para rede monofasica, com potencia nominal de saída de 250.000W a 40 graus Celsius, com potencia maxima de saída de 250.000W a 40 graus Celsius, e tensAo nominal de saída de 800 a 920VCA, de marca XXXX, modelo YYYY, ano de fabricacAo ZZZZ e numeros de serie de AAAA a BBBB - para conversAo de energia corrente contínua em energia corrente alternada, de tecnologia de controle microprocessado, corrente nominal de saída de 162.4A, "on-grid", faixa de frequencia 50/60 Hz, eficiencia maxima de 99,01por cento, gabinetes com grau de protecAo IP65, projetados para suportar operacAo em temperaturas na faixa de -25 a 60 graus Celsius, 12 MPPTs</v>
          </cell>
        </row>
        <row r="2691">
          <cell r="B2691" t="str">
            <v>PENDING</v>
          </cell>
          <cell r="D2691">
            <v>40294800</v>
          </cell>
          <cell r="E2691">
            <v>85381000</v>
          </cell>
          <cell r="F2691">
            <v>85381000</v>
          </cell>
          <cell r="G2691">
            <v>85381000</v>
          </cell>
          <cell r="H2691" t="str">
            <v>Gabinete plastico, parte para montagem de quadros de distribuicAo de energia eletrica, incluindo prensa-cabos e chapa de aco fixada com parafusos; e desprovido de componentes/aparelhos eletronicos internos</v>
          </cell>
        </row>
        <row r="2692">
          <cell r="B2692" t="str">
            <v>MJN72R12001-CPL.V2P</v>
          </cell>
          <cell r="D2692">
            <v>20601205</v>
          </cell>
          <cell r="E2692">
            <v>85176272</v>
          </cell>
          <cell r="F2692">
            <v>85176272</v>
          </cell>
          <cell r="G2692">
            <v>85176272</v>
          </cell>
          <cell r="H2692"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 e modelo MJN72.R12001.</v>
          </cell>
        </row>
        <row r="2693">
          <cell r="B2693" t="str">
            <v>MJN72R12002-CPL.V2P</v>
          </cell>
          <cell r="D2693">
            <v>20601206</v>
          </cell>
          <cell r="E2693">
            <v>85176272</v>
          </cell>
          <cell r="F2693">
            <v>85176272</v>
          </cell>
          <cell r="G2693">
            <v>85176272</v>
          </cell>
          <cell r="H2693"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 e modelo MJN72.R12002.</v>
          </cell>
        </row>
        <row r="2694">
          <cell r="B2694" t="str">
            <v>MJN89.R110</v>
          </cell>
          <cell r="D2694">
            <v>20691373</v>
          </cell>
          <cell r="E2694">
            <v>85176272</v>
          </cell>
          <cell r="F2694">
            <v>85176272</v>
          </cell>
          <cell r="G2694">
            <v>85176272</v>
          </cell>
          <cell r="H2694" t="str">
            <v xml:space="preserve">Modulo de comunicacAo Wi-SUN para medidor WAISON, para comunicacAo de dados sem fio (recepcAo, conversAo e transmissAo), digital, emissor de radio frequencia com receptor incorporado, tensAo de 16V, capaz de operar na faixa de frequencia ISM de 902 a 928MHz operando em topologia "Mesh" ou "Star", com taxa de transmissAo de ate 150 Kbps, compatíveis com o padrAo WiSUN, para medidores inteligentes de energia eletrica. Modelo:xxxx; Marca: xxxx. Numero de serie: XXXXXXXXXX-YYYYYYYYYY; Ano de fabricacAo: xxxx; </v>
          </cell>
        </row>
        <row r="2695">
          <cell r="B2695">
            <v>2150160550</v>
          </cell>
          <cell r="D2695">
            <v>20661761</v>
          </cell>
          <cell r="E2695">
            <v>85340033</v>
          </cell>
          <cell r="F2695" t="str">
            <v>Not applicable</v>
          </cell>
          <cell r="G2695">
            <v>85340033</v>
          </cell>
          <cell r="H2695" t="str">
            <v>PLACA DE CIRCUITO IMPRESSO, DE NATUREZA DO MATERIAL BASE RÍGIDO, COMPOSIcAO DA PLACA DE ISOLANTE DE RESINA EPoXIDA E TECIDO DE FIBRA DE VIDRO, ESTRUTURA DE DUPLA FACE E INTERLIGAcAO ENTRE FACES POR FUROS METALIZADOS; dimensoes 89,28mm x 289,15mm</v>
          </cell>
        </row>
        <row r="2696">
          <cell r="B2696">
            <v>2150160520</v>
          </cell>
          <cell r="D2696">
            <v>20661762</v>
          </cell>
          <cell r="E2696">
            <v>85340033</v>
          </cell>
          <cell r="F2696" t="str">
            <v>Not applicable</v>
          </cell>
          <cell r="G2696">
            <v>85340033</v>
          </cell>
          <cell r="H2696" t="str">
            <v>PLACA DE CIRCUITO IMPRESSO, DE NATUREZA DO MATERIAL BASE RÍGIDO, COMPOSIcAO DA PLACA DE ISOLANTE DE RESINA EPoXIDA E TECIDO DE FIBRA DE VIDRO, ESTRUTURA DE DUPLA FACE E INTERLIGAcAO ENTRE FACES POR FUROS METALIZADOS; dimensoes 247mm x 236mm</v>
          </cell>
        </row>
        <row r="2697">
          <cell r="B2697">
            <v>2150160490</v>
          </cell>
          <cell r="D2697">
            <v>20661763</v>
          </cell>
          <cell r="E2697">
            <v>85340033</v>
          </cell>
          <cell r="F2697" t="str">
            <v>Not applicable</v>
          </cell>
          <cell r="G2697">
            <v>85340033</v>
          </cell>
          <cell r="H2697" t="str">
            <v>PLACA DE CIRCUITO IMPRESSO, DE NATUREZA DO MATERIAL BASE RÍGIDO, COMPOSIcAO DA PLACA DE ISOLANTE DE RESINA EPoXIDA E TECIDO DE FIBRA DE VIDRO, ESTRUTURA DE DUPLA FACE E INTERLIGAcAO ENTRE FACES POR FUROS METALIZADOS; dimensoes 247mm x 235mm</v>
          </cell>
        </row>
        <row r="2698">
          <cell r="B2698">
            <v>7020703690</v>
          </cell>
          <cell r="D2698">
            <v>98922</v>
          </cell>
          <cell r="E2698">
            <v>84283300</v>
          </cell>
          <cell r="F2698" t="str">
            <v>Not applicable</v>
          </cell>
          <cell r="G2698">
            <v>84283300</v>
          </cell>
          <cell r="H2698" t="str">
            <v>Linha de montagem de equipamentos eletronicos, com esteira de correia automatica com velocidade controlavel, de acAo contínua, para uso em operacAo de montagem de componentes em equipamentos eletronicos - 22 metros, com alimentacAo, com placa de retorno, incluindo elevador, incluindo carrinho de material, incluindo palete de rotacAo</v>
          </cell>
        </row>
        <row r="2699">
          <cell r="B2699">
            <v>7029901590</v>
          </cell>
          <cell r="D2699">
            <v>99029</v>
          </cell>
          <cell r="E2699">
            <v>84198920</v>
          </cell>
          <cell r="F2699" t="str">
            <v>Not applicable</v>
          </cell>
          <cell r="H2699" t="str">
            <v>Estufa para cura de cola por incidencia de raios ultravioleta (UV) - HP-UV105CM; Haipai</v>
          </cell>
        </row>
        <row r="2700">
          <cell r="B2700">
            <v>7029901400</v>
          </cell>
          <cell r="D2700">
            <v>99030</v>
          </cell>
          <cell r="E2700">
            <v>84248990</v>
          </cell>
          <cell r="F2700" t="str">
            <v>Not applicable</v>
          </cell>
          <cell r="H2700" t="str">
            <v>Maquina de revestimento seletivo por pulverizacAo de jatos de cola com característica UV (ultravioleta)</v>
          </cell>
        </row>
        <row r="2701">
          <cell r="B2701">
            <v>7029901430</v>
          </cell>
          <cell r="D2701">
            <v>98922</v>
          </cell>
          <cell r="E2701">
            <v>84283300</v>
          </cell>
          <cell r="F2701" t="str">
            <v>Not applicable</v>
          </cell>
          <cell r="G2701">
            <v>84283300</v>
          </cell>
          <cell r="H2701" t="str">
            <v>Linha de montagem de equipamentos eletronicos, com esteira de correia automatica com velocidade controlavel, de acAo contínua, para uso em operacAo de montagem de componentes em equipamentos eletronicos - 2,4m - Largura de suporte: 450mm</v>
          </cell>
        </row>
        <row r="2702">
          <cell r="B2702">
            <v>7029902380</v>
          </cell>
          <cell r="D2702">
            <v>98922</v>
          </cell>
          <cell r="E2702">
            <v>84283300</v>
          </cell>
          <cell r="F2702" t="str">
            <v>Not applicable</v>
          </cell>
          <cell r="G2702">
            <v>84283300</v>
          </cell>
          <cell r="H2702" t="str">
            <v>Linha de montagem de equipamentos eletronicos, com esteira de correia automatica com velocidade controlavel, de acAo contínua, para uso em operacAo de montagem de componentes em equipamentos eletronicos - 6000mm, para montagem de placas de circuito impresso</v>
          </cell>
        </row>
        <row r="2703">
          <cell r="B2703">
            <v>7029901410</v>
          </cell>
          <cell r="D2703">
            <v>98923</v>
          </cell>
          <cell r="E2703">
            <v>84283300</v>
          </cell>
          <cell r="F2703" t="str">
            <v>Not applicable</v>
          </cell>
          <cell r="H2703" t="str">
            <v>Maquina alimentadora de linha de montagem de componentes eletronicos, de acAo contínua por elevacAo e transporte horizontal, de correia, para transporte de placas semi-montadas atraves da linha de montagem - HP-201; Haipai</v>
          </cell>
        </row>
        <row r="2704">
          <cell r="B2704">
            <v>7029901580</v>
          </cell>
          <cell r="D2704">
            <v>99033</v>
          </cell>
          <cell r="E2704">
            <v>90318099</v>
          </cell>
          <cell r="F2704" t="str">
            <v>Not applicable</v>
          </cell>
          <cell r="H2704" t="str">
            <v>CAmara para execucAo de ensaios e testes de simulacAo de temperatura e luminosidade atraves de raios ultravioleta - HP-202; Haipai</v>
          </cell>
        </row>
        <row r="2705">
          <cell r="B2705">
            <v>7029902100</v>
          </cell>
          <cell r="D2705" t="str">
            <v>PENDING</v>
          </cell>
          <cell r="E2705">
            <v>84283920</v>
          </cell>
          <cell r="F2705" t="str">
            <v>Not applicable</v>
          </cell>
          <cell r="H2705" t="str">
            <v>Maquina alimentadora de linha de montagem de equipamentos eletronicos, de acAo contínua, de rolos motores, para transporte de placas de circuito impresso atraves da linha de montagem - HP - 450F; Haipai</v>
          </cell>
        </row>
        <row r="2706">
          <cell r="B2706">
            <v>7029901570</v>
          </cell>
          <cell r="D2706">
            <v>98923</v>
          </cell>
          <cell r="E2706">
            <v>84283300</v>
          </cell>
          <cell r="F2706" t="str">
            <v>Not applicable</v>
          </cell>
          <cell r="H2706" t="str">
            <v>Maquina alimentadora de linha de montagem de componentes eletronicos, de acAo contínua por elevacAo e transporte horizontal, de correia, para transporte de placas semi-montadas atraves da linha de montagem-  HP-450H; Haipai</v>
          </cell>
        </row>
        <row r="2707">
          <cell r="B2707">
            <v>7029902090</v>
          </cell>
          <cell r="D2707">
            <v>98923</v>
          </cell>
          <cell r="E2707">
            <v>84283300</v>
          </cell>
          <cell r="F2707" t="str">
            <v>Not applicable</v>
          </cell>
          <cell r="H2707" t="str">
            <v>Maquina alimentadora de linha de montagem de componentes eletronicos, de acAo contínua por elevacAo e transporte horizontal, de correia, para transporte de placas semi-montadas atraves da linha de montagem - HP-213; Haipai</v>
          </cell>
        </row>
        <row r="2708">
          <cell r="B2708">
            <v>7060300970</v>
          </cell>
          <cell r="D2708">
            <v>99042</v>
          </cell>
          <cell r="E2708">
            <v>94032090</v>
          </cell>
          <cell r="F2708" t="str">
            <v>Not applicable</v>
          </cell>
          <cell r="H2708" t="str">
            <v>Rack de metal, com 3 prateleiras, para uso industrial, para acomodacAo e movimentacAo de componentes eletronicos: 1650*680*1000mm</v>
          </cell>
        </row>
        <row r="2709">
          <cell r="B2709">
            <v>7029902010</v>
          </cell>
          <cell r="D2709">
            <v>99044</v>
          </cell>
          <cell r="E2709">
            <v>94032090</v>
          </cell>
          <cell r="F2709" t="str">
            <v>Not applicable</v>
          </cell>
          <cell r="H2709" t="str">
            <v>Bancada de metal, para uso industrial em linha de montagem de componentes eletronicos:  1000*500*670mm, com revestimento anti-estatico</v>
          </cell>
        </row>
        <row r="2710">
          <cell r="B2710">
            <v>7060300920</v>
          </cell>
          <cell r="D2710">
            <v>99043</v>
          </cell>
          <cell r="E2710">
            <v>94032090</v>
          </cell>
          <cell r="F2710" t="str">
            <v>Not applicable</v>
          </cell>
          <cell r="H2710" t="str">
            <v>Rack ( estante) de metal, com 7 prateleiras, com rodas para uso industrial, para acomodacAo e movimentacAo de componentes eletronicos</v>
          </cell>
        </row>
        <row r="2711">
          <cell r="B2711">
            <v>7029901600</v>
          </cell>
          <cell r="D2711">
            <v>98923</v>
          </cell>
          <cell r="E2711">
            <v>84283300</v>
          </cell>
          <cell r="F2711" t="str">
            <v>Not applicable</v>
          </cell>
          <cell r="H2711" t="str">
            <v>Maquina alimentadora de linha de montagem de componentes eletronicos, de acAo contínua por elevacAo e transporte horizontal, de correia, para transporte de placas semi-montadas atraves da linha de montagem - HP - 450HZ; Haipai</v>
          </cell>
        </row>
        <row r="2712">
          <cell r="B2712">
            <v>4070800710</v>
          </cell>
          <cell r="D2712">
            <v>99045</v>
          </cell>
          <cell r="E2712">
            <v>94032090</v>
          </cell>
          <cell r="F2712" t="str">
            <v>Not applicable</v>
          </cell>
          <cell r="H2712" t="str">
            <v>Bancada de metal, para uso industrial em linha de montagem de componentes eletronicos:  2400*800*2000mm</v>
          </cell>
        </row>
        <row r="2713">
          <cell r="B2713" t="str">
            <v>PENDING</v>
          </cell>
          <cell r="D2713" t="str">
            <v>PENDING</v>
          </cell>
          <cell r="E2713">
            <v>85044010</v>
          </cell>
          <cell r="F2713" t="str">
            <v>Not applicable</v>
          </cell>
          <cell r="H2713" t="str">
            <v xml:space="preserve">Carregador de acumulador (CA) portatil para carregar dispositivos convencionais, com capacidade de 14,8V/80000mAh, contem conversores de tensAo DC-DC e DC-AC, potencia de 300W, dimensoes de 207 x 146 x 166 mm e peso aproximado de 800 g. </v>
          </cell>
        </row>
        <row r="2714">
          <cell r="B2714" t="str">
            <v>PENDING</v>
          </cell>
          <cell r="D2714" t="str">
            <v>PENDING</v>
          </cell>
          <cell r="E2714">
            <v>85044010</v>
          </cell>
          <cell r="F2714" t="str">
            <v>Not applicable</v>
          </cell>
          <cell r="H2714" t="str">
            <v xml:space="preserve">Carregador de acumulador (CA) portatil para carregar dispositivos convencionais, com capacidade de 12,8V/130500mAh, contem conversores de tensAo DC-DC e DC-AC, potencia de 500W, dimensoes de 290 x 189 x 250 mm e peso aproximado de 5600 g. </v>
          </cell>
        </row>
        <row r="2715">
          <cell r="B2715" t="str">
            <v>PENDING</v>
          </cell>
          <cell r="D2715" t="str">
            <v>PENDING</v>
          </cell>
          <cell r="E2715">
            <v>85044010</v>
          </cell>
          <cell r="F2715" t="str">
            <v>Not applicable</v>
          </cell>
          <cell r="H2715" t="str">
            <v xml:space="preserve">Carregador de acumulador (CA) portatil para carregar dispositivos convencionais, com capacidade de 22,4V/133200mAh, contem conversores de tensAo DC-DC e DC-AC, potencia de 1000W, dimensoes de 252 x 191 x 244 mm e peso aproximado de 5600 g. </v>
          </cell>
        </row>
        <row r="2716">
          <cell r="B2716">
            <v>3020130089</v>
          </cell>
          <cell r="D2716">
            <v>20407400</v>
          </cell>
          <cell r="E2716">
            <v>90289010</v>
          </cell>
          <cell r="F2716">
            <v>90289010</v>
          </cell>
          <cell r="H2716" t="str">
            <v>BASE PARA MEDIDOR DE ENERGIA ELeTRICA MONOFaSICO CRONOS NG 6021, PARTE PARA MONTAGEM DE CONTADORES DE ELETRICIDADE</v>
          </cell>
        </row>
        <row r="2717">
          <cell r="B2717">
            <v>3020310249</v>
          </cell>
          <cell r="D2717">
            <v>20408100</v>
          </cell>
          <cell r="E2717">
            <v>90289010</v>
          </cell>
          <cell r="F2717">
            <v>90289010</v>
          </cell>
          <cell r="H2717" t="str">
            <v>TAMPA PARA MEDIDOR DE ENERGIA ELeTRICA MONOFaSICO CRONOS NG 6021, PARTE PARA MONTAGEM DE CONTADORES DE ELETRICIDADE</v>
          </cell>
        </row>
        <row r="2718">
          <cell r="B2718">
            <v>3020130099</v>
          </cell>
          <cell r="D2718">
            <v>20407500</v>
          </cell>
          <cell r="E2718">
            <v>90289010</v>
          </cell>
          <cell r="F2718">
            <v>90289010</v>
          </cell>
          <cell r="H2718" t="str">
            <v>BASE PARA MEDIDOR DE ENERGIA ELeTRICA BIFaSICO CRONOS NG 7022, PARTE PARA MONTAGEM DE CONTADORES DE ELETRICIDADE</v>
          </cell>
        </row>
        <row r="2719">
          <cell r="B2719">
            <v>3020310259</v>
          </cell>
          <cell r="D2719">
            <v>20408200</v>
          </cell>
          <cell r="E2719">
            <v>90289010</v>
          </cell>
          <cell r="F2719">
            <v>90289010</v>
          </cell>
          <cell r="H2719" t="str">
            <v>TAMPA PARA MEDIDOR DE ENERGIA ELeTRICA BIFaSICO CRONOS NG 7022, PARTE PARA MONTAGEM DE CONTADORES DE ELETRICIDADE</v>
          </cell>
        </row>
        <row r="2720">
          <cell r="B2720">
            <v>3020130109</v>
          </cell>
          <cell r="D2720">
            <v>20407600</v>
          </cell>
          <cell r="E2720">
            <v>90289010</v>
          </cell>
          <cell r="F2720">
            <v>90289010</v>
          </cell>
          <cell r="H2720" t="str">
            <v>BASE PARA MEDIDOR DE ENERGIA ELeTRICA TRIFaSICO NG 7023, PARTE PARA MONTAGEM DE CONTADORES DE ELETRICIDADE</v>
          </cell>
        </row>
        <row r="2721">
          <cell r="B2721">
            <v>3020310269</v>
          </cell>
          <cell r="D2721">
            <v>20408300</v>
          </cell>
          <cell r="E2721">
            <v>90289010</v>
          </cell>
          <cell r="F2721">
            <v>90289010</v>
          </cell>
          <cell r="H2721" t="str">
            <v>TAMPA PARA MEDIDOR DE ENERGIA ELeTRICA TRIFaSICO NG 7023, PARTE PARA MONTAGEM DE CONTADORES DE ELETRICIDADE</v>
          </cell>
        </row>
        <row r="2722">
          <cell r="B2722" t="str">
            <v>BLF-B51100R11101</v>
          </cell>
          <cell r="D2722">
            <v>20692034</v>
          </cell>
          <cell r="E2722">
            <v>85076000</v>
          </cell>
          <cell r="F2722" t="str">
            <v>Not applicable</v>
          </cell>
          <cell r="H2722" t="str">
            <v>Modulos de acumuladores eletricos de íons de lítio, com sistemas de monitoramento de baterias (BMS), para aplicacAo em sistemas de armazenamento de energia, estacionarios ou tracionarios, apresentados em involucro ou gabinete unico, com tensAo nominal de 51,2V - de forma retangular, marca Livoltek, modelo XXXX, ano de fabricacAo YYYY, numeros de serie de AAAAA a BBBBB, de volume exterior aproximado de 48.901,94cm³, com classe de protecAo IP21 e capacidade de 5kWh. Maxima corrente de carregamento e descarregamento de 100A e 6000 ciclos de vida util (BLF-B51100)</v>
          </cell>
        </row>
        <row r="2723">
          <cell r="B2723">
            <v>7020826121</v>
          </cell>
          <cell r="D2723">
            <v>56645</v>
          </cell>
          <cell r="E2723">
            <v>84807100</v>
          </cell>
          <cell r="F2723" t="str">
            <v>Not applicable</v>
          </cell>
          <cell r="G2723">
            <v>84807100</v>
          </cell>
          <cell r="H2723" t="str">
            <v>Molde para moldagem por injecAo, para materiais plasticos de policarbonato - Base Poli C/Q China - 2 Cav (ref. 7020826121)</v>
          </cell>
        </row>
        <row r="2724">
          <cell r="B2724">
            <v>7020826131</v>
          </cell>
          <cell r="D2724">
            <v>56657</v>
          </cell>
          <cell r="E2724">
            <v>84807100</v>
          </cell>
          <cell r="F2724" t="str">
            <v>Not applicable</v>
          </cell>
          <cell r="G2724">
            <v>84807100</v>
          </cell>
          <cell r="H2724" t="str">
            <v>Molde para moldagem por injecAo, para materiais plasticos de policarbonato - Tampa Principal Poli C/Q - 2 Cav (ref. 7020826131)</v>
          </cell>
        </row>
        <row r="2725">
          <cell r="B2725">
            <v>7020825221</v>
          </cell>
          <cell r="D2725">
            <v>98822</v>
          </cell>
          <cell r="E2725">
            <v>84807100</v>
          </cell>
          <cell r="F2725" t="str">
            <v>Not applicable</v>
          </cell>
          <cell r="G2725">
            <v>84807100</v>
          </cell>
          <cell r="H2725" t="str">
            <v>Molde para moldagem por injecAo, para materiais plasticos de policarbonato S22134 (ref.  7020825221)</v>
          </cell>
        </row>
        <row r="2726">
          <cell r="B2726">
            <v>7020825231</v>
          </cell>
          <cell r="D2726">
            <v>98823</v>
          </cell>
          <cell r="E2726">
            <v>84807100</v>
          </cell>
          <cell r="F2726" t="str">
            <v>Not applicable</v>
          </cell>
          <cell r="G2726">
            <v>84807100</v>
          </cell>
          <cell r="H2726" t="str">
            <v>Molde para moldagem por injecAo, para materiais plasticos de policarbonato S22135, (ref. 7020825231)</v>
          </cell>
        </row>
        <row r="2727">
          <cell r="B2727">
            <v>7020825241</v>
          </cell>
          <cell r="D2727">
            <v>98824</v>
          </cell>
          <cell r="E2727">
            <v>84807100</v>
          </cell>
          <cell r="F2727" t="str">
            <v>Not applicable</v>
          </cell>
          <cell r="G2727">
            <v>84807100</v>
          </cell>
          <cell r="H2727" t="str">
            <v>Molde para moldagem por injecAo, para materiais plasticos de policarbonato S22136, (ref. 7020825241)</v>
          </cell>
        </row>
        <row r="2728">
          <cell r="B2728">
            <v>7020825251</v>
          </cell>
          <cell r="D2728">
            <v>98825</v>
          </cell>
          <cell r="E2728">
            <v>84807100</v>
          </cell>
          <cell r="F2728" t="str">
            <v>Not applicable</v>
          </cell>
          <cell r="G2728">
            <v>84807100</v>
          </cell>
          <cell r="H2728" t="str">
            <v>Molde para moldagem por injecAo, para materiais plasticos de policarbonato S22137, (ref. 7020825251)</v>
          </cell>
        </row>
        <row r="2729">
          <cell r="B2729">
            <v>7020825261</v>
          </cell>
          <cell r="D2729">
            <v>98826</v>
          </cell>
          <cell r="E2729">
            <v>84807100</v>
          </cell>
          <cell r="F2729" t="str">
            <v>Not applicable</v>
          </cell>
          <cell r="G2729">
            <v>84807100</v>
          </cell>
          <cell r="H2729" t="str">
            <v>Molde para moldagem por injecAo, para materiais plasticos de policarbonato S22138, (ref. 7020825261)</v>
          </cell>
        </row>
        <row r="2730">
          <cell r="B2730">
            <v>7020825271</v>
          </cell>
          <cell r="D2730">
            <v>98827</v>
          </cell>
          <cell r="E2730">
            <v>84807100</v>
          </cell>
          <cell r="F2730" t="str">
            <v>Not applicable</v>
          </cell>
          <cell r="G2730">
            <v>84807100</v>
          </cell>
          <cell r="H2730" t="str">
            <v>Molde para moldagem por injecAo, para materiais plasticos de policarbonato S22139, (ref. 7020825271)</v>
          </cell>
        </row>
        <row r="2731">
          <cell r="B2731">
            <v>7020825281</v>
          </cell>
          <cell r="D2731">
            <v>98828</v>
          </cell>
          <cell r="E2731">
            <v>84807100</v>
          </cell>
          <cell r="F2731" t="str">
            <v>Not applicable</v>
          </cell>
          <cell r="G2731">
            <v>84807100</v>
          </cell>
          <cell r="H2731" t="str">
            <v>Molde para moldagem por injecAo, para materiais plasticos de policarbonato S22140, (ref. 7020825281)</v>
          </cell>
        </row>
        <row r="2732">
          <cell r="B2732">
            <v>2150155850</v>
          </cell>
          <cell r="D2732">
            <v>20661759</v>
          </cell>
          <cell r="E2732">
            <v>85340033</v>
          </cell>
          <cell r="F2732" t="str">
            <v>Not applicable</v>
          </cell>
          <cell r="G2732">
            <v>85340033</v>
          </cell>
          <cell r="H2732" t="str">
            <v>PLACA DE CIRCUITO IMPRESSO, DE NATUREZA DO MATERIAL BASE RÍGIDO, COMPOSIcAO DA PLACA COM ISOLANTE DE RESINA EPoXIDA E TECIDO DE FIBRA DE VIDRO, ESTRUTURA DE DUPLA FACE, E INTERLIGAcAO ENTRE FACES COM FUROS METALIZADOS, dimensoes 236,0mm x 175,64mm</v>
          </cell>
        </row>
        <row r="2733">
          <cell r="B2733">
            <v>3010502820</v>
          </cell>
          <cell r="D2733">
            <v>20291704</v>
          </cell>
          <cell r="E2733">
            <v>85444200</v>
          </cell>
          <cell r="F2733">
            <v>85444200</v>
          </cell>
          <cell r="H2733" t="str">
            <v>PONTE DE COBRE MUNIDA DE PINO RÍGIDO PARA CONEXAO, CONDUTORA ELeTRICA PARA APLICAcAO EM TENSAO DE ATe 240V, ESTANHADA, DIMENSoES 33,1x27,6x11,5mm, CORRENTE MaXIMA DE 100A</v>
          </cell>
        </row>
        <row r="2734">
          <cell r="B2734">
            <v>3090601910</v>
          </cell>
          <cell r="D2734">
            <v>10410812</v>
          </cell>
          <cell r="E2734">
            <v>85444900</v>
          </cell>
          <cell r="F2734">
            <v>85444900</v>
          </cell>
          <cell r="G2734">
            <v>85444900</v>
          </cell>
          <cell r="H2734" t="str">
            <v>CABO CONDUTOR ELETRICO, ISOLADO PARA USO ELETRICO, PARA APLICACAO EM TENSAO APROXIMADA DE 24V, DE 6 NUCLEOS COM BLINDAGEM DE SECAO 0,3M2 PARA HIDROMETROS INDUSTRIAIS (CONTADORES DE LIQUIDOS).</v>
          </cell>
        </row>
        <row r="2735">
          <cell r="B2735">
            <v>3090601920</v>
          </cell>
          <cell r="D2735">
            <v>10410813</v>
          </cell>
          <cell r="E2735">
            <v>85444900</v>
          </cell>
          <cell r="F2735">
            <v>85444900</v>
          </cell>
          <cell r="G2735">
            <v>85444900</v>
          </cell>
          <cell r="H2735" t="str">
            <v>CABO CONDUTOR ELETRICO, ISOLADO PARA USO ELETRICO, PARA APLICAEAO EM TENSAO APROXIMADA DE 24V, DE 8 NUCLEOS COM BLINDAGEM DE SECAO 0,3m2 PARA HIDROMETROS INDUSTRIAIS (CONTADORES DE LIQUIDOS).</v>
          </cell>
        </row>
        <row r="2736">
          <cell r="B2736">
            <v>2140102940</v>
          </cell>
          <cell r="D2736">
            <v>20691890</v>
          </cell>
          <cell r="E2736">
            <v>85177190</v>
          </cell>
          <cell r="F2736">
            <v>85177190</v>
          </cell>
          <cell r="H2736" t="str">
            <v>Antena de comunicacAo por radio frequencia do tipo OMNI, com ganho de 3.5dBi, comprimento do cabo de 500mm e frequencia de 902 ate 928MHz para uso em modulos de comunicacAo RF WiSun Zeus NG.</v>
          </cell>
        </row>
        <row r="2737">
          <cell r="B2737" t="str">
            <v>MJN72R12002-CELESC</v>
          </cell>
          <cell r="D2737">
            <v>20601207</v>
          </cell>
          <cell r="E2737">
            <v>85176272</v>
          </cell>
          <cell r="F2737">
            <v>85176272</v>
          </cell>
          <cell r="H2737"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 e modelo MJN72.R12002.</v>
          </cell>
        </row>
        <row r="2738">
          <cell r="B2738">
            <v>2140104070</v>
          </cell>
          <cell r="D2738">
            <v>20643001</v>
          </cell>
          <cell r="E2738">
            <v>85177190</v>
          </cell>
          <cell r="F2738">
            <v>85177190</v>
          </cell>
          <cell r="G2738">
            <v>85177190</v>
          </cell>
          <cell r="H2738" t="str">
            <v>Antena de comunicacAo por radio frequencia com conector SMA, com ganho de 2dBi, comprimento do cabo de 350mm e frequencia de 915MHz para uso no radio coletor.</v>
          </cell>
        </row>
        <row r="2739">
          <cell r="B2739">
            <v>2140104060</v>
          </cell>
          <cell r="D2739">
            <v>20643002</v>
          </cell>
          <cell r="E2739">
            <v>85177190</v>
          </cell>
          <cell r="F2739">
            <v>85177190</v>
          </cell>
          <cell r="G2739">
            <v>85177190</v>
          </cell>
          <cell r="H2739" t="str">
            <v>Antena de comunicacAo por radio frequencia com conector SMA, com ganho de 2dBi, comprimento do cabo de 1350mm e frequencia de 915MHz para uso no CPU.</v>
          </cell>
        </row>
        <row r="2740">
          <cell r="B2740" t="str">
            <v>MXNTL4ENW53NNS3BESUNN</v>
          </cell>
          <cell r="D2740">
            <v>20694461</v>
          </cell>
          <cell r="E2740">
            <v>85176277</v>
          </cell>
          <cell r="F2740" t="str">
            <v>Not applicable</v>
          </cell>
          <cell r="G2740">
            <v>85176277</v>
          </cell>
          <cell r="H2740" t="str">
            <v>Aparelhos para recepcAo, conversAo, transmissAo ou regeneracAo de voz ou outros dados, comutacAo, roteamento, faixa de ajuste de frequencia de 135MHz ou maior, ate 520MHz ou menor, podendo trabalhar como base, temperatura de trabalho entre -40 a +70 Graus Celsius, com ate 95por cento de umidade - Radio de frequencia licenciada 400MHz (0,4GHz),com interface Wi-Fi protocolo IEE 802.11, para comunicacAo ( recepcAo, conversAo e transmissAo) de dados por rede sem fio (WLAN), emissor incorporado, digital, de taxa de transmissAo de ate 100Mbit/s ( na interface Eth, WiFi 802.11 b/g/n+ 4 ETH ports + 2 Serial ports   - marca GE, modelo MCR ( MXNTL4ENW53NNS3BESUNN)</v>
          </cell>
        </row>
        <row r="2741">
          <cell r="B2741" t="str">
            <v>MXNTL4ANW53NNS3BESUNN</v>
          </cell>
          <cell r="D2741">
            <v>20694462</v>
          </cell>
          <cell r="E2741">
            <v>85176277</v>
          </cell>
          <cell r="F2741" t="str">
            <v>Not applicable</v>
          </cell>
          <cell r="G2741">
            <v>85176277</v>
          </cell>
          <cell r="H2741" t="str">
            <v>APARELHOS PARA RECEPCAO, CONVERSAO, TRANSMISSAO OU REGENERACAO DE VOZ OU OUTROS DADOS, COMUTACAO, ROTEAMENTO, FAIXA DE AJUSTE DE FREQUENCIA DE 135MHZ OU MAIOR, ATE 520MHZ OU MENOR, PODENDO TRABALHAR COMO BASE, TEMPERATURA DE TRABALHO ENTRE -40 A +70 GRAUS CELSIUS, COM ATE 95POR CENTO DE UMIDADE - RADIO DE FREQUENCIA LICENCIADA 330-406MHZ, COM INTERFACE WI-FI PROTOCOLO IEE 802.11, PARA COMUNICACAO ( RECEPCAO, CONVERSAO E TRANSMISSAO) DE DADOS POR REDE SEM FIO (WLAN), EMISSOR INCORPORADO, DIGITAL, DE TAXA DE TRANSMISSAO DE ATE 100MBIT/S ( NA INTERFACE ETH, WIFI 802.11 B/G/N+ 4 ETH PORTS + 2 SERIAL PORTS   - MARCA GE, MODELO MCR (MXNTL4ANW53NNS3BESUNN).</v>
          </cell>
        </row>
        <row r="2742">
          <cell r="B2742" t="str">
            <v>MXNXL4ANNNNNNS5BOSUNN</v>
          </cell>
          <cell r="D2742">
            <v>20694463</v>
          </cell>
          <cell r="E2742">
            <v>85176277</v>
          </cell>
          <cell r="F2742" t="str">
            <v>Not applicable</v>
          </cell>
          <cell r="G2742">
            <v>85176277</v>
          </cell>
          <cell r="H2742" t="str">
            <v>Aparelhos para recepcAo, conversAo, transmissAo ou regeneracAo de voz ou outros dados, comutacAo, roteamento, faixa de ajuste de frequencia de 135MHz ou maior, ate 520MHz ou menor, podendo trabalhar como base, temperatura de trabalho entre -40 a +70 Graus Celsius, com ate 95por cento de umidade - Radio de frequencia licenciada 330-406MHz, para comunicacAo ( recepcAo, conversAo e transmissAo) de dados por rede sem fio (WLAN), emissor incorporado, digital, de taxa de transmissAo de ate 100Mbit/s ( SPF)  - marca GE, modelo MCR ( MXNXL4ANNNNNNS5BOSUNN)</v>
          </cell>
        </row>
        <row r="2743">
          <cell r="B2743">
            <v>7020602190</v>
          </cell>
          <cell r="D2743">
            <v>98915</v>
          </cell>
          <cell r="E2743">
            <v>90318099</v>
          </cell>
          <cell r="F2743" t="str">
            <v>Not applicable</v>
          </cell>
          <cell r="H2743" t="str">
            <v>Equipamento de teste automatico ATE - T1, para analise e medida de funcAo e configuracAo de fonte AC</v>
          </cell>
        </row>
        <row r="2744">
          <cell r="B2744">
            <v>7029900370</v>
          </cell>
          <cell r="D2744">
            <v>98917</v>
          </cell>
          <cell r="E2744">
            <v>84659600</v>
          </cell>
          <cell r="F2744" t="str">
            <v>Not applicable</v>
          </cell>
          <cell r="H2744" t="str">
            <v>Maquina para seccionamento de placas de circuito impresso (de material de resina epoxi e fibra de vidro, rígido)</v>
          </cell>
        </row>
        <row r="2745">
          <cell r="B2745">
            <v>7049902350</v>
          </cell>
          <cell r="D2745">
            <v>98919</v>
          </cell>
          <cell r="E2745">
            <v>94032090</v>
          </cell>
          <cell r="F2745" t="str">
            <v>Not applicable</v>
          </cell>
          <cell r="H2745" t="str">
            <v>Armario de metal, para armazenamento de líquidos e materiais inflamaveis- 1090*860*1650mm</v>
          </cell>
        </row>
        <row r="2746">
          <cell r="B2746">
            <v>4020105570</v>
          </cell>
          <cell r="D2746">
            <v>32959</v>
          </cell>
          <cell r="E2746">
            <v>85444200</v>
          </cell>
          <cell r="F2746" t="str">
            <v>Not applicable</v>
          </cell>
          <cell r="H2746" t="str">
            <v>Filtro de linha, cabo condutor eletrico, munido de tomadas para conexAo, para aplicacAo em tensAo de ate 250V, isolado para uso eletrico - 15 m - 13,6*4,1*3,5cm</v>
          </cell>
        </row>
        <row r="2747">
          <cell r="B2747">
            <v>7029901620</v>
          </cell>
          <cell r="D2747">
            <v>98926</v>
          </cell>
          <cell r="E2747">
            <v>84433232</v>
          </cell>
          <cell r="F2747" t="str">
            <v>Not applicable</v>
          </cell>
          <cell r="H2747" t="str">
            <v>Impressora, sem outras funcoes, alimentada por folhas de etiquetas, de transferencia termica de cera solida, de velocidade de impressAo de aproximadamente 0,1 PPM quando medido em formato A4</v>
          </cell>
        </row>
        <row r="2748">
          <cell r="B2748">
            <v>7020602330</v>
          </cell>
          <cell r="D2748" t="str">
            <v>PENDING</v>
          </cell>
          <cell r="E2748">
            <v>84238110</v>
          </cell>
          <cell r="F2748" t="str">
            <v>Not applicable</v>
          </cell>
          <cell r="H2748" t="str">
            <v>Balanca eletronica de mesa, com dispositivo registrador, de capacidade inferior a 30kgs</v>
          </cell>
        </row>
        <row r="2749">
          <cell r="B2749">
            <v>7070202640</v>
          </cell>
          <cell r="D2749">
            <v>54957</v>
          </cell>
          <cell r="E2749">
            <v>84713019</v>
          </cell>
          <cell r="F2749" t="str">
            <v>Not applicable</v>
          </cell>
          <cell r="H2749" t="str">
            <v>Maquina automatica para processamento de dados, portatil, de peso aproximado de 4 kgs, com tela de area aproximada de 100 cm², capaz de funcionar sem fonte externa de energia - tablet industrial de 15,6 polegadas, DPC-9156A; i3-6100U /8G+256G, sistema ingles</v>
          </cell>
        </row>
        <row r="2750">
          <cell r="B2750">
            <v>7020601850</v>
          </cell>
          <cell r="D2750">
            <v>98926</v>
          </cell>
          <cell r="E2750">
            <v>84433232</v>
          </cell>
          <cell r="F2750" t="str">
            <v>Not applicable</v>
          </cell>
          <cell r="H2750" t="str">
            <v>Impressora, sem outras funcoes, alimentada por folhas de etiquetas, de transferencia termica de cera solida, de velocidade de impressAo de aproximadamente 0,1 PPM quando medido em formato A4</v>
          </cell>
        </row>
        <row r="2751">
          <cell r="B2751">
            <v>7020703380</v>
          </cell>
          <cell r="D2751">
            <v>98927</v>
          </cell>
          <cell r="E2751">
            <v>84223022</v>
          </cell>
          <cell r="F2751" t="str">
            <v>Not applicable</v>
          </cell>
          <cell r="H2751" t="str">
            <v>Maquina de aplicacAo de fita autoadesiva para selagem e fechamento de caixas de papelAo</v>
          </cell>
        </row>
        <row r="2752">
          <cell r="B2752">
            <v>4010400050</v>
          </cell>
          <cell r="D2752" t="str">
            <v>PENDING</v>
          </cell>
          <cell r="E2752">
            <v>39231090</v>
          </cell>
          <cell r="F2752" t="str">
            <v>Not applicable</v>
          </cell>
          <cell r="H2752" t="str">
            <v>Bandeja de material de plastico (policarbonato), antiestatica (ESD), para acomodacAo e transporte de componentes eletronicos</v>
          </cell>
        </row>
        <row r="2753">
          <cell r="B2753">
            <v>7020400350</v>
          </cell>
          <cell r="D2753">
            <v>98931</v>
          </cell>
          <cell r="E2753">
            <v>85152900</v>
          </cell>
          <cell r="F2753" t="str">
            <v>Not applicable</v>
          </cell>
          <cell r="G2753">
            <v>85152900</v>
          </cell>
          <cell r="H2753" t="str">
            <v>EstacAo de solda com pistola de solda para soldagem de metais por resistencia, com regulador manual - 376DI-150W</v>
          </cell>
        </row>
        <row r="2754">
          <cell r="B2754">
            <v>4010300250</v>
          </cell>
          <cell r="D2754">
            <v>98937</v>
          </cell>
          <cell r="E2754">
            <v>90308990</v>
          </cell>
          <cell r="F2754" t="str">
            <v>Not applicable</v>
          </cell>
          <cell r="H2754" t="str">
            <v>Instrumento para deteccAo de propriedade anti-estatica, testador de pulseiras e calcanheiras antiestaticas</v>
          </cell>
        </row>
        <row r="2755">
          <cell r="B2755">
            <v>4039899030</v>
          </cell>
          <cell r="D2755">
            <v>98938</v>
          </cell>
          <cell r="E2755">
            <v>70200090</v>
          </cell>
          <cell r="F2755" t="str">
            <v>Not applicable</v>
          </cell>
          <cell r="G2755">
            <v>70200090</v>
          </cell>
          <cell r="H2755" t="str">
            <v>Gabarito de fibra de vidro, para teste de posicionamento de terminal em montagem de equipamentos eletronicos</v>
          </cell>
        </row>
        <row r="2756">
          <cell r="B2756">
            <v>4020100620</v>
          </cell>
          <cell r="D2756">
            <v>98992</v>
          </cell>
          <cell r="E2756">
            <v>70200090</v>
          </cell>
          <cell r="F2756" t="str">
            <v>Not applicable</v>
          </cell>
          <cell r="G2756">
            <v>70200090</v>
          </cell>
          <cell r="H2756" t="str">
            <v>Gabarito de fibra de vidro, para verificacAo de terminais em montagem de equipamentos eletronicos</v>
          </cell>
        </row>
        <row r="2757">
          <cell r="B2757">
            <v>4030700550</v>
          </cell>
          <cell r="D2757">
            <v>98939</v>
          </cell>
          <cell r="E2757">
            <v>84719012</v>
          </cell>
          <cell r="F2757" t="str">
            <v>Not applicable</v>
          </cell>
          <cell r="H2757" t="str">
            <v>Leitor de codigo de barras - Sem fio; Honeywell Voyager; 1452g-2D; Honeywell</v>
          </cell>
        </row>
        <row r="2758">
          <cell r="B2758">
            <v>4029801270</v>
          </cell>
          <cell r="D2758">
            <v>98949</v>
          </cell>
          <cell r="E2758">
            <v>84719019</v>
          </cell>
          <cell r="F2758" t="str">
            <v>Not applicable</v>
          </cell>
          <cell r="G2758">
            <v>84719019</v>
          </cell>
          <cell r="H2758" t="str">
            <v>Programadora automatica de dados de firmware em circuitos integrados eletrocnicos - XDS-100V3</v>
          </cell>
        </row>
        <row r="2759">
          <cell r="B2759">
            <v>4070403840</v>
          </cell>
          <cell r="D2759">
            <v>98958</v>
          </cell>
          <cell r="E2759">
            <v>85176241</v>
          </cell>
          <cell r="F2759" t="str">
            <v>Not applicable</v>
          </cell>
          <cell r="G2759">
            <v>85176241</v>
          </cell>
          <cell r="H2759" t="str">
            <v>Roteador industrial, digital, para comunicacAo de dados em redes sem fio (recepcAo, conversAo e transmissAo), com capacidade de conexAo sem fio - TP-LINK/Pulian TL-WAR308</v>
          </cell>
        </row>
        <row r="2760">
          <cell r="B2760">
            <v>4040401270</v>
          </cell>
          <cell r="D2760">
            <v>98960</v>
          </cell>
          <cell r="E2760">
            <v>94037000</v>
          </cell>
          <cell r="F2760" t="str">
            <v>Not applicable</v>
          </cell>
          <cell r="H2760" t="str">
            <v>Rack de plastico, para armazenamento de PCBAs - 47cm(L)*17cm(L);</v>
          </cell>
        </row>
        <row r="2761">
          <cell r="B2761">
            <v>4040300460</v>
          </cell>
          <cell r="D2761" t="str">
            <v>PENDING</v>
          </cell>
          <cell r="E2761">
            <v>48219000</v>
          </cell>
          <cell r="F2761" t="str">
            <v>Not applicable</v>
          </cell>
          <cell r="H2761" t="str">
            <v>Etiqueta de papel, nAo impressa - 12MM*50MM</v>
          </cell>
        </row>
        <row r="2762">
          <cell r="B2762">
            <v>7030102720</v>
          </cell>
          <cell r="D2762">
            <v>98987</v>
          </cell>
          <cell r="E2762">
            <v>90303990</v>
          </cell>
          <cell r="F2762" t="str">
            <v>Not applicable</v>
          </cell>
          <cell r="H2762" t="str">
            <v>Aparelho para controle e teste de tensAo, com dispositivo registrador - AN9637HC FuncAo 5 em 1</v>
          </cell>
        </row>
        <row r="2763">
          <cell r="B2763">
            <v>4090100880</v>
          </cell>
          <cell r="D2763" t="str">
            <v>PENDING</v>
          </cell>
          <cell r="E2763">
            <v>96082000</v>
          </cell>
          <cell r="F2763" t="str">
            <v>Not applicable</v>
          </cell>
          <cell r="H2763" t="str">
            <v>Marcador de tinta, com ponta de feltro  - 2,2-2,8 mm</v>
          </cell>
        </row>
        <row r="2764">
          <cell r="B2764">
            <v>4040400030</v>
          </cell>
          <cell r="D2764">
            <v>99017</v>
          </cell>
          <cell r="E2764">
            <v>48182000</v>
          </cell>
          <cell r="F2764" t="str">
            <v>Not applicable</v>
          </cell>
          <cell r="H2764" t="str">
            <v>Lenco de papel, de fibra de celulose, utilizado para limpeza de equipamentos eletronicos, em rolo de largura nAo superior à 36CM</v>
          </cell>
        </row>
        <row r="2765">
          <cell r="B2765">
            <v>7029901480</v>
          </cell>
          <cell r="D2765">
            <v>99023</v>
          </cell>
          <cell r="E2765">
            <v>84198920</v>
          </cell>
          <cell r="F2765" t="str">
            <v>Not applicable</v>
          </cell>
          <cell r="H2765" t="str">
            <v>Estufa de secagem a jato de ar, para reproducAo de testes climaticos - Y/DHG-9140A</v>
          </cell>
        </row>
        <row r="2766">
          <cell r="B2766">
            <v>5040602300</v>
          </cell>
          <cell r="D2766" t="str">
            <v>40293600 </v>
          </cell>
          <cell r="E2766">
            <v>90289010</v>
          </cell>
          <cell r="F2766" t="str">
            <v>Not applicable</v>
          </cell>
          <cell r="H2766" t="str">
            <v>CONJUNTO BASE + TAMPA PARA MEDIDOR DE ENERGIA ELeTRICA CRONOS 6021-NG, PARTE PARA MONTAGEM DE CONTADORES DE ELETRICIDADE</v>
          </cell>
        </row>
        <row r="2767">
          <cell r="B2767">
            <v>5050601570</v>
          </cell>
          <cell r="D2767" t="str">
            <v>40293700 </v>
          </cell>
          <cell r="E2767">
            <v>90289010</v>
          </cell>
          <cell r="F2767" t="str">
            <v>Not applicable</v>
          </cell>
          <cell r="H2767" t="str">
            <v>CONJUNTO BASE + TAMPA PARA MEDIDOR DE ENERGIA ELeTRICA CRONOS 7022-NG, PARTE PARA MONTAGEM DE CONTADORES DE ELETRICIDADE</v>
          </cell>
        </row>
        <row r="2768">
          <cell r="B2768">
            <v>5050601580</v>
          </cell>
          <cell r="D2768" t="str">
            <v>40293800 </v>
          </cell>
          <cell r="E2768">
            <v>90289010</v>
          </cell>
          <cell r="F2768" t="str">
            <v>Not applicable</v>
          </cell>
          <cell r="H2768" t="str">
            <v>CONJUNTO BASE + TAMPA PARA MEDIDOR DE ENERGIA ELeTRICA CRONOS 7023-NG, PARTE PARA MONTAGEM DE CONTADORES DE ELETRICIDADE</v>
          </cell>
        </row>
        <row r="2769">
          <cell r="B2769">
            <v>5040602310</v>
          </cell>
          <cell r="D2769" t="str">
            <v>40293900 </v>
          </cell>
          <cell r="E2769">
            <v>90289010</v>
          </cell>
          <cell r="F2769" t="str">
            <v>Not applicable</v>
          </cell>
          <cell r="H2769" t="str">
            <v>CONJUNTO BASE + TAMPA PARA MEDIDOR DE ENERGIA ELeTRICA ZEUS 8021-NG, PARTE PARA MONTAGEM DE CONTADORES DE ELETRICIDADE</v>
          </cell>
        </row>
        <row r="2770">
          <cell r="B2770">
            <v>2140104080</v>
          </cell>
          <cell r="D2770">
            <v>20643003</v>
          </cell>
          <cell r="E2770">
            <v>85177190</v>
          </cell>
          <cell r="F2770">
            <v>85177190</v>
          </cell>
          <cell r="H2770" t="str">
            <v>Antena de comunicacAo por radio frequencia com conector SMA, com ganho de 2dBi, comprimento 57mm, frequencia de 902~928MHz para uso nos modulos de comunicacAo Zeus-NG.</v>
          </cell>
        </row>
        <row r="2771">
          <cell r="B2771">
            <v>3051701580</v>
          </cell>
          <cell r="D2771">
            <v>20692938</v>
          </cell>
          <cell r="E2771">
            <v>73261900</v>
          </cell>
          <cell r="F2771">
            <v>73261900</v>
          </cell>
          <cell r="G2771">
            <v>73261900</v>
          </cell>
          <cell r="H2771" t="str">
            <v>Abracadeira em aco inoxidavel SUS304, obtida por estampagem. Dimensoes: 12*1270mm, espessura: 0,3mm (3051701580)</v>
          </cell>
        </row>
        <row r="2772">
          <cell r="B2772">
            <v>3990019710</v>
          </cell>
          <cell r="D2772">
            <v>20696006</v>
          </cell>
          <cell r="E2772">
            <v>85044090</v>
          </cell>
          <cell r="F2772" t="str">
            <v>Not applicable</v>
          </cell>
          <cell r="H2772" t="str">
            <v>Inversores para sistemas fotovoltaicos "off-grid", tipo "string", para rede monofasica, com potencia nominal de saída de 1.500W a 40 graus Celsius, com potencia maxima de saída de 1.500W a 40 graus Celsius e tensAo nominal de saída de 110/120Vca, - para conversAo de energia corrente contínua em energia corrente alternada, de tecnologia de controle microprocessado, tensAo de alimentacAo 120 Vca, corrente nominal de saída de 14A, faixa de frequencia 50/60 Hz, eficiencia maxima de 93por cento, gabinete com grau de protecAo IP21, projetado para suportar operacAo em temperaturas na faixa de -10 a 55 graus Celsius, uma MPPT</v>
          </cell>
        </row>
        <row r="2773">
          <cell r="B2773">
            <v>3990019740</v>
          </cell>
          <cell r="D2773">
            <v>20696007</v>
          </cell>
          <cell r="E2773">
            <v>85423190</v>
          </cell>
          <cell r="F2773" t="str">
            <v>Not applicable</v>
          </cell>
          <cell r="H2773" t="str">
            <v>Circuito integrado eletronico, controlador de carga solar com tecnologia MPPT, montado, proprio para montagem em superfície SMD, para utilizacAo com bateria de lítio ferro fosfato (LiFePO4).</v>
          </cell>
        </row>
        <row r="2774">
          <cell r="B2774">
            <v>3990021380</v>
          </cell>
          <cell r="D2774">
            <v>20258608</v>
          </cell>
          <cell r="E2774">
            <v>73261900</v>
          </cell>
          <cell r="F2774" t="str">
            <v>Not applicable</v>
          </cell>
          <cell r="H2774" t="str">
            <v>Chapa de aco galvanizado, para suporte de inversores fotovoltaicos.</v>
          </cell>
        </row>
        <row r="2775">
          <cell r="B2775">
            <v>5901017880</v>
          </cell>
          <cell r="D2775">
            <v>200691374</v>
          </cell>
          <cell r="E2775">
            <v>85176272</v>
          </cell>
          <cell r="F2775">
            <v>85176272</v>
          </cell>
          <cell r="H2775" t="str">
            <v>Modulos de comunicacAo  bidirecional de dados sem fio (recepcAo, conversAo e transmissAo), digitais, emissores de radio frequencia com receptor incorporado, capazes de operar na faixa ISM de frequencias 860MHz-935MHz  , com taxa de transmissAo de 0,0768 Mbit/s ( 76,8 kbps) ate 0,9216 Mbit/s (921,6 bps) nas portas seriais, com transmissAo de velociodade Network de velocidade de 10/100Mpbs integrado com porta Bluetooth,  com seguintes protocolos de comunicacAo DNP3.0, LoRa e Modbus , alimentacAo de 24Vdc.</v>
          </cell>
        </row>
        <row r="2776">
          <cell r="B2776" t="str">
            <v>MJN72R12005-CPL.V2</v>
          </cell>
          <cell r="D2776">
            <v>20601208</v>
          </cell>
          <cell r="E2776">
            <v>85176272</v>
          </cell>
          <cell r="F2776">
            <v>85176272</v>
          </cell>
          <cell r="H2776"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 e modelo MJN72.R12005.</v>
          </cell>
        </row>
        <row r="2777">
          <cell r="B2777" t="str">
            <v>MJN72R12005-CPL.V2P</v>
          </cell>
          <cell r="D2777">
            <v>20601209</v>
          </cell>
          <cell r="E2777">
            <v>85176272</v>
          </cell>
          <cell r="F2777">
            <v>85176272</v>
          </cell>
          <cell r="G2777">
            <v>85176272</v>
          </cell>
          <cell r="H2777"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 marca xxxxx, modelo xxxx, Ano de fabricacAo XXXX, numero de serie YYYY a ZZZZ.</v>
          </cell>
        </row>
        <row r="2778">
          <cell r="B2778">
            <v>3020310369</v>
          </cell>
          <cell r="D2778">
            <v>20407200</v>
          </cell>
          <cell r="E2778">
            <v>90289010</v>
          </cell>
          <cell r="F2778" t="str">
            <v>Not applicable</v>
          </cell>
          <cell r="G2778">
            <v>90289010</v>
          </cell>
          <cell r="H2778" t="str">
            <v>Base - Zeus-NG 8021/8031, parte para montagem em medidores de energia eletrica (contadores de eletricidade)</v>
          </cell>
        </row>
        <row r="2779">
          <cell r="B2779">
            <v>3020130169</v>
          </cell>
          <cell r="D2779">
            <v>20406500</v>
          </cell>
          <cell r="E2779">
            <v>90289010</v>
          </cell>
          <cell r="F2779" t="str">
            <v>Not applicable</v>
          </cell>
          <cell r="G2779">
            <v>90289010</v>
          </cell>
          <cell r="H2779" t="str">
            <v>Tampa principal (ABNT) - Zeus-NG 8021/8031, parte para uso em medidores de energia eletrica (contadores de eletricidade)</v>
          </cell>
        </row>
        <row r="2780">
          <cell r="B2780" t="str">
            <v>HXB8023B.R210</v>
          </cell>
          <cell r="D2780">
            <v>40181614</v>
          </cell>
          <cell r="E2780">
            <v>85389010</v>
          </cell>
          <cell r="F2780" t="str">
            <v>Not applicable</v>
          </cell>
          <cell r="G2780">
            <v>85389010</v>
          </cell>
          <cell r="H2780" t="str">
            <v>Placa de circuito impresso com componentes eletronicos, montados, com funcAo de controle e funcAo de monitoramento dos sinais eletricos medidos para medidor de energia eletrica trifasico: Medidor Zeus 8023-200 NG - 3P4B; RS485; 0.5por cento; S/Corrente Neutro; SU; s/ RF para DR</v>
          </cell>
        </row>
        <row r="2781">
          <cell r="B2781" t="str">
            <v>CIU EV700.R120</v>
          </cell>
          <cell r="D2781">
            <v>40500301</v>
          </cell>
          <cell r="E2781">
            <v>85389010</v>
          </cell>
          <cell r="F2781" t="str">
            <v>Not applicable</v>
          </cell>
          <cell r="G2781">
            <v>85389010</v>
          </cell>
          <cell r="H2781" t="str">
            <v>Placa de circuito impresso com componentes eletronicos, montados, com mostrador digital LCD (display) e com chip de comunicacAo remota por radio frequencia (RF) com funcAo de controle e funcAo de monitoramento dos sinais eletricos medidos - Pantheon - DR</v>
          </cell>
        </row>
        <row r="2782">
          <cell r="B2782" t="str">
            <v>HXB8023Z.R220</v>
          </cell>
          <cell r="D2782">
            <v>40181420</v>
          </cell>
          <cell r="E2782">
            <v>85389010</v>
          </cell>
          <cell r="F2782" t="str">
            <v>Not applicable</v>
          </cell>
          <cell r="G2782">
            <v>85389010</v>
          </cell>
          <cell r="H2782" t="str">
            <v>Placa de circuito impresso com componentes eletronicos, montados, com função de controle e monitoramento de sinais eletricos medidos para medidor( contador) de energia eletrica trifasico indireto: Medidor Zeus 8023-2,5 NG - 3P4C; RS485; 0.2 por cento; S/Corrente Neutro; c/ RF para DR; SU; --Only PCBA</v>
          </cell>
        </row>
        <row r="2783">
          <cell r="B2783" t="str">
            <v>HXB8023Z.R210</v>
          </cell>
          <cell r="D2783">
            <v>40181220</v>
          </cell>
          <cell r="E2783">
            <v>85389010</v>
          </cell>
          <cell r="F2783" t="str">
            <v>Not applicable</v>
          </cell>
          <cell r="G2783">
            <v>85389010</v>
          </cell>
          <cell r="H2783" t="str">
            <v>Placa de circuito impresso com componentes eletronicos, montados, com funcAo de controle e monitoramento de sinais eletricos medidos para medidor de energia eletrica bifasico: Medidor Zeus 8022 NG - 2P3W; RS232; 1por cento; S/Corrente Neutro; SU; --Only PCBA</v>
          </cell>
        </row>
        <row r="2784">
          <cell r="B2784" t="str">
            <v>HXB8031Z.R210</v>
          </cell>
          <cell r="D2784">
            <v>40181119</v>
          </cell>
          <cell r="E2784">
            <v>85389010</v>
          </cell>
          <cell r="F2784" t="str">
            <v>Not applicable</v>
          </cell>
          <cell r="G2784">
            <v>85389010</v>
          </cell>
          <cell r="H2784" t="str">
            <v>Placa de circuito impresso com componentes eletronicos, montados, com funcAo de controle e monitoramento de sinais eletricos medidos para medidor de energia eletrica monofasico a 3 fios: Medidor Zeus 8021 NG - 1P3W; RS485; 1por cento; S/Corrente Neutro; SU; c/ R; --Only PCBA</v>
          </cell>
        </row>
        <row r="2785">
          <cell r="B2785" t="str">
            <v>HXB8021Z.R210</v>
          </cell>
          <cell r="D2785" t="str">
            <v>40181A19</v>
          </cell>
          <cell r="E2785">
            <v>85389010</v>
          </cell>
          <cell r="F2785" t="str">
            <v>Not applicable</v>
          </cell>
          <cell r="G2785">
            <v>85389010</v>
          </cell>
          <cell r="H2785" t="str">
            <v>Placa de circuito impresso com componentes eletronicos, montados, com funcAo de controle e monitoramento de sinais eletricos medidos para medidor de energia eletrica monofasico a 2 fios: Medidor Zeus 8021 NG - 1P2W; RS485; 1por cento; S/Corrente Neutro; SU; c/ R; --Only PCBA</v>
          </cell>
        </row>
        <row r="2786">
          <cell r="B2786">
            <v>8020400600</v>
          </cell>
          <cell r="D2786">
            <v>20696001</v>
          </cell>
          <cell r="E2786">
            <v>85044010</v>
          </cell>
          <cell r="F2786" t="str">
            <v>Not applicable</v>
          </cell>
          <cell r="G2786">
            <v>85044010</v>
          </cell>
          <cell r="H2786" t="str">
            <v xml:space="preserve">Carregador de acumulador (CA) portatil para carregar dispositivos convencionais, com capacidade de 14,8V/80000mAh, contem conversores de tensAo DC-DC e DC-AC, potencia de 300W, dimensoes de 207 x 146 x 166 mm e peso aproximado de 800 g. </v>
          </cell>
        </row>
        <row r="2787">
          <cell r="B2787">
            <v>8020400430</v>
          </cell>
          <cell r="D2787">
            <v>20696002</v>
          </cell>
          <cell r="E2787">
            <v>85044010</v>
          </cell>
          <cell r="F2787" t="str">
            <v>Not applicable</v>
          </cell>
          <cell r="G2787">
            <v>85044010</v>
          </cell>
          <cell r="H2787" t="str">
            <v xml:space="preserve">Carregador de acumulador (CA) portatil para carregar dispositivos convencionais, com capacidade de 12,8V/130500mAh, contem conversores de tensAo DC-DC e DC-AC, potencia de 500W, dimensoes de 290 x 189 x 250 mm e peso aproximado de 5600 g. </v>
          </cell>
        </row>
        <row r="2788">
          <cell r="B2788">
            <v>8020400440</v>
          </cell>
          <cell r="D2788">
            <v>20696003</v>
          </cell>
          <cell r="E2788">
            <v>85044010</v>
          </cell>
          <cell r="F2788" t="str">
            <v>Not applicable</v>
          </cell>
          <cell r="G2788">
            <v>85044010</v>
          </cell>
          <cell r="H2788" t="str">
            <v xml:space="preserve">Carregador de acumulador (CA) portatil para carregar dispositivos convencionais, com capacidade de 22,4V/133200mAh, contem conversores de tensAo DC-DC e DC-AC, potencia de 1000W, dimensoes de 252 x 191 x 244 mm e peso aproximado de 5600 g. </v>
          </cell>
        </row>
        <row r="2789">
          <cell r="B2789">
            <v>8020400450</v>
          </cell>
          <cell r="D2789">
            <v>20696004</v>
          </cell>
          <cell r="E2789">
            <v>85414300</v>
          </cell>
          <cell r="F2789" t="str">
            <v>Not applicable</v>
          </cell>
          <cell r="G2789">
            <v>85414300</v>
          </cell>
          <cell r="H2789" t="str">
            <v>Dispositivo fotossensível semicondutor, celulas fotovoltaicas montadas em painel solar, com alta eficiencia de conversAo. Potencia de pico de 100 W, eficiencia de celula de ate 23por cento, tensAo na potencia maxima de 18 V, corrente na potencia maxima de 5,55 A, dimensAo 536 * 1228 * 25 mm, peso 4,3 kg.</v>
          </cell>
        </row>
        <row r="2790">
          <cell r="B2790">
            <v>4030300010</v>
          </cell>
          <cell r="D2790">
            <v>72623</v>
          </cell>
          <cell r="E2790">
            <v>85369090</v>
          </cell>
          <cell r="F2790" t="str">
            <v>Not applicable</v>
          </cell>
          <cell r="G2790">
            <v>85369090</v>
          </cell>
          <cell r="H2790" t="str">
            <v>Agulha de contato eletrico 52mm; 4.0mm. 5.5mm (ref.4030300010)</v>
          </cell>
        </row>
        <row r="2791">
          <cell r="B2791">
            <v>3013601970</v>
          </cell>
          <cell r="D2791">
            <v>20603102</v>
          </cell>
          <cell r="E2791">
            <v>85043111</v>
          </cell>
          <cell r="F2791">
            <v>85043111</v>
          </cell>
          <cell r="G2791">
            <v>85043111</v>
          </cell>
          <cell r="H2791" t="str">
            <v xml:space="preserve">Transformador de corrente bipartido de potencia 2,5VA (0,0025kVA), para frequencia de 60 Hz, relacAo de transformacAo 500/5 classe 0.5 com derivacAo p/ medicAo de tensAo e cabo secundario do transformador de corrente com 3,0m. </v>
          </cell>
        </row>
        <row r="2792">
          <cell r="B2792">
            <v>3100913130</v>
          </cell>
          <cell r="D2792">
            <v>21335000</v>
          </cell>
          <cell r="E2792">
            <v>39199090</v>
          </cell>
          <cell r="F2792">
            <v>39199090</v>
          </cell>
          <cell r="G2792">
            <v>39199090</v>
          </cell>
          <cell r="H2792" t="str">
            <v>Etiqueta em folha autoadesiva, de material de plastico de policarbonato (3100913130)</v>
          </cell>
        </row>
        <row r="2793">
          <cell r="B2793">
            <v>3100116440</v>
          </cell>
          <cell r="D2793">
            <v>21335100</v>
          </cell>
          <cell r="E2793">
            <v>39199090</v>
          </cell>
          <cell r="F2793">
            <v>39199090</v>
          </cell>
          <cell r="G2793">
            <v>39199090</v>
          </cell>
          <cell r="H2793" t="str">
            <v>Etiqueta de identificacAo HXAP1000, em folha autoadesiva, de material plastico de ​policarbonato (3100116440)</v>
          </cell>
        </row>
        <row r="2794">
          <cell r="B2794">
            <v>8040100200</v>
          </cell>
          <cell r="D2794">
            <v>21510001</v>
          </cell>
          <cell r="E2794">
            <v>85437099</v>
          </cell>
          <cell r="F2794" t="str">
            <v>Not applicable</v>
          </cell>
          <cell r="G2794">
            <v>85437099</v>
          </cell>
          <cell r="H2794" t="str">
            <v>Paineis fotovoltaicos acoplados com estrutura de solo automatizdado tipo tracker com tres eixos de rotacAo para geracAo de energia fotovoltaica, de 2.6kW, 10A, eficiencia de 21,6por cento, 265V, grau de protecAo IP65</v>
          </cell>
        </row>
        <row r="2795">
          <cell r="B2795">
            <v>8041200100</v>
          </cell>
          <cell r="D2795">
            <v>21500646</v>
          </cell>
          <cell r="E2795">
            <v>85044090</v>
          </cell>
          <cell r="F2795" t="str">
            <v>Not applicable</v>
          </cell>
          <cell r="G2795">
            <v>85044090</v>
          </cell>
          <cell r="H2795" t="str">
            <v>Inversores para sistemas fotovoltaicos "off-grid", tipo "string", para rede monofasica, com potencia nominal de saída de 3.000W a 40 graus Celsius, com potencia maxima de saída de 4.200W a 40 graus Celsius e tensAo nominal de saída de 230Vac, de marca XXXX, modelo HF4830S60-H, ano de fabricacAo 2023 e numero de serie SR-2307210018-301244-T01 para conversAo de energia corrente contínua em energia corrente alternada, de tecnologia de controle microprocessado, tensAo de alimentacAo 230 Vca, corrente nominal de saída de 60A, faixa de frequencia 50/60 Hz, eficiencia maxima de 95por cento, gabinete com grau de protecAo IP20, projetado para suportar operacAo em temperaturas na faixa de -20 a 60 graus Celsius, uma MPPT</v>
          </cell>
        </row>
        <row r="2796">
          <cell r="B2796">
            <v>8040400200</v>
          </cell>
          <cell r="D2796">
            <v>21510002</v>
          </cell>
          <cell r="E2796">
            <v>85076000</v>
          </cell>
          <cell r="F2796" t="str">
            <v>Not applicable</v>
          </cell>
          <cell r="G2796">
            <v>85076000</v>
          </cell>
          <cell r="H2796" t="str">
            <v>Modulos de acumuladores eletricos de íons de lítio, com sistemas de monitoramento de baterias (BMS), para aplicacAo em sistemas de armazenamento de energia, estacionarios ou tracionarios, apresentados em involucro ou gabinete unico, com tensAo nominal de 48V - de forma retangular, marca XXXX, modelo CD-10000U/15S, ano de fabricacAo xxxx, numero de serie xxxxx, de volume exterior aproximado de 58.752cm³, com classe de protecAo IP21 e capacidade de 9.6kWh. Maxima corrente de carregamento e descarregamento de 120A e 6000 ciclos de vida util (8040400200)</v>
          </cell>
        </row>
        <row r="2797">
          <cell r="B2797" t="str">
            <v>61050.R130</v>
          </cell>
          <cell r="D2797">
            <v>40600111</v>
          </cell>
          <cell r="E2797">
            <v>85353018</v>
          </cell>
          <cell r="F2797">
            <v>85353018</v>
          </cell>
          <cell r="G2797">
            <v>85353018</v>
          </cell>
          <cell r="H2797" t="str">
            <v>RELIGADOR AUTOMATICO MONOFASICO AUTOALIMENTADO COM INTERRUPCAO À VACUO (HXD820-15.5/40A-6.3KA), CORRENTE NOMINAL xxxx (A), MARCA XXX MODELO XXX ANO DE FABRICACAO XXXX, NUMERO DE SERIE YYYY A ZZZZ.</v>
          </cell>
        </row>
        <row r="2798">
          <cell r="B2798" t="str">
            <v>61615.R130</v>
          </cell>
          <cell r="D2798">
            <v>40600113</v>
          </cell>
          <cell r="E2798">
            <v>85353018</v>
          </cell>
          <cell r="F2798">
            <v>85353018</v>
          </cell>
          <cell r="G2798">
            <v>85353018</v>
          </cell>
          <cell r="H2798" t="str">
            <v>RELIGADOR AUTOMATICO MONOFASICO AUTOALIMENTADO COM INTERRUPCAO À VACUO (HXD820-29/40A-6.3KA) , CORRENTE NOMINAL XXXX (A), MARCA XXX MODELO XXX ANO DE FABRICACAO XXXX, NUMERO DE SERIE YYYY A ZZZZ.</v>
          </cell>
        </row>
        <row r="2799">
          <cell r="B2799" t="str">
            <v>61615.R120</v>
          </cell>
          <cell r="D2799">
            <v>58120000</v>
          </cell>
          <cell r="E2799">
            <v>85353018</v>
          </cell>
          <cell r="F2799">
            <v>85353018</v>
          </cell>
          <cell r="G2799">
            <v>85353018</v>
          </cell>
          <cell r="H2799" t="str">
            <v>RELIGADOR AUTOMATICO MONOFASICO AUTOALIMENTADO COM INTERRUPCAO À VACUO (HXD820-29/100A-6.3KA), CORRENTE NOMINAL xxxx( A), MARCA XXX MODELO XXX ANO DE FABRICACAO XXXX, NUMERO DE SERIE YYYY A ZZZZ.</v>
          </cell>
        </row>
        <row r="2800">
          <cell r="B2800">
            <v>3020127949</v>
          </cell>
          <cell r="D2800">
            <v>20415000</v>
          </cell>
          <cell r="E2800">
            <v>90289010</v>
          </cell>
          <cell r="F2800">
            <v>90289010</v>
          </cell>
          <cell r="H2800" t="str">
            <v>Base Bifasica com furo completamente aberto (3020127949)</v>
          </cell>
        </row>
        <row r="2801">
          <cell r="B2801">
            <v>3020127959</v>
          </cell>
          <cell r="D2801">
            <v>20415003</v>
          </cell>
          <cell r="E2801">
            <v>90289010</v>
          </cell>
          <cell r="F2801">
            <v>90289010</v>
          </cell>
          <cell r="H2801" t="str">
            <v>Base Trifasica com furo completamente aberto (3020127959)</v>
          </cell>
        </row>
        <row r="2802">
          <cell r="B2802">
            <v>3020128009</v>
          </cell>
          <cell r="D2802">
            <v>20465502</v>
          </cell>
          <cell r="E2802">
            <v>90289010</v>
          </cell>
          <cell r="F2802">
            <v>90289010</v>
          </cell>
          <cell r="H2802" t="str">
            <v>Base Bifasica - Cronos 6003-NG - Hexing</v>
          </cell>
        </row>
        <row r="2803">
          <cell r="B2803">
            <v>3020127999</v>
          </cell>
          <cell r="D2803">
            <v>20465501</v>
          </cell>
          <cell r="E2803">
            <v>90289010</v>
          </cell>
          <cell r="F2803">
            <v>90289010</v>
          </cell>
          <cell r="H2803" t="str">
            <v>Base Bifasica - Cronos 7023-NG - Hexing</v>
          </cell>
        </row>
        <row r="2804">
          <cell r="B2804">
            <v>3020127989</v>
          </cell>
          <cell r="D2804" t="str">
            <v>20465503 </v>
          </cell>
          <cell r="E2804">
            <v>90289010</v>
          </cell>
          <cell r="F2804">
            <v>90289010</v>
          </cell>
          <cell r="H2804" t="str">
            <v>Base Trifasica - Cronos 6003-NG- Hexing</v>
          </cell>
        </row>
        <row r="2805">
          <cell r="B2805">
            <v>3020127979</v>
          </cell>
          <cell r="D2805">
            <v>20465500</v>
          </cell>
          <cell r="E2805">
            <v>90289010</v>
          </cell>
          <cell r="F2805">
            <v>90289010</v>
          </cell>
          <cell r="H2805" t="str">
            <v>Base Trifasica - Cronos 7023-NG- Hexing</v>
          </cell>
        </row>
        <row r="2806">
          <cell r="B2806">
            <v>7040100890</v>
          </cell>
          <cell r="D2806">
            <v>72571</v>
          </cell>
          <cell r="E2806">
            <v>84148012</v>
          </cell>
          <cell r="F2806" t="str">
            <v>Not applicable</v>
          </cell>
          <cell r="H2806" t="str">
            <v>Compressor de ar Modelo: SG55A Ⅳ-H, numero de serie XXXXXXX, marca KOBELCO pressAo maxima: 0,75MPa, volume de exaustAo: 10,7 m3/min/8,5KG, potencia: 55KW, 380v.</v>
          </cell>
        </row>
        <row r="2807">
          <cell r="B2807">
            <v>7040100900</v>
          </cell>
          <cell r="D2807">
            <v>99520</v>
          </cell>
          <cell r="E2807">
            <v>84193900</v>
          </cell>
          <cell r="F2807" t="str">
            <v>Not applicable</v>
          </cell>
          <cell r="H2807" t="str">
            <v>Secador de ar para sistema compressor de ar, modelo BLR175, numero de serie ZZZZZZZZ, marca Hangzhou Risheng, ano de fabricacAo XXXX.</v>
          </cell>
        </row>
        <row r="2808">
          <cell r="B2808" t="str">
            <v>HXAP1000R21203CELESC</v>
          </cell>
          <cell r="D2808">
            <v>20694428</v>
          </cell>
          <cell r="E2808">
            <v>85176241</v>
          </cell>
          <cell r="F2808">
            <v>85176241</v>
          </cell>
          <cell r="G2808">
            <v>85176241</v>
          </cell>
          <cell r="H2808"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a 336 VAC. - AlimentacAo "full-range" específica de  90 a 336 VAC. Ano de fabricacAo XXXX, numeros de serie YYYY a ZZZZ, modelo MMMM, marca LLLL.</v>
          </cell>
        </row>
        <row r="2809">
          <cell r="B2809" t="str">
            <v>HXAP1000R21204CELESC</v>
          </cell>
          <cell r="D2809">
            <v>20694429</v>
          </cell>
          <cell r="E2809">
            <v>85176241</v>
          </cell>
          <cell r="F2809">
            <v>85176241</v>
          </cell>
          <cell r="G2809">
            <v>85176241</v>
          </cell>
          <cell r="H2809"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a 336 VAC. - AlimentacAo "full-range" específica de  90 a 336 VAC. Ano de fabricacAo XXXX, numeros de serie YYYY a ZZZZ, modelo MMMM, marca LLLL.</v>
          </cell>
        </row>
        <row r="2810">
          <cell r="B2810" t="str">
            <v>HXAP1000R21204-NEO</v>
          </cell>
          <cell r="D2810">
            <v>20694433</v>
          </cell>
          <cell r="E2810">
            <v>85176241</v>
          </cell>
          <cell r="F2810">
            <v>85176241</v>
          </cell>
          <cell r="G2810">
            <v>85176241</v>
          </cell>
          <cell r="H2810"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a 336 VAC. - AlimentacAo "full-range" específica de  90 a 336 VAC. Ano de fabricacAo XXXX, numeros de serie YYYY a ZZZZ, modelo MMMM, marca LLLL.</v>
          </cell>
        </row>
        <row r="2811">
          <cell r="B2811" t="str">
            <v>HXWSG100R21204-NEO</v>
          </cell>
          <cell r="D2811">
            <v>20694434</v>
          </cell>
          <cell r="E2811">
            <v>85176272</v>
          </cell>
          <cell r="F2811">
            <v>85176272</v>
          </cell>
          <cell r="G2811">
            <v>85176272</v>
          </cell>
          <cell r="H2811" t="str">
            <v>Repetidores de sinal de radio frequencia,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80 ~ 300 VAC.- AlimentacAo "full-range" específica de  90 a 336 VAC.</v>
          </cell>
        </row>
        <row r="2812">
          <cell r="B2812" t="str">
            <v>HXWSG100R21204CELESC</v>
          </cell>
          <cell r="D2812">
            <v>20694435</v>
          </cell>
          <cell r="E2812">
            <v>85176272</v>
          </cell>
          <cell r="F2812">
            <v>85176272</v>
          </cell>
          <cell r="G2812">
            <v>85176272</v>
          </cell>
          <cell r="H2812" t="str">
            <v>Repetidores de sinal de radio frequencia,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80 ~ 300 VAC.- AlimentacAo "full-range" específica de  90 a 336 VAC.</v>
          </cell>
        </row>
        <row r="2813">
          <cell r="B2813">
            <v>7020501070</v>
          </cell>
          <cell r="D2813" t="str">
            <v>PENDING</v>
          </cell>
          <cell r="E2813">
            <v>84799090</v>
          </cell>
          <cell r="F2813" t="str">
            <v>Not applicable</v>
          </cell>
          <cell r="H2813" t="str">
            <v>Alimentador (feeder), parte de maquina para montagem de componentes eletronicos em superfícies SMD de placas de circuito impresso, com acionamento eletrico, 12mm (ref.7020501070)</v>
          </cell>
        </row>
        <row r="2814">
          <cell r="B2814">
            <v>7020501080</v>
          </cell>
          <cell r="D2814" t="str">
            <v>PENDING</v>
          </cell>
          <cell r="E2814">
            <v>84799090</v>
          </cell>
          <cell r="F2814" t="str">
            <v>Not applicable</v>
          </cell>
          <cell r="H2814" t="str">
            <v>Alimentador (feeder), parte de maquina para montagem de componentes eletronicos em superfícies SMD de placas de circuito impresso, com acionamento eletrico, 16mm (ref.7020501080)</v>
          </cell>
        </row>
        <row r="2815">
          <cell r="B2815">
            <v>7020501100</v>
          </cell>
          <cell r="D2815" t="str">
            <v>PENDING</v>
          </cell>
          <cell r="E2815">
            <v>84799090</v>
          </cell>
          <cell r="F2815" t="str">
            <v>Not applicable</v>
          </cell>
          <cell r="H2815" t="str">
            <v>Alimentador (feeder), parte de maquina para montagem de componentes eletronicos em superfícies SMD de placas de circuito impresso, com acionamento eletrico, 24mm (ref.7020501100)</v>
          </cell>
        </row>
        <row r="2816">
          <cell r="B2816">
            <v>2140103920</v>
          </cell>
          <cell r="D2816">
            <v>20643004</v>
          </cell>
          <cell r="E2816">
            <v>85177190</v>
          </cell>
          <cell r="F2816">
            <v>85177190</v>
          </cell>
          <cell r="H2816" t="str">
            <v>Antena de comunicacAo do tipo Stealth Blade, com conector SMA, comprimento 1,50m, frequencia de 915MHz para utilizacAo na SolucAo Pantheon (Ref. 2140103920)</v>
          </cell>
        </row>
        <row r="2817">
          <cell r="B2817" t="str">
            <v>NA</v>
          </cell>
          <cell r="D2817">
            <v>20602200</v>
          </cell>
          <cell r="E2817">
            <v>85177190</v>
          </cell>
          <cell r="F2817">
            <v>85177190</v>
          </cell>
          <cell r="H2817" t="str">
            <v>Atenuador Coaxial parte da montagem da comunicacAo da antena, com conexAo SMA, para utilizacAo na solucAo Pantheon.</v>
          </cell>
        </row>
        <row r="2818">
          <cell r="B2818" t="str">
            <v>565AC80501</v>
          </cell>
          <cell r="D2818" t="str">
            <v>565AC80501</v>
          </cell>
          <cell r="E2818">
            <v>90282010</v>
          </cell>
          <cell r="F2818">
            <v>90282010</v>
          </cell>
          <cell r="G2818">
            <v>90282010</v>
          </cell>
          <cell r="H2818" t="str">
            <v>Hidrometro Ultrassonico Ind.(contador de líquidos); Ferro Fundido; DN50-270 mm; Q3= 40 m³/h; R500; Pulso; 4-20mA; MODBUS SABESP (ZLW-DN50) com peso líquido unitario aproximado entre 10 kgs e 15 kgs</v>
          </cell>
        </row>
        <row r="2819">
          <cell r="B2819" t="str">
            <v>565AC80601</v>
          </cell>
          <cell r="D2819" t="str">
            <v>565AC80601</v>
          </cell>
          <cell r="E2819">
            <v>90282010</v>
          </cell>
          <cell r="F2819">
            <v>90282010</v>
          </cell>
          <cell r="G2819">
            <v>90282010</v>
          </cell>
          <cell r="H2819" t="str">
            <v>Hidrometro Ultrassonico Ind.(contador de líquidos); Aco; DN50-270 mm; Q3= 40 m³/h; R500; Pulso; 4-20mA; MODBUS SABESP (ZLW-DN50) com peso líquido unitario aproximado entre 10 kgs e 15 kgs</v>
          </cell>
        </row>
        <row r="2820">
          <cell r="B2820" t="str">
            <v>565BC90501</v>
          </cell>
          <cell r="D2820" t="str">
            <v>565BC90501</v>
          </cell>
          <cell r="E2820">
            <v>90282010</v>
          </cell>
          <cell r="F2820" t="str">
            <v>Not applicable</v>
          </cell>
          <cell r="G2820">
            <v>90282010</v>
          </cell>
          <cell r="H2820" t="str">
            <v>Hidrometro Ultrassonico Ind.(contador de líquidos); Ferro Fundido; DN80-300 mm; Q3= 63 m³/h; R500; Pulso; 4-20mA; MODBUS SABESP (ZLW-DN80) com peso líquido unitario aproximado entre 12 kgs e 16,5 kgs</v>
          </cell>
        </row>
        <row r="2821">
          <cell r="B2821" t="str">
            <v>565BC90601</v>
          </cell>
          <cell r="D2821" t="str">
            <v>565BC90601</v>
          </cell>
          <cell r="E2821">
            <v>90282010</v>
          </cell>
          <cell r="F2821" t="str">
            <v>Not applicable</v>
          </cell>
          <cell r="G2821">
            <v>90282010</v>
          </cell>
          <cell r="H2821" t="str">
            <v>Hidrometro Ultrassonico Ind.(contador de líquidos); Aco; DN80-300 mm; Q3= 63 m³/h; R500; Pulso; 4-20mA; MODBUS SABESP (ZLW-DN80) om peso líquido unitario aproximado entre 16kg e 20kg</v>
          </cell>
        </row>
        <row r="2822">
          <cell r="B2822" t="str">
            <v>HXAP1000R21203-EDP</v>
          </cell>
          <cell r="D2822">
            <v>20694436</v>
          </cell>
          <cell r="E2822">
            <v>85176241</v>
          </cell>
          <cell r="F2822">
            <v>85176241</v>
          </cell>
          <cell r="G2822">
            <v>85176241</v>
          </cell>
          <cell r="H2822" t="str">
            <v>Roteadores de borda,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90 ~ 350 VAC. Ano de fabricacAo XXXX, numeros de serie YYYY a ZZZZ, modelo MMMM, marca LLLL.</v>
          </cell>
        </row>
        <row r="2823">
          <cell r="B2823" t="str">
            <v>HXWSG100R21204-EDP</v>
          </cell>
          <cell r="D2823">
            <v>20694437</v>
          </cell>
          <cell r="E2823">
            <v>85176272</v>
          </cell>
          <cell r="F2823">
            <v>85176272</v>
          </cell>
          <cell r="H2823" t="str">
            <v>Repetidores de sinal de radio frequencia,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90 ~ 264 VAC.AlimentacAo "full-range" específica de  90 a 336 VAC.</v>
          </cell>
        </row>
        <row r="2824">
          <cell r="B2824" t="str">
            <v>HXE130R11502</v>
          </cell>
          <cell r="D2824">
            <v>40211120</v>
          </cell>
          <cell r="E2824">
            <v>90283011</v>
          </cell>
          <cell r="H2824" t="str">
            <v>Medidor de Energia  (contador de eletricidade)  Monofasico para corrente alternada, digital modelo  HXE130 Classe B 120V,240V 1Elem. 1 Fase 2 Fios 15(100)A com teclado</v>
          </cell>
        </row>
        <row r="2825">
          <cell r="B2825" t="str">
            <v>HXE130R15305</v>
          </cell>
          <cell r="D2825">
            <v>40211125</v>
          </cell>
          <cell r="E2825">
            <v>90283031</v>
          </cell>
          <cell r="H2825" t="str">
            <v xml:space="preserve">Medidor de Energia  (contador de eletricidade)  Monofasico para corrente alternada, digital modelo  HXE130 Classe B 120V,240V 1Elem. 1 Fase 2 Fios 15(100)A + Modulo de comunicacAo de radio Frequencia </v>
          </cell>
        </row>
        <row r="2826">
          <cell r="B2826" t="str">
            <v>MWT62.R410</v>
          </cell>
          <cell r="D2826">
            <v>21500442</v>
          </cell>
          <cell r="E2826">
            <v>85176277</v>
          </cell>
          <cell r="H2826" t="str">
            <v>Modulo de comunicacAo RF (MWT62.R410) para medidores inteligentes de energia eletrica modelo Zeus-NG com tecnologia 4G/3G/2G  compatíveis com os padroes LTE, HSDPA, HSUPA, HSPA+, WCDMA, EDGE, GPRS e GSM operando nas faixas 850/900/1900/2100 MHz e 850/900/1800/1900 MHz, contendo slot para SIM cards 2FF e supercapacitores para funcAo de "Last Gasp" e LEDs para indicacAo de comunicacAo com a rede e com os medidores de energia, com taxa de transmissAo de ate 150 (DL)/50 (UL) Mbps.</v>
          </cell>
        </row>
        <row r="2827">
          <cell r="B2827" t="str">
            <v>CIUEV500R23108</v>
          </cell>
          <cell r="D2827">
            <v>21500447</v>
          </cell>
          <cell r="E2827">
            <v>85176272</v>
          </cell>
          <cell r="H2827" t="str">
            <v>Display Remoto CIU para medidor de Eletrica modelo HXE130 (CIU EV500R23108) com modulos de comunicacAo de dados sem fio, digitais, emissores de radio frequencia com receptor incorporado, capazes de operar na faixa ISM de frequencias na faixa de  430 MHz,com suporte à tecnologia LoRa e taxa de transmissAo de ate 22 kbps.</v>
          </cell>
        </row>
        <row r="2828">
          <cell r="B2828">
            <v>3090600410</v>
          </cell>
          <cell r="D2828">
            <v>20601600</v>
          </cell>
          <cell r="E2828">
            <v>85444900</v>
          </cell>
          <cell r="F2828">
            <v>85444900</v>
          </cell>
          <cell r="H2828" t="str">
            <v>Cabo condutor eletrico, isolado para uso eletrico, para uma tensAo de 350VAC, nAo munido de pecas para conexAo, de material cobre RV, 0,5 mm² de diAmetro, preto, para uso na Bobina de aterramento do para-raios.</v>
          </cell>
        </row>
        <row r="2829">
          <cell r="B2829">
            <v>7020827041</v>
          </cell>
          <cell r="D2829" t="str">
            <v>99506 </v>
          </cell>
          <cell r="E2829">
            <v>84807100</v>
          </cell>
          <cell r="F2829" t="str">
            <v>Not applicable</v>
          </cell>
          <cell r="G2829">
            <v>84807100</v>
          </cell>
          <cell r="H2829" t="str">
            <v>Molde para moldagem por injecAo, para materiais plasticos de policarbonato  S23136 (ref.  7020827041)</v>
          </cell>
        </row>
        <row r="2830">
          <cell r="B2830">
            <v>61801</v>
          </cell>
          <cell r="D2830">
            <v>20694092</v>
          </cell>
          <cell r="E2830">
            <v>85371090</v>
          </cell>
          <cell r="G2830">
            <v>85371090</v>
          </cell>
          <cell r="H2830" t="str">
            <v>Controle eletroeletronico microprocessado para chaves de interrupcAo sob carga, meio de interupcAo à vacuo , construído em caixa de aco inox, com pre-disposicAo para fixacAo na parte posterior, para utilizacAo em ambientes externos de media tensAo, contem firmware dedicado a operacAo de manobra de redes eletricas, sensor de abertura de portas e outros acessorios. TensAo de alimentacAo 3P+T Full-Range 95-265VAC 50Hz/60Hz, tensAo de comando de 24VDC.</v>
          </cell>
        </row>
        <row r="2831">
          <cell r="B2831">
            <v>4010201700</v>
          </cell>
          <cell r="D2831">
            <v>50726</v>
          </cell>
          <cell r="E2831">
            <v>84672992</v>
          </cell>
          <cell r="F2831" t="str">
            <v>Not applicable</v>
          </cell>
          <cell r="G2831">
            <v>84672992</v>
          </cell>
          <cell r="H2831" t="str">
            <v>Parafusadeira com motor eletrico incorporado, de uso manual</v>
          </cell>
        </row>
        <row r="2832">
          <cell r="B2832">
            <v>4039898340</v>
          </cell>
          <cell r="D2832">
            <v>97664</v>
          </cell>
          <cell r="E2832">
            <v>90282010</v>
          </cell>
          <cell r="F2832" t="str">
            <v>Not applicable</v>
          </cell>
          <cell r="H2832" t="str">
            <v>Contador de líquidos DN2,5 com peso líquido unitario aproximado entre 2 kg e 10 kg, Medidor de vazAo eletromagnetico</v>
          </cell>
        </row>
        <row r="2833">
          <cell r="B2833">
            <v>4039898350</v>
          </cell>
          <cell r="D2833">
            <v>97664</v>
          </cell>
          <cell r="E2833">
            <v>90282010</v>
          </cell>
          <cell r="F2833" t="str">
            <v>Not applicable</v>
          </cell>
          <cell r="H2833" t="str">
            <v>Contador de líquidos DN10 com peso líquido unitario aproximado entre 2 kg e 15 kg, Medidor de vazAo eletromagnetico</v>
          </cell>
        </row>
        <row r="2834">
          <cell r="B2834">
            <v>4039898360</v>
          </cell>
          <cell r="D2834">
            <v>97664</v>
          </cell>
          <cell r="E2834">
            <v>90282010</v>
          </cell>
          <cell r="F2834" t="str">
            <v>Not applicable</v>
          </cell>
          <cell r="H2834" t="str">
            <v>Contador de líquidos DN25 com peso líquido unitario aproximado entre 2 kg e 15 kg, Medidor de vazAo eletromagnetico</v>
          </cell>
        </row>
        <row r="2835">
          <cell r="B2835">
            <v>4039898280</v>
          </cell>
          <cell r="D2835">
            <v>99958</v>
          </cell>
          <cell r="E2835">
            <v>90328982</v>
          </cell>
          <cell r="F2835" t="str">
            <v>Not applicable</v>
          </cell>
          <cell r="G2835">
            <v>90328982</v>
          </cell>
          <cell r="H2835" t="str">
            <v xml:space="preserve">Transmissor de Temperatura Integrado 0-100ºC parte para uso em maquina de verificacAo de vazAo de hidrometros </v>
          </cell>
        </row>
        <row r="2836">
          <cell r="B2836">
            <v>4039898290</v>
          </cell>
          <cell r="D2836">
            <v>99716</v>
          </cell>
          <cell r="E2836">
            <v>90262010</v>
          </cell>
          <cell r="F2836" t="str">
            <v>Not applicable</v>
          </cell>
          <cell r="H2836" t="str">
            <v xml:space="preserve">Manometro-transmissor De pressAo com sensor de pressAo de exibicAo 0-6Mpa, para uso em maquina de verificacAo de vazAo de hidrometros </v>
          </cell>
        </row>
        <row r="2837">
          <cell r="B2837">
            <v>4010205750</v>
          </cell>
          <cell r="D2837">
            <v>40935</v>
          </cell>
          <cell r="E2837">
            <v>85151900</v>
          </cell>
          <cell r="F2837" t="str">
            <v>Not applicable</v>
          </cell>
          <cell r="H2837" t="str">
            <v>EstacAo  para soldadura de componentes SMD</v>
          </cell>
        </row>
        <row r="2838">
          <cell r="B2838">
            <v>4010201620</v>
          </cell>
          <cell r="D2838">
            <v>40935</v>
          </cell>
          <cell r="E2838">
            <v>85151900</v>
          </cell>
          <cell r="F2838" t="str">
            <v>Not applicable</v>
          </cell>
          <cell r="H2838" t="str">
            <v>EstacAo para soldadura de componentes PTH</v>
          </cell>
        </row>
        <row r="2839">
          <cell r="B2839">
            <v>4030400600</v>
          </cell>
          <cell r="D2839">
            <v>85643</v>
          </cell>
          <cell r="E2839">
            <v>85369090</v>
          </cell>
          <cell r="F2839" t="str">
            <v>Not applicable</v>
          </cell>
          <cell r="G2839">
            <v>85369090</v>
          </cell>
          <cell r="H2839" t="str">
            <v>Soquete de tensAo 120V a 240V PARA CONEXAO DE CIRCUITO ELeTRICO para programacAo de firmware em medidores de energia eletrica (ref.4030400600)</v>
          </cell>
        </row>
        <row r="2840">
          <cell r="B2840">
            <v>3012102520</v>
          </cell>
          <cell r="D2840">
            <v>21214000</v>
          </cell>
          <cell r="E2840">
            <v>85364900</v>
          </cell>
          <cell r="F2840" t="str">
            <v>Need to update benefit</v>
          </cell>
          <cell r="H2840" t="str">
            <v>RELe DE TENSAO 220V, corrente 3A, diAmetro do furo de montagem: 16mm, material de contato: oxido de cadmio, grau de protecAo IP 67( Ref. 3012102520)</v>
          </cell>
        </row>
        <row r="2841">
          <cell r="B2841" t="str">
            <v>MJN72R12003</v>
          </cell>
          <cell r="D2841">
            <v>20691387</v>
          </cell>
          <cell r="E2841">
            <v>85176272</v>
          </cell>
          <cell r="F2841">
            <v>85176272</v>
          </cell>
          <cell r="G2841">
            <v>85176272</v>
          </cell>
          <cell r="H2841"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 e modelo MJN72.R12003,  Ano de fabricacAo XXXX, numero de serie YYYY a ZZZZ.</v>
          </cell>
        </row>
        <row r="2842">
          <cell r="B2842">
            <v>2150162950</v>
          </cell>
          <cell r="D2842">
            <v>20661765</v>
          </cell>
          <cell r="E2842">
            <v>85340033</v>
          </cell>
          <cell r="F2842" t="str">
            <v>Not applicable</v>
          </cell>
          <cell r="G2842">
            <v>85340033</v>
          </cell>
          <cell r="H2842" t="str">
            <v>PLACA DE CIRCUITO IMPRESSO, DE NATUREZA DO MATERIAL BASE RÍGIDO, COMPOSIcAO DA PLACA DE ISOLANTE DE RESINA EPoXIDA E TECIDO DE FIBRA DE VIDRO, ESTRUTURA DE DUPLA FACE E INTERLIGAcAO ENTRE FACES POR FUROS METALIZADOS; dimensoes 300mm x 190mm</v>
          </cell>
        </row>
        <row r="2843">
          <cell r="B2843">
            <v>4030411370</v>
          </cell>
          <cell r="D2843">
            <v>10410818</v>
          </cell>
          <cell r="E2843">
            <v>85444900</v>
          </cell>
          <cell r="F2843">
            <v>85444900</v>
          </cell>
          <cell r="G2843">
            <v>85444900</v>
          </cell>
          <cell r="H2843" t="str">
            <v>CABO CONDUTOR ELeTRICO, ISOLADO PARA USO ELeTRICO, PARA APLICAcAO EM TENSAO APROXIMADA DE 24V, nAo munido de pecas para conexAo, de material cobre, DE 2 NuCLEOS (VERMELHO E BRANCO) PARA TRANSDUTOR.</v>
          </cell>
        </row>
        <row r="2844">
          <cell r="B2844">
            <v>7020300270</v>
          </cell>
          <cell r="D2844">
            <v>99516</v>
          </cell>
          <cell r="E2844">
            <v>84798190</v>
          </cell>
          <cell r="F2844">
            <v>84798190</v>
          </cell>
          <cell r="G2844">
            <v>84798190</v>
          </cell>
          <cell r="H2844" t="str">
            <v>Maquinas automaticas para corte e decapagem de fios e cabos eletricos, com capacidade para diAmetros externos igual ou superior a 1mm mas igual ou inferior a 50mm, com deteccAo automatica da seccAo transversal do fio/cabo, com velocidade de 60 m/s, painel de comando com controle eletronico.</v>
          </cell>
        </row>
        <row r="2845">
          <cell r="B2845">
            <v>7020703210</v>
          </cell>
          <cell r="D2845">
            <v>99518</v>
          </cell>
          <cell r="E2845">
            <v>84798999</v>
          </cell>
          <cell r="F2845">
            <v>84798999</v>
          </cell>
          <cell r="G2845">
            <v>84798999</v>
          </cell>
          <cell r="H2845" t="str">
            <v>Maquinas para crimpagem (montagem por pressAo) de terminais aos fios de bobinas de estatores, com corte simultAneo do clipe temporario de retencAo, ciclo de trabalho igual ou inferior a 60 segundos, controlador logico programavel (CLP) e carga e descarga automaticas.</v>
          </cell>
        </row>
        <row r="2846">
          <cell r="B2846">
            <v>7029900660</v>
          </cell>
          <cell r="D2846">
            <v>100124</v>
          </cell>
          <cell r="E2846">
            <v>84561119</v>
          </cell>
          <cell r="F2846" t="str">
            <v>Not applicable</v>
          </cell>
          <cell r="G2846">
            <v>84561119</v>
          </cell>
          <cell r="H2846" t="str">
            <v>EstacAo de gravacAo a laser para diversos materiais, por eliminacAo de materiais por laser, de comando numerico, para corte de chapas metalicas de espessura inferior a 8mm. Han's Laser, com Laser YLP de 20W, comprimento de onda de 1064 nm ± 5 nm, frequencia de 20KHz-200KHz, precisAo de ±0,003mm, refrigerado a ar; Computador industrial; Lente F254, modelo AAAA, marca BBBB, ano de fabricacAo XXXX, numero de serie de YYYY a ZZZZ.</v>
          </cell>
        </row>
        <row r="2847">
          <cell r="B2847">
            <v>4032501640</v>
          </cell>
          <cell r="D2847">
            <v>100125</v>
          </cell>
          <cell r="E2847">
            <v>82073000</v>
          </cell>
          <cell r="F2847" t="str">
            <v>Not applicable</v>
          </cell>
          <cell r="G2847">
            <v>82073000</v>
          </cell>
          <cell r="H2847" t="str">
            <v>Ferramenta para estampar tampa de gabinete "string box" destinado para protecAo de surtos de inversores fotovoltaicos.</v>
          </cell>
        </row>
        <row r="2848">
          <cell r="B2848">
            <v>7020701770</v>
          </cell>
          <cell r="D2848" t="str">
            <v>PENDING</v>
          </cell>
          <cell r="E2848">
            <v>84223022</v>
          </cell>
          <cell r="F2848" t="str">
            <v>Not applicable</v>
          </cell>
          <cell r="G2848">
            <v>84223022</v>
          </cell>
          <cell r="H2848" t="str">
            <v>Maquina para aplicacAo de de fita para selagem e fechamento de caixas de papelAo - O diAmetro do disco e de 1,65 metros, a altura do enrolamento e de 2 metros, com inclinacAo de alimentacAo, capacidade de carga ≦2000Kg, velocidade da plataforma giratoria: 0-13 rpm, potencia completa da maquina: 1,5kw, AC 220V/50H Z</v>
          </cell>
        </row>
        <row r="2849">
          <cell r="B2849" t="str">
            <v>GT1R21003</v>
          </cell>
          <cell r="D2849">
            <v>20696009</v>
          </cell>
          <cell r="E2849">
            <v>85044090</v>
          </cell>
          <cell r="F2849" t="str">
            <v>Not applicable</v>
          </cell>
          <cell r="G2849">
            <v>85044090</v>
          </cell>
          <cell r="H2849" t="str">
            <v>Inversores para sistemas fotovoltaicos "on-grid", tipo "string", para rede monofasica, com potencia nominal de saída de 6.000W a 40 graus Celsius, com potencia maxima de saída de 6.600W a 40 graus Celsius e tensAo nominal de saída de 230Vac, de marca XXXX, modelo GT1-6KD2, ano de fabricacAo XXXX e numero de serie XXXX para conversAo de energia corrente contínua em energia corrente alternada, de tecnologia de controle microprocessado, tensAo de alimentacAo 230Vca, corrente nominal de saída de 30A, faixa de frequencia 50/60 Hz, eficiencia maxima de 97.5por cento, gabinete com grau de protecAo IP65, projetado para suportar operacAo em temperaturas na faixa de -20 a 60 graus Celsius, duas MPPT.</v>
          </cell>
        </row>
        <row r="2850">
          <cell r="B2850">
            <v>3990025690</v>
          </cell>
          <cell r="D2850">
            <v>20696014</v>
          </cell>
          <cell r="E2850">
            <v>85044090</v>
          </cell>
          <cell r="F2850" t="str">
            <v>Not applicable</v>
          </cell>
          <cell r="G2850">
            <v>85044090</v>
          </cell>
          <cell r="H2850" t="str">
            <v>Inversores para sistemas fotovoltaicos "off-grid", tipo "string", para rede monofasica, com potencia nominal de saída de 1.500W a 40 graus Celsius, com potencia maxima de saída de 1.500W a 40 graus Celsius e tensAo nominal de saída de 120Vac, de marca XXXX, modelo BV1-1K548L1, ano de fabricacAo XXXX e numero de serie XXXX para conversAo de energia corrente contínua em energia corrente alternada, de tecnologia de controle microprocessado, tensAo de alimentacAo120 Vca, corrente nominal de saída de 40A, faixa de frequencia 50/60 Hz, eficiencia maxima de 98por cento, gabinete com grau de protecAo IP21, projetado para suportar operacAo em temperaturas na faixa de -20 a 60 graus Celsius, uma MPPT</v>
          </cell>
        </row>
        <row r="2851">
          <cell r="B2851" t="str">
            <v>LHE12DRR12001</v>
          </cell>
          <cell r="D2851">
            <v>40290520</v>
          </cell>
          <cell r="E2851">
            <v>90283011</v>
          </cell>
          <cell r="F2851" t="str">
            <v>Not applicable</v>
          </cell>
          <cell r="G2851">
            <v>90283011</v>
          </cell>
          <cell r="H2851" t="str">
            <v>Medidor de Energia  (contador de eletricidade)  Monofasico para corrente alternada, smart meter digital modelo  LHE12DR 230V 1Elem. 1 Fase 2 Fios 5(80)A.</v>
          </cell>
        </row>
        <row r="2852">
          <cell r="B2852">
            <v>5635970130</v>
          </cell>
          <cell r="D2852">
            <v>5635970130</v>
          </cell>
          <cell r="E2852">
            <v>90282010</v>
          </cell>
          <cell r="G2852">
            <v>90282010</v>
          </cell>
          <cell r="H2852" t="str">
            <v>Hidrometro ultrassonico (contador de líquidos) residencial com carcaca de latAo, diAmetro nominal de 25mm, comprimento 260 mm, vazAo de 6,3 m3/h; R250 e saída pulsada, com peso líquido unitario aproximado entre 15 kg e 20 kg.</v>
          </cell>
        </row>
        <row r="2853">
          <cell r="B2853" t="str">
            <v>5648B90013</v>
          </cell>
          <cell r="D2853" t="str">
            <v>5648B90013</v>
          </cell>
          <cell r="E2853">
            <v>90282010</v>
          </cell>
          <cell r="G2853">
            <v>90282010</v>
          </cell>
          <cell r="H2853" t="str">
            <v>Hidrometro ultrassonico (contador de líquidos) distrital com carcaca de latAo, diAmetro nominal de 40mm, comprimento 300 mm, vazAo de 16 m3/h; R250 com saída pulsada, com peso líquido unitario aproximado entre 2,0 kg e 5,0 kg.</v>
          </cell>
        </row>
        <row r="2854">
          <cell r="B2854" t="str">
            <v>565FCC0600</v>
          </cell>
          <cell r="C2854" t="str">
            <v>565FCC0600</v>
          </cell>
          <cell r="D2854" t="str">
            <v>565FCC0600</v>
          </cell>
          <cell r="E2854">
            <v>90282020</v>
          </cell>
          <cell r="F2854">
            <v>90282020</v>
          </cell>
          <cell r="G2854">
            <v>90282020</v>
          </cell>
          <cell r="H2854" t="str">
            <v>HIDROMETRO ULTRASSONICO  (CONTADOR DE LÍQUIDOS) INDUSTRIAL COM CARCACA DE ACO, DIAMETRO NOMINAL DE 250MM, COMPRIMENTO 450 MM, VAZAO DE 630 M3/H; R500 COM SAÍDA DE PULSO, COM PESO LÍQUIDO UNITARIO APROXIMADO ENTRE 65,0 KG E 70,0 KG.</v>
          </cell>
        </row>
        <row r="2855">
          <cell r="B2855" t="str">
            <v>564ACD0000</v>
          </cell>
          <cell r="D2855" t="str">
            <v>564ACD0000</v>
          </cell>
          <cell r="E2855">
            <v>90282010</v>
          </cell>
          <cell r="G2855">
            <v>90282010</v>
          </cell>
          <cell r="H2855" t="str">
            <v>Hidrometro ultrassonico (contador de líquidos) distrital com carcaca de latAo, diAmetro nominal de 40mm, comprimento 300 mm, vazAo de 40 m3/h; R500 com saída pulsada, com peso líquido unitario aproximado entre 2,0 kg e 5,0 kg.</v>
          </cell>
        </row>
        <row r="2856">
          <cell r="B2856" t="str">
            <v>565DC90600</v>
          </cell>
          <cell r="D2856" t="str">
            <v>565DC90600</v>
          </cell>
          <cell r="E2856">
            <v>90282010</v>
          </cell>
          <cell r="G2856">
            <v>90282010</v>
          </cell>
          <cell r="H2856" t="str">
            <v>Hidrometro ultrassonico  (contador de líquidos) industrial com carcaca de ferro fundido, diAmetro nominal de 150mm, comprimento 300 mm, vazAo de 250 m3/h; R500 com saída de pulso/modbus, com peso líquido unitario aproximado entre 30,0 kg e 35,0 kg.</v>
          </cell>
        </row>
        <row r="2857">
          <cell r="B2857" t="str">
            <v>565AB40017</v>
          </cell>
          <cell r="D2857" t="str">
            <v>565AB40017</v>
          </cell>
          <cell r="E2857">
            <v>90282010</v>
          </cell>
          <cell r="G2857">
            <v>90282010</v>
          </cell>
          <cell r="H2857" t="str">
            <v>Hidrometro ultrassonico  (contador de líquidos) industrial com carcaca de aco, diAmetro nominal de 50mm, comprimento 200 mm, vazAo de 40,0 m3/h; R400 com saída de pulso, com peso líquido unitario aproximado entre 10,0 kg e 15,0 kg.</v>
          </cell>
        </row>
        <row r="2858">
          <cell r="B2858" t="str">
            <v>MXNCU91N4GDNNS1BISUNN</v>
          </cell>
          <cell r="D2858">
            <v>20694464</v>
          </cell>
          <cell r="E2858">
            <v>85176277</v>
          </cell>
          <cell r="F2858" t="str">
            <v>Not applicable</v>
          </cell>
          <cell r="G2858">
            <v>85176277</v>
          </cell>
          <cell r="H2858" t="str">
            <v>Aparelhos para recepcAo, conversAo, transmissAo ou regeneracAo de voz ou outros dados, comutacAo, roteamento, faixa de ajuste de frequencia de 135MHz ou maior, ate 520MHz ou menor, podendo trabalhar como base, temperatura de trabalho entre -40 a +70 Graus Celsius, com ate 95por cento de umidade - Radio de frequencia licenciada 900MHz, para comunicacAo ( recepcAo, conversAo e transmissAo) de dados por rede sem fio (WLAN), emissor incorporado, digital, de taxa de transmissAo de ate 100Mbit/s ( SPF)  - marca GE, modelo MCR (MXNCU91N4GDNNS1BISUNN)</v>
          </cell>
        </row>
        <row r="2859">
          <cell r="B2859">
            <v>7030101950</v>
          </cell>
          <cell r="D2859">
            <v>92494</v>
          </cell>
          <cell r="E2859">
            <v>90318099</v>
          </cell>
          <cell r="F2859" t="str">
            <v>Not applicable</v>
          </cell>
          <cell r="G2859">
            <v>90318099</v>
          </cell>
          <cell r="H2859" t="str">
            <v>MAQUINAS DE VERIFICACAO E CALIBRACAO AUTOMATICA DE MEDIDORES DE AGUA COM CAPACIDADE PARA OS DIAMETROS NOMINAIS: 15 MM, 20 MM E 25 MM. UTILIZA DE REFERENCIA EM PRINCIPIO GRAVIMETRICO ATRAVES DE BALANCA E REGULAGEM DE VAZAO ATRAVES DE MEDIDORES ELETROMAGNETICOS PODENDO ATINGIR ATE 10 M3/H PARA ENSAIOS; FUNCIONAMENTO EM CIRCUITO CICLICO, PODENDO ARMAZENAR ATE 1000L DE AGUA; EQUIPADO COM SISTEMA DE ESTABILIZACAO DE PRESSAO, SENSORES DE TEMPERATURA E PRESSAO. NUMERO DE SERIE: XXXXXX; ANO DE FABRICACAO: XXXX; MODELO: XXXXXX; MARCA: XXXXX.</v>
          </cell>
        </row>
        <row r="2860">
          <cell r="B2860">
            <v>7029902110</v>
          </cell>
          <cell r="D2860" t="str">
            <v>PENDING</v>
          </cell>
          <cell r="E2860">
            <v>84612090</v>
          </cell>
          <cell r="F2860" t="str">
            <v>Not applicable</v>
          </cell>
          <cell r="H2860" t="str">
            <v>Maquina Plaina-Limadora para corte de componentes eletronicos, 220V, ZR-104A.(ref.7029902110)</v>
          </cell>
        </row>
        <row r="2861">
          <cell r="B2861">
            <v>4020502840</v>
          </cell>
          <cell r="D2861" t="str">
            <v>PENDING</v>
          </cell>
          <cell r="E2861">
            <v>84612090</v>
          </cell>
          <cell r="F2861" t="str">
            <v>Not applicable</v>
          </cell>
          <cell r="H2861" t="str">
            <v>Maquina Plaina-Limadora para acabar componentes eletronicos, 220V(ref.4020502840)</v>
          </cell>
        </row>
        <row r="2862">
          <cell r="B2862">
            <v>7029901240</v>
          </cell>
          <cell r="D2862" t="str">
            <v>PENDING</v>
          </cell>
          <cell r="E2862">
            <v>84612090</v>
          </cell>
          <cell r="F2862" t="str">
            <v>Not applicable</v>
          </cell>
          <cell r="H2862" t="str">
            <v>Maquina Plaina-Limadora para corte de componentes eletronicos, 220V, 805D.(ref.7029901240)</v>
          </cell>
        </row>
        <row r="2863">
          <cell r="B2863">
            <v>7029902130</v>
          </cell>
          <cell r="D2863" t="str">
            <v>PENDING</v>
          </cell>
          <cell r="E2863">
            <v>84612090</v>
          </cell>
          <cell r="F2863" t="str">
            <v>Not applicable</v>
          </cell>
          <cell r="H2863" t="str">
            <v>Maquina Plaina-Limadora para corte de componentes eletronicos, 220V, ZR-102.(ref.7029902130)</v>
          </cell>
        </row>
        <row r="2864">
          <cell r="B2864">
            <v>7029902120</v>
          </cell>
          <cell r="D2864" t="str">
            <v>PENDING</v>
          </cell>
          <cell r="E2864">
            <v>84612090</v>
          </cell>
          <cell r="F2864" t="str">
            <v>Not applicable</v>
          </cell>
          <cell r="H2864" t="str">
            <v>Maquina Plaina-Limadora para corte de componentes eletronicos, 220V, ZR-106AF.(ref.7029902120)</v>
          </cell>
        </row>
        <row r="2865">
          <cell r="B2865">
            <v>4010104240</v>
          </cell>
          <cell r="D2865" t="str">
            <v>PENDING</v>
          </cell>
          <cell r="E2865">
            <v>84612090</v>
          </cell>
          <cell r="F2865" t="str">
            <v>Not applicable</v>
          </cell>
          <cell r="H2865" t="str">
            <v>Maquina Plaina-Limadora para corte de componentes eletronicos, 220V, .(ref.4010104240)</v>
          </cell>
        </row>
        <row r="2866">
          <cell r="B2866">
            <v>4020502830</v>
          </cell>
          <cell r="D2866" t="str">
            <v>PENDING</v>
          </cell>
          <cell r="E2866">
            <v>84807100</v>
          </cell>
          <cell r="F2866" t="str">
            <v>Not applicable</v>
          </cell>
          <cell r="G2866">
            <v>84807100</v>
          </cell>
          <cell r="H2866" t="str">
            <v>Molde para moldagem por injecAo, para materiais plasticos de policarbonato (ref. 4020502830)</v>
          </cell>
        </row>
        <row r="2867">
          <cell r="B2867">
            <v>7020602080</v>
          </cell>
          <cell r="D2867" t="str">
            <v>PENDING</v>
          </cell>
          <cell r="E2867">
            <v>90262010</v>
          </cell>
          <cell r="F2867" t="str">
            <v>Not applicable</v>
          </cell>
          <cell r="H2867" t="str">
            <v>Intrumento para medir pressAo de gases, manometro F650.(ref.7020602080)</v>
          </cell>
        </row>
        <row r="2868">
          <cell r="B2868">
            <v>7030102730</v>
          </cell>
          <cell r="D2868" t="str">
            <v>PENDING</v>
          </cell>
          <cell r="E2868">
            <v>85043300</v>
          </cell>
          <cell r="F2868" t="str">
            <v>Not applicable</v>
          </cell>
          <cell r="H2868" t="str">
            <v>Transformador eletrico de potencia 47,87 kVA, de tensAo 385V (0,385kV) e peso aproximado de 48 kgs (ref.7030102730)</v>
          </cell>
        </row>
        <row r="2869">
          <cell r="B2869">
            <v>4039899050</v>
          </cell>
          <cell r="D2869" t="str">
            <v>PENDING</v>
          </cell>
          <cell r="E2869">
            <v>73269090</v>
          </cell>
          <cell r="F2869" t="str">
            <v>Not applicable</v>
          </cell>
          <cell r="H2869" t="str">
            <v>GABARITO DE PASTA DE SOLDA SMD, DE AcO, OBTIDO POR DOBRAGEM (REF. 4039899050)</v>
          </cell>
        </row>
        <row r="2870">
          <cell r="B2870">
            <v>4010205190</v>
          </cell>
          <cell r="D2870" t="str">
            <v>PENDING</v>
          </cell>
          <cell r="E2870">
            <v>84672992</v>
          </cell>
          <cell r="F2870" t="str">
            <v>Not applicable</v>
          </cell>
          <cell r="G2870">
            <v>84672992</v>
          </cell>
          <cell r="H2870" t="str">
            <v>Parafusadeira com motor eletrico incorporado, de uso manual, CD92D. (ref.4010205190)</v>
          </cell>
        </row>
        <row r="2871">
          <cell r="B2871">
            <v>4039897880</v>
          </cell>
          <cell r="D2871" t="str">
            <v>PENDING</v>
          </cell>
          <cell r="E2871">
            <v>70200090</v>
          </cell>
          <cell r="F2871" t="str">
            <v>Not applicable</v>
          </cell>
          <cell r="G2871">
            <v>70200090</v>
          </cell>
          <cell r="H2871" t="str">
            <v>Bandeja de fibra de vidro para uso em forno de soldagem de componentes eletronicos (ref. 4039897880)</v>
          </cell>
        </row>
        <row r="2872">
          <cell r="B2872">
            <v>4039897580</v>
          </cell>
          <cell r="D2872" t="str">
            <v>PENDING</v>
          </cell>
          <cell r="E2872">
            <v>73269090</v>
          </cell>
          <cell r="F2872" t="str">
            <v>Not applicable</v>
          </cell>
          <cell r="H2872" t="str">
            <v>GABARITO DE PASTA DE SOLDA SMD, DE AcO, OBTIDO POR DOBRAGEMS (ref. 4039897580)</v>
          </cell>
        </row>
        <row r="2873">
          <cell r="B2873">
            <v>4039898990</v>
          </cell>
          <cell r="D2873" t="str">
            <v>PENDING</v>
          </cell>
          <cell r="E2873">
            <v>90312090</v>
          </cell>
          <cell r="F2873" t="str">
            <v>Not applicable</v>
          </cell>
          <cell r="H2873" t="str">
            <v>Bancada de ensaio para teste funcional de acionamento de placas de circuito impresso montadas com componentes eletronicos (ref. 4039898990)</v>
          </cell>
        </row>
        <row r="2874">
          <cell r="B2874">
            <v>4010205330</v>
          </cell>
          <cell r="D2874" t="str">
            <v>PENDING</v>
          </cell>
          <cell r="E2874">
            <v>39231090</v>
          </cell>
          <cell r="F2874" t="str">
            <v>Not applicable</v>
          </cell>
          <cell r="H2874" t="str">
            <v>Caixa de plastico para armazenar componentes eletronicos, cor azul. (ref.4010205330)</v>
          </cell>
        </row>
        <row r="2875">
          <cell r="B2875">
            <v>4020408740</v>
          </cell>
          <cell r="D2875" t="str">
            <v>PENDING</v>
          </cell>
          <cell r="E2875">
            <v>94032090</v>
          </cell>
          <cell r="F2875" t="str">
            <v>Not applicable</v>
          </cell>
          <cell r="H2875" t="str">
            <v>Movel de aco do tipo estante, para uso industrial.(ref.94032090)</v>
          </cell>
        </row>
        <row r="2876">
          <cell r="B2876">
            <v>4010401460</v>
          </cell>
          <cell r="D2876" t="str">
            <v>PENDING</v>
          </cell>
          <cell r="E2876">
            <v>39231090</v>
          </cell>
          <cell r="F2876" t="str">
            <v>Not applicable</v>
          </cell>
          <cell r="H2876" t="str">
            <v>Caixa de material de plastico, antiestatica (ESD), para acomodacAo e transporte de componentes eletronicos (tamanho pequeno: 350*320*539)</v>
          </cell>
        </row>
        <row r="2877">
          <cell r="B2877">
            <v>4010401470</v>
          </cell>
          <cell r="D2877" t="str">
            <v>PENDING</v>
          </cell>
          <cell r="E2877">
            <v>39231090</v>
          </cell>
          <cell r="F2877" t="str">
            <v>Not applicable</v>
          </cell>
          <cell r="H2877" t="str">
            <v>Caixa de material de plastico, antiestatica (ESD), para acomodacAo e transporte de componentes eletronicos (tamanho grande: 535*460*539)</v>
          </cell>
        </row>
        <row r="2878">
          <cell r="B2878">
            <v>7029901530</v>
          </cell>
          <cell r="D2878" t="str">
            <v>PENDING</v>
          </cell>
          <cell r="E2878">
            <v>84287000</v>
          </cell>
          <cell r="F2878" t="str">
            <v>Not applicable</v>
          </cell>
          <cell r="H2878" t="str">
            <v>Robo transportador automatico, de acAo contínua, para mercadorias em linha de producAo.(ref. 7029901530)</v>
          </cell>
        </row>
        <row r="2879">
          <cell r="B2879">
            <v>4010204610</v>
          </cell>
          <cell r="D2879" t="str">
            <v>PENDING</v>
          </cell>
          <cell r="E2879">
            <v>85152900</v>
          </cell>
          <cell r="F2879" t="str">
            <v>Not applicable</v>
          </cell>
          <cell r="H2879" t="str">
            <v>EstacAo de solda com pistola de solda para soldagem de metais por resistencia, com regulador manual. (ref.4010204610)</v>
          </cell>
        </row>
        <row r="2880">
          <cell r="B2880">
            <v>4020502850</v>
          </cell>
          <cell r="D2880" t="str">
            <v>PENDING</v>
          </cell>
          <cell r="E2880">
            <v>85159000</v>
          </cell>
          <cell r="F2880" t="str">
            <v>Not applicable</v>
          </cell>
          <cell r="H2880" t="str">
            <v>Ponta para ferro de solda, parte de ferro de solda.(ref.4020502850)</v>
          </cell>
        </row>
        <row r="2881">
          <cell r="B2881">
            <v>4010202030</v>
          </cell>
          <cell r="D2881" t="str">
            <v>PENDING</v>
          </cell>
          <cell r="E2881">
            <v>82032010</v>
          </cell>
          <cell r="F2881" t="str">
            <v>Not applicable</v>
          </cell>
          <cell r="H2881" t="str">
            <v>Alicate diagonal, de uso manual</v>
          </cell>
        </row>
        <row r="2882">
          <cell r="B2882">
            <v>4010200470</v>
          </cell>
          <cell r="D2882" t="str">
            <v>PENDING</v>
          </cell>
          <cell r="E2882">
            <v>96039000</v>
          </cell>
          <cell r="F2882" t="str">
            <v>Not applicable</v>
          </cell>
          <cell r="H2882" t="str">
            <v>Escova para limpeza de maquinas industriais.(ref. 4010200470)</v>
          </cell>
        </row>
        <row r="2883">
          <cell r="B2883">
            <v>4010205110</v>
          </cell>
          <cell r="D2883" t="str">
            <v>PENDING</v>
          </cell>
          <cell r="E2883">
            <v>82041100</v>
          </cell>
          <cell r="F2883" t="str">
            <v>Not applicable</v>
          </cell>
          <cell r="H2883" t="str">
            <v>Chave de porca, manual, de abertura fixa, 12,5mm, 1/2 (ref.4010205110)</v>
          </cell>
        </row>
        <row r="2884">
          <cell r="B2884">
            <v>4010205030</v>
          </cell>
          <cell r="D2884" t="str">
            <v>PENDING</v>
          </cell>
          <cell r="E2884">
            <v>74152900</v>
          </cell>
          <cell r="F2884" t="str">
            <v>Not applicable</v>
          </cell>
          <cell r="H2884" t="str">
            <v>Pino nAo roscado, de cobre, 16mm 1/2 (ref.4010205030)</v>
          </cell>
        </row>
        <row r="2885">
          <cell r="B2885">
            <v>4010205040</v>
          </cell>
          <cell r="D2885" t="str">
            <v>PENDING</v>
          </cell>
          <cell r="E2885">
            <v>74152900</v>
          </cell>
          <cell r="F2885" t="str">
            <v>Not applicable</v>
          </cell>
          <cell r="H2885" t="str">
            <v>Pino nAo roscado, de cobre, 18mm 1/2 (ref.4010205040)</v>
          </cell>
        </row>
        <row r="2886">
          <cell r="B2886">
            <v>4010205050</v>
          </cell>
          <cell r="D2886" t="str">
            <v>PENDING</v>
          </cell>
          <cell r="E2886">
            <v>74152900</v>
          </cell>
          <cell r="F2886" t="str">
            <v>Not applicable</v>
          </cell>
          <cell r="H2886" t="str">
            <v>Pino nAo roscado, de cobre, 27mm 1/2 (ref.4010205050)</v>
          </cell>
        </row>
        <row r="2887">
          <cell r="B2887">
            <v>4010205060</v>
          </cell>
          <cell r="D2887" t="str">
            <v>PENDING</v>
          </cell>
          <cell r="E2887">
            <v>74152900</v>
          </cell>
          <cell r="F2887" t="str">
            <v>Not applicable</v>
          </cell>
          <cell r="H2887" t="str">
            <v>Pino nAo roscado, de cobre, 32mm 1/2 (ref.4010205060)</v>
          </cell>
        </row>
        <row r="2888">
          <cell r="B2888">
            <v>4010205220</v>
          </cell>
          <cell r="D2888" t="str">
            <v>PENDING</v>
          </cell>
          <cell r="E2888">
            <v>84719019</v>
          </cell>
          <cell r="F2888" t="str">
            <v>Not applicable</v>
          </cell>
          <cell r="H2888" t="str">
            <v>Programadora automatica de dados de firmware em circuitos integrados eletronicos.(ref. 4010205220)</v>
          </cell>
        </row>
        <row r="2889">
          <cell r="B2889">
            <v>4010204980</v>
          </cell>
          <cell r="D2889" t="str">
            <v>PENDING</v>
          </cell>
          <cell r="E2889">
            <v>84679900</v>
          </cell>
          <cell r="F2889" t="str">
            <v>Not applicable</v>
          </cell>
          <cell r="H2889" t="str">
            <v>Bit, parte para uso em parafusadeira, com motor eletrico incorporado de uso manual - 150mm, Φ3, PH1</v>
          </cell>
        </row>
        <row r="2890">
          <cell r="B2890">
            <v>4010204990</v>
          </cell>
          <cell r="D2890" t="str">
            <v>PENDING</v>
          </cell>
          <cell r="E2890">
            <v>84679900</v>
          </cell>
          <cell r="F2890" t="str">
            <v>Not applicable</v>
          </cell>
          <cell r="H2890" t="str">
            <v>Bit, parte para uso em parafusadeira, com motor eletrico incorporado de uso manual - 150mm, Φ4, PH2</v>
          </cell>
        </row>
        <row r="2891">
          <cell r="B2891">
            <v>4010205000</v>
          </cell>
          <cell r="D2891" t="str">
            <v>PENDING</v>
          </cell>
          <cell r="E2891">
            <v>84679900</v>
          </cell>
          <cell r="F2891" t="str">
            <v>Not applicable</v>
          </cell>
          <cell r="H2891" t="str">
            <v>Bit, parte para uso em parafusadeira, com motor eletrico incorporado de uso manual - 150mm, Φ5, PH2</v>
          </cell>
        </row>
        <row r="2892">
          <cell r="B2892">
            <v>4010205010</v>
          </cell>
          <cell r="D2892" t="str">
            <v>PENDING</v>
          </cell>
          <cell r="E2892">
            <v>84679900</v>
          </cell>
          <cell r="F2892" t="str">
            <v>Not applicable</v>
          </cell>
          <cell r="H2892" t="str">
            <v>Bit, parte para uso em parafusadeira,com motor eletrico incorporado de uso manual - 65mm, H5, sem aprofundamento magnetico</v>
          </cell>
        </row>
        <row r="2893">
          <cell r="B2893">
            <v>4010205020</v>
          </cell>
          <cell r="D2893" t="str">
            <v>PENDING</v>
          </cell>
          <cell r="E2893">
            <v>84679900</v>
          </cell>
          <cell r="F2893" t="str">
            <v>Not applicable</v>
          </cell>
          <cell r="H2893" t="str">
            <v>Bit, parte para uso em parafusadeira, com motor eletrico incorporado de uso manual - 65mm, H6, sem aprofundamento magnetico</v>
          </cell>
        </row>
        <row r="2894">
          <cell r="B2894">
            <v>4010205070</v>
          </cell>
          <cell r="D2894" t="str">
            <v>PENDING</v>
          </cell>
          <cell r="E2894">
            <v>84679900</v>
          </cell>
          <cell r="F2894" t="str">
            <v>Not applicable</v>
          </cell>
          <cell r="H2894" t="str">
            <v>Bit, parte para uso em parafusadeira, com motor eletrico incorporado de uso manual - 75mm, S2.5</v>
          </cell>
        </row>
        <row r="2895">
          <cell r="B2895">
            <v>4010205080</v>
          </cell>
          <cell r="D2895" t="str">
            <v>PENDING</v>
          </cell>
          <cell r="E2895">
            <v>84679900</v>
          </cell>
          <cell r="F2895" t="str">
            <v>Not applicable</v>
          </cell>
          <cell r="H2895" t="str">
            <v>Bit, parte para uso em parafusadeira, com motor eletrico incorporado de uso manual - 75mm, S3</v>
          </cell>
        </row>
        <row r="2896">
          <cell r="B2896">
            <v>4010205090</v>
          </cell>
          <cell r="D2896" t="str">
            <v>PENDING</v>
          </cell>
          <cell r="E2896">
            <v>84679900</v>
          </cell>
          <cell r="F2896" t="str">
            <v>Not applicable</v>
          </cell>
          <cell r="H2896" t="str">
            <v>Bit, parte para uso em parafusadeira, com motor eletrico incorporado de uso manual - 150mm, S4</v>
          </cell>
        </row>
        <row r="2897">
          <cell r="B2897">
            <v>4070900060</v>
          </cell>
          <cell r="D2897" t="str">
            <v>PENDING</v>
          </cell>
          <cell r="E2897">
            <v>39261000</v>
          </cell>
          <cell r="F2897" t="str">
            <v>Not applicable</v>
          </cell>
          <cell r="H2897" t="str">
            <v>Pasta de documentos, de plastico, para uso em atividades de escritorio (ref.4070900060)</v>
          </cell>
        </row>
        <row r="2898">
          <cell r="B2898">
            <v>4040300530</v>
          </cell>
          <cell r="D2898" t="str">
            <v>PENDING</v>
          </cell>
          <cell r="E2898">
            <v>39199090</v>
          </cell>
          <cell r="F2898" t="str">
            <v>Not applicable</v>
          </cell>
          <cell r="H2898" t="str">
            <v>Fita autoadesiva do tipo etiqueta - joint stock tape - em cortes quadrangulares, de material de polietileno (PET)</v>
          </cell>
        </row>
        <row r="2899">
          <cell r="B2899">
            <v>4040300560</v>
          </cell>
          <cell r="D2899" t="str">
            <v>PENDING</v>
          </cell>
          <cell r="E2899">
            <v>48219000</v>
          </cell>
          <cell r="F2899" t="str">
            <v>Not applicable</v>
          </cell>
          <cell r="H2899" t="str">
            <v>Etiquetas de papel, nAo impressas, cor branca - 60MM*60MM. (ref. 4040300560)</v>
          </cell>
        </row>
        <row r="2900">
          <cell r="B2900">
            <v>4010200440</v>
          </cell>
          <cell r="D2900" t="str">
            <v>PENDING</v>
          </cell>
          <cell r="E2900">
            <v>82032090</v>
          </cell>
          <cell r="F2900" t="str">
            <v>Not applicable</v>
          </cell>
          <cell r="H2900" t="str">
            <v>Pinca manual, nAo cortante. (ref.4010200440)</v>
          </cell>
        </row>
        <row r="2901">
          <cell r="B2901">
            <v>4010203540</v>
          </cell>
          <cell r="D2901" t="str">
            <v>PENDING</v>
          </cell>
          <cell r="E2901">
            <v>82032090</v>
          </cell>
          <cell r="F2901" t="str">
            <v>Not applicable</v>
          </cell>
          <cell r="H2901" t="str">
            <v>Pinca manual, nAo cortante, antiestatica, ESD-13 - 12,3 cm (ref.4010203540)</v>
          </cell>
        </row>
        <row r="2902">
          <cell r="B2902">
            <v>4010200540</v>
          </cell>
          <cell r="D2902" t="str">
            <v>PENDING</v>
          </cell>
          <cell r="E2902">
            <v>84141000</v>
          </cell>
          <cell r="F2902" t="str">
            <v>Not applicable</v>
          </cell>
          <cell r="H2902" t="str">
            <v>Bomba de vacuo para succcAo de solda, KD-18G (ref. 4010200540)</v>
          </cell>
        </row>
        <row r="2903">
          <cell r="B2903">
            <v>7030102570</v>
          </cell>
          <cell r="D2903" t="str">
            <v>PENDING</v>
          </cell>
          <cell r="E2903">
            <v>90318099</v>
          </cell>
          <cell r="F2903" t="str">
            <v>Not applicable</v>
          </cell>
          <cell r="H2903" t="str">
            <v>Torquímetro para medicAo de torque de furadeira eletrica.(ref.7030102570)</v>
          </cell>
        </row>
        <row r="2904">
          <cell r="B2904">
            <v>4070300880</v>
          </cell>
          <cell r="D2904" t="str">
            <v>PENDING</v>
          </cell>
          <cell r="E2904">
            <v>96121000</v>
          </cell>
          <cell r="F2904" t="str">
            <v>Not applicable</v>
          </cell>
          <cell r="H2904" t="str">
            <v>Fita impressora tintada para impressora de codigos de barras, montada em rolo.(ref.4070300880)</v>
          </cell>
        </row>
        <row r="2905">
          <cell r="B2905">
            <v>4040300580</v>
          </cell>
          <cell r="D2905">
            <v>21341510</v>
          </cell>
          <cell r="E2905">
            <v>48219000</v>
          </cell>
          <cell r="F2905" t="str">
            <v>Not applicable</v>
          </cell>
          <cell r="H2905" t="str">
            <v xml:space="preserve">Etiqueta de papel, adesivas, prateada fosca, nAo impressa, 60MM*133MM </v>
          </cell>
        </row>
        <row r="2906">
          <cell r="B2906">
            <v>4040300500</v>
          </cell>
          <cell r="D2906">
            <v>21341515</v>
          </cell>
          <cell r="E2906">
            <v>48219000</v>
          </cell>
          <cell r="F2906" t="str">
            <v>Not applicable</v>
          </cell>
          <cell r="H2906" t="str">
            <v>Etiquetas de papel, adesivas, nAo impressas, de cor branca. (ref. 4040300500)</v>
          </cell>
        </row>
        <row r="2907">
          <cell r="B2907">
            <v>4010204510</v>
          </cell>
          <cell r="D2907" t="str">
            <v>PENDING</v>
          </cell>
          <cell r="E2907">
            <v>84223022</v>
          </cell>
          <cell r="F2907" t="str">
            <v>Not applicable</v>
          </cell>
          <cell r="H2907" t="str">
            <v>Aparelho para aplicacAo de fita autoadesiva para selagem e fechamento de caixas de papelAo. (ref.4010204510)</v>
          </cell>
        </row>
        <row r="2908">
          <cell r="B2908">
            <v>7029902150</v>
          </cell>
          <cell r="D2908" t="str">
            <v>PENDING</v>
          </cell>
          <cell r="E2908">
            <v>84672999</v>
          </cell>
          <cell r="F2908" t="str">
            <v>Not applicable</v>
          </cell>
          <cell r="H2908" t="str">
            <v>Chave hidraulica com motor eletrico incorporado, de uso manual. (ref.7029902150)</v>
          </cell>
        </row>
        <row r="2909">
          <cell r="B2909">
            <v>4029802090</v>
          </cell>
          <cell r="D2909" t="str">
            <v>PENDING</v>
          </cell>
          <cell r="E2909">
            <v>84242000</v>
          </cell>
          <cell r="F2909" t="str">
            <v>Not applicable</v>
          </cell>
          <cell r="H2909" t="str">
            <v>Pistola aerografica para dispersAo de po, de acionamento por ar comprimido, PM-20 (ref. 4029802090)</v>
          </cell>
        </row>
        <row r="2910">
          <cell r="B2910">
            <v>4010203060</v>
          </cell>
          <cell r="D2910" t="str">
            <v>PENDING</v>
          </cell>
          <cell r="E2910">
            <v>84672100</v>
          </cell>
          <cell r="F2910" t="str">
            <v>Not applicable</v>
          </cell>
          <cell r="H2910" t="str">
            <v>Furadeira (perfuradora) rotativa com motor eletrico incorporado, de uso manual, de uso domestico, com fio, 600w. (ref.4010203060)</v>
          </cell>
        </row>
        <row r="2911">
          <cell r="B2911">
            <v>7030101390</v>
          </cell>
          <cell r="D2911" t="str">
            <v>PENDING</v>
          </cell>
          <cell r="E2911">
            <v>90302010</v>
          </cell>
          <cell r="F2911" t="str">
            <v>Not applicable</v>
          </cell>
          <cell r="H2911" t="str">
            <v>Osciloscopio digital de frequencia 100Mhz. (ref. 7030101390)</v>
          </cell>
        </row>
        <row r="2912">
          <cell r="B2912">
            <v>7030202520</v>
          </cell>
          <cell r="D2912" t="str">
            <v>PENDING</v>
          </cell>
          <cell r="E2912">
            <v>90319010</v>
          </cell>
          <cell r="F2912" t="str">
            <v>Not applicable</v>
          </cell>
          <cell r="H2912" t="str">
            <v>Dispositivo para teste funcional (FCT) de placas eletronicas, parte para uso em bancada de ensaio de testes de inversores fotovoltaicos.(ref7030202520)</v>
          </cell>
        </row>
        <row r="2913">
          <cell r="B2913">
            <v>7030202530</v>
          </cell>
          <cell r="D2913" t="str">
            <v>PENDING</v>
          </cell>
          <cell r="E2913">
            <v>90319010</v>
          </cell>
          <cell r="F2913" t="str">
            <v>Not applicable</v>
          </cell>
          <cell r="H2913" t="str">
            <v>Dispositivo para teste funcional (FCT) de placas eletronicas, parte para uso em bancada de ensaio de testes de inversores fotovoltaicos.(ref.7030202530)</v>
          </cell>
        </row>
        <row r="2914">
          <cell r="B2914">
            <v>7030202540</v>
          </cell>
          <cell r="D2914" t="str">
            <v>PENDING</v>
          </cell>
          <cell r="E2914">
            <v>90319010</v>
          </cell>
          <cell r="F2914" t="str">
            <v>Not applicable</v>
          </cell>
          <cell r="H2914" t="str">
            <v>Dispositivo para teste funcional (FCT) de placas eletronicas, parte para uso em bancada de ensaio de testes de inversores fotovoltaicos.(ref.7030202540)</v>
          </cell>
        </row>
        <row r="2915">
          <cell r="B2915">
            <v>7030202550</v>
          </cell>
          <cell r="D2915" t="str">
            <v>PENDING</v>
          </cell>
          <cell r="E2915">
            <v>90319010</v>
          </cell>
          <cell r="F2915" t="str">
            <v>Not applicable</v>
          </cell>
          <cell r="H2915" t="str">
            <v>Dispositivo para teste funcional (FCT) de placas eletronicas, parte para uso em bancada de ensaio de testes de inversores fotovoltaicos.(ref.7030202550)</v>
          </cell>
        </row>
        <row r="2916">
          <cell r="B2916">
            <v>7030202560</v>
          </cell>
          <cell r="D2916" t="str">
            <v>PENDING</v>
          </cell>
          <cell r="E2916">
            <v>90319010</v>
          </cell>
          <cell r="F2916" t="str">
            <v>Not applicable</v>
          </cell>
          <cell r="H2916" t="str">
            <v>Dispositivo para teste funcional (FCT) de placas eletronicas, parte para uso em bancada de ensaio de testes de inversores fotovoltaicos.(ref.7030202560)</v>
          </cell>
        </row>
        <row r="2917">
          <cell r="B2917">
            <v>7030202610</v>
          </cell>
          <cell r="D2917" t="str">
            <v>PENDING</v>
          </cell>
          <cell r="E2917">
            <v>90319010</v>
          </cell>
          <cell r="F2917" t="str">
            <v>Not applicable</v>
          </cell>
          <cell r="H2917" t="str">
            <v>Dispositivo para teste funcional (FCT) de placas eletronicas, parte para uso em bancada de ensaio de testes de inversores fotovoltaicos.(ref.7030202610)</v>
          </cell>
        </row>
        <row r="2918">
          <cell r="B2918">
            <v>7030202620</v>
          </cell>
          <cell r="D2918" t="str">
            <v>PENDING</v>
          </cell>
          <cell r="E2918">
            <v>90319010</v>
          </cell>
          <cell r="F2918" t="str">
            <v>Not applicable</v>
          </cell>
          <cell r="H2918" t="str">
            <v>Dispositivo para teste funcional (FCT) de placas eletronicas, parte para uso em bancada de ensaio de testes de inversores fotovoltaicos.(ref.7030202620)</v>
          </cell>
        </row>
        <row r="2919">
          <cell r="B2919">
            <v>7030202700</v>
          </cell>
          <cell r="D2919" t="str">
            <v>PENDING</v>
          </cell>
          <cell r="E2919">
            <v>90319010</v>
          </cell>
          <cell r="F2919" t="str">
            <v>Not applicable</v>
          </cell>
          <cell r="H2919" t="str">
            <v>Dispositivo para teste funcional (FCT) de placas eletronicas, parte para uso em bancada de ensaio de testes de inversores fotovoltaicos.(ref.7030202700)</v>
          </cell>
        </row>
        <row r="2920">
          <cell r="B2920">
            <v>4010204690</v>
          </cell>
          <cell r="D2920" t="str">
            <v>PENDING</v>
          </cell>
          <cell r="E2920">
            <v>82060000</v>
          </cell>
          <cell r="F2920" t="str">
            <v>Not applicable</v>
          </cell>
          <cell r="H2920" t="str">
            <v>Kit de ferramentas manuais diversas e de uso domestico, acondicionadas em caixa plastica, incluindo chaves de fenda, martelo de garra, chave de porca de abertura variavel, estilete, fita metrica, chave hexagonal, alicate cortador de fio e chave de forja portatil</v>
          </cell>
        </row>
        <row r="2921">
          <cell r="B2921">
            <v>4070101890</v>
          </cell>
          <cell r="D2921" t="str">
            <v>PENDING</v>
          </cell>
          <cell r="E2921">
            <v>48204000</v>
          </cell>
          <cell r="F2921" t="str">
            <v>Not applicable</v>
          </cell>
          <cell r="H2921" t="str">
            <v>Formulario em blocos de papel multiplas vias, para anotar informacoes de fluxo de producAo, cor branca. (ref. 4070101890)</v>
          </cell>
        </row>
        <row r="2922">
          <cell r="B2922">
            <v>4070101900</v>
          </cell>
          <cell r="D2922" t="str">
            <v>PENDING</v>
          </cell>
          <cell r="E2922">
            <v>48204000</v>
          </cell>
          <cell r="F2922" t="str">
            <v>Not applicable</v>
          </cell>
          <cell r="H2922" t="str">
            <v>Formulario em blocos de papel multiplas vias, para anotar informacoes de fluxo de producAo, cor vermelha.(ref. 4070101900)</v>
          </cell>
        </row>
        <row r="2923">
          <cell r="B2923">
            <v>4070101910</v>
          </cell>
          <cell r="D2923" t="str">
            <v>PENDING</v>
          </cell>
          <cell r="E2923">
            <v>48204000</v>
          </cell>
          <cell r="F2923" t="str">
            <v>Not applicable</v>
          </cell>
          <cell r="H2923" t="str">
            <v>Formulario em blocos de papel multiplas vias, para anotar informacoes de fluxo de producAo, cor amarela. (ref. 4070101910)</v>
          </cell>
        </row>
        <row r="2924">
          <cell r="B2924">
            <v>4070101920</v>
          </cell>
          <cell r="D2924" t="str">
            <v>PENDING</v>
          </cell>
          <cell r="E2924">
            <v>48204000</v>
          </cell>
          <cell r="F2924" t="str">
            <v>Not applicable</v>
          </cell>
          <cell r="H2924" t="str">
            <v>Formulario em blocos de papel multiplas vias, para anotar informacoes de fluxo de producAo, cor azul. (ref. 4070101920)</v>
          </cell>
        </row>
        <row r="2925">
          <cell r="B2925">
            <v>7030102700</v>
          </cell>
          <cell r="D2925" t="str">
            <v>PENDING</v>
          </cell>
          <cell r="E2925">
            <v>85043221</v>
          </cell>
          <cell r="F2925" t="str">
            <v>Not applicable</v>
          </cell>
          <cell r="H2925" t="str">
            <v>Transformador eletrico de potencia 6kVA e frequencia maxima de 60Hz (ref. 7030102700).</v>
          </cell>
        </row>
        <row r="2926">
          <cell r="B2926">
            <v>7020601750</v>
          </cell>
          <cell r="D2926" t="str">
            <v>PENDING</v>
          </cell>
          <cell r="E2926">
            <v>84248990</v>
          </cell>
          <cell r="F2926" t="str">
            <v>Not applicable</v>
          </cell>
          <cell r="H2926" t="str">
            <v>Maquina de revestimento seletivo por pulverizacAo de jatos de cola com característica UV (ultravioleta) (ref. 7020601750)</v>
          </cell>
        </row>
        <row r="2927">
          <cell r="B2927">
            <v>7020601960</v>
          </cell>
          <cell r="D2927" t="str">
            <v>PENDING</v>
          </cell>
          <cell r="E2927">
            <v>90318099</v>
          </cell>
          <cell r="F2927" t="str">
            <v>Not applicable</v>
          </cell>
          <cell r="H2927" t="str">
            <v>Equipamento de teste automatico ATE - T2, para analise e medida de funcAo e configuracAo de fonte AC</v>
          </cell>
        </row>
        <row r="2928">
          <cell r="B2928">
            <v>7030202850</v>
          </cell>
          <cell r="D2928" t="str">
            <v>PENDING</v>
          </cell>
          <cell r="E2928">
            <v>90319010</v>
          </cell>
          <cell r="F2928" t="str">
            <v>Not applicable</v>
          </cell>
          <cell r="H2928" t="str">
            <v>Dispositivo para teste funcional (FCT) de placas eletronicas, parte para uso em bancada de ensaio de testes de inversores fotovoltaicos.(ref.7030202850)</v>
          </cell>
        </row>
        <row r="2929">
          <cell r="B2929">
            <v>7030202870</v>
          </cell>
          <cell r="D2929" t="str">
            <v>PENDING</v>
          </cell>
          <cell r="E2929">
            <v>90319010</v>
          </cell>
          <cell r="F2929" t="str">
            <v>Not applicable</v>
          </cell>
          <cell r="H2929" t="str">
            <v>Dispositivo para teste funcional (FCT) de placas eletronicas, parte para uso em bancada de ensaio de testes de inversores fotovoltaicos.(ref.7030202870)</v>
          </cell>
        </row>
        <row r="2930">
          <cell r="B2930">
            <v>7030202880</v>
          </cell>
          <cell r="D2930" t="str">
            <v>PENDING</v>
          </cell>
          <cell r="E2930">
            <v>90319010</v>
          </cell>
          <cell r="F2930" t="str">
            <v>Not applicable</v>
          </cell>
          <cell r="H2930" t="str">
            <v>Dispositivo para teste funcional (FCT) de placas eletronicas, parte para uso em bancada de ensaio de testes de inversores fotovoltaicos.(ref.7030202880)</v>
          </cell>
        </row>
        <row r="2931">
          <cell r="B2931">
            <v>7020601950</v>
          </cell>
          <cell r="D2931" t="str">
            <v>PENDING</v>
          </cell>
          <cell r="E2931">
            <v>90319010</v>
          </cell>
          <cell r="F2931" t="str">
            <v>Not applicable</v>
          </cell>
          <cell r="H2931" t="str">
            <v>Dispositivo para teste funcional (FCT) de placas eletronicas, parte para uso em bancada de ensaio de testes de inversores</v>
          </cell>
        </row>
        <row r="2932">
          <cell r="B2932">
            <v>7029902160</v>
          </cell>
          <cell r="D2932" t="str">
            <v>PENDING</v>
          </cell>
          <cell r="E2932">
            <v>90314990</v>
          </cell>
          <cell r="F2932" t="str">
            <v>Not applicable</v>
          </cell>
          <cell r="H2932" t="str">
            <v>Maquina para inspecAo optica automatica de pasta de solda aplicada em componentes eletronicos montados em placas de circuito impresso - 203P</v>
          </cell>
        </row>
        <row r="2933">
          <cell r="B2933">
            <v>3010913500</v>
          </cell>
          <cell r="D2933">
            <v>21240002</v>
          </cell>
          <cell r="E2933">
            <v>85362000</v>
          </cell>
          <cell r="F2933" t="str">
            <v>Not applicable</v>
          </cell>
          <cell r="H2933" t="str">
            <v>Disjuntor Bipolar para aplicacAo em corrente alternada, tensAo maxima de 415V, corrente nominal de 32A, frequencia de trabalho de 50/60Hz.(ref.3010913500)</v>
          </cell>
        </row>
        <row r="2934">
          <cell r="B2934">
            <v>3010913530</v>
          </cell>
          <cell r="D2934">
            <v>21240003</v>
          </cell>
          <cell r="E2934">
            <v>85362000</v>
          </cell>
          <cell r="F2934" t="str">
            <v>Not applicable</v>
          </cell>
          <cell r="H2934" t="str">
            <v>Disjuntor Tripolar para aplicacAo em corrente alternada, tensAo maxima de 415V, corrente nominal de 32A, frequencia de trabalho de 50/60Hz.(ref.3010913530)</v>
          </cell>
        </row>
        <row r="2935">
          <cell r="B2935">
            <v>3010913540</v>
          </cell>
          <cell r="D2935">
            <v>21231000</v>
          </cell>
          <cell r="E2935">
            <v>85362000</v>
          </cell>
          <cell r="F2935" t="str">
            <v>Not applicable</v>
          </cell>
          <cell r="H2935" t="str">
            <v>Disjuntor Tripolar para aplicacAo em corrente alternada, tensAo maxima de 415V, corrente nominal de 40A, frequencia de trabalho de 50/60Hz.(ref.3010913540)</v>
          </cell>
        </row>
        <row r="2936">
          <cell r="B2936">
            <v>3010913330</v>
          </cell>
          <cell r="D2936">
            <v>21231001</v>
          </cell>
          <cell r="E2936">
            <v>85362000</v>
          </cell>
          <cell r="F2936" t="str">
            <v>Not applicable</v>
          </cell>
          <cell r="H2936" t="str">
            <v>Disjuntor Tripolar para aplicacAo em corrente alternada, tensAo maxima de 415V, corrente nominal de 50A, frequencia de trabalho de 50/60Hz.(ref.3010913330)</v>
          </cell>
        </row>
        <row r="2937">
          <cell r="B2937">
            <v>3010913290</v>
          </cell>
          <cell r="D2937">
            <v>21220001</v>
          </cell>
          <cell r="E2937">
            <v>85362000</v>
          </cell>
          <cell r="F2937" t="str">
            <v>Not applicable</v>
          </cell>
          <cell r="H2937" t="str">
            <v>Disjuntor Bipolar para aplicacAo em corrente continua, tensAo maxima de 1000V, corrente nominal de 40A.(ref.3010913290)</v>
          </cell>
        </row>
        <row r="2938">
          <cell r="B2938">
            <v>3013200350</v>
          </cell>
          <cell r="D2938">
            <v>21211000</v>
          </cell>
          <cell r="E2938">
            <v>85363090</v>
          </cell>
          <cell r="F2938" t="str">
            <v>Not applicable</v>
          </cell>
          <cell r="H2938" t="str">
            <v>Protetor de Surto, para protecAo de circuitos eletricos, de tensAo ate 1.000V, modelo LSP-40/3P. (ref.3013200350)</v>
          </cell>
        </row>
        <row r="2939">
          <cell r="B2939">
            <v>7070505020</v>
          </cell>
          <cell r="D2939">
            <v>100378</v>
          </cell>
          <cell r="E2939">
            <v>85176234</v>
          </cell>
          <cell r="F2939" t="str">
            <v>Not applicable</v>
          </cell>
          <cell r="G2939">
            <v>85176234</v>
          </cell>
          <cell r="H2939" t="str">
            <v>Aparelho para comunicacAo em redes por fio (Switch) de comutacAo e roteamento, composta por uma Caixa de Montagem Final, Unidades de Controle Principal e Placas de Interface. As Placas incluem opcoes como a Placa de Interface Eletrica Ethernet de 48 portas 10M/100M/Gigabit (EA1, RJ45) e a Placa de Interface optica de 16 portas 10 Gigabit Ethernet (SC, SFP+). AutorizacAo de FuncAo IPV6 integrado. Modulos opticos Multimodo eSFP-GE (850nm, 0.55km, LC) e o Modulo optico 10GBase USR SFP+-10G Multimodo (850nm, 0.1km, LC). Com faixa de alimentacAo de 6VDC a 32VDC e protecoes contra tensAo reversa.  Marca xxxx, modeloxxxx, ano de fabricacAo xxx e numeros de serie de xxx</v>
          </cell>
        </row>
        <row r="2940">
          <cell r="B2940">
            <v>7070504850</v>
          </cell>
          <cell r="D2940">
            <v>100378</v>
          </cell>
          <cell r="E2940">
            <v>85176234</v>
          </cell>
          <cell r="F2940" t="str">
            <v>Not applicable</v>
          </cell>
          <cell r="G2940">
            <v>85176234</v>
          </cell>
          <cell r="H2940" t="str">
            <v>Aparelho para comunicacAo em redes por fio (Switch) de comutacAo e roteamento, composta por uma Caixa de Montagem Final, Unidades de Controle Principal e Placas de Interface. As Placas incluem opcoes como a Placa de Interface Eletrica Ethernet de 48 portas 10M/100M/Gigabit (EA1, RJ45) e a Placa de Interface optica de 16 portas 10 Gigabit Ethernet (SC, SFP+). AutorizacAo de FuncAo IPV6 integrado. Modulos opticos Multimodo eSFP-GE (850nm, 0.55km, LC) e o Modulo optico 10GBase USR SFP+-10G Multimodo (850nm, 0.1km, LC). Com faixa de alimentacAo de 6VDC a 32VDC e protecoes contra tensAo reversa. Marca xxxx, modeloxxxx, ano de fabricacAo xxx e numeros de serie de xxx</v>
          </cell>
        </row>
        <row r="2941">
          <cell r="B2941">
            <v>7070504860</v>
          </cell>
          <cell r="D2941">
            <v>100381</v>
          </cell>
          <cell r="E2941">
            <v>85176234</v>
          </cell>
          <cell r="F2941" t="str">
            <v>Not applicable</v>
          </cell>
          <cell r="G2941">
            <v>85176234</v>
          </cell>
          <cell r="H2941" t="str">
            <v>Aparelho para comunicacAo em redes por fio (Switch) de comutacAo de pacotes, equipado com 24 portas Gigabit SFP, incluindo 8 portas 10/100/1000Base-T Combo e 4 portas 10 Gigabit SFP+. Possui 2 portas de empilhamento 12GE, excluindo a fonte de alimentacAo. Cada unidade e alimentada por dois modulos de energia AC de 180W para garantir um fornecimento estavel de energia. Marca xxxx, modeloxxxx, ano de fabricacAo xxx e numeros de serie de xxx</v>
          </cell>
        </row>
        <row r="2942">
          <cell r="B2942">
            <v>7070505030</v>
          </cell>
          <cell r="D2942">
            <v>100382</v>
          </cell>
          <cell r="E2942">
            <v>85176234</v>
          </cell>
          <cell r="F2942" t="str">
            <v>Not applicable</v>
          </cell>
          <cell r="G2942">
            <v>85176234</v>
          </cell>
          <cell r="H2942" t="str">
            <v>Aparelho para comunicacAo em redes por fio (Switch Layer 3) de comutacAo, equipada com 24 portas Ethernet 10/100/1000BASE-T e 4 portas 10 Gigabit SFP+. Possui uma fonte de alimentacAo AC integrada e nAo requer ventiladores para resfriamento. Cada unidade e alimentada por uma fonte de alimentacAo AC integrada, simplificando a instalacAo e garantindo um fornecimento estavel de energia. Marca xxxx, modeloxxxx, ano de fabricacAo xxx e numeros de serie de xxx</v>
          </cell>
        </row>
        <row r="2943">
          <cell r="B2943">
            <v>7070504870</v>
          </cell>
          <cell r="D2943">
            <v>100382</v>
          </cell>
          <cell r="E2943">
            <v>85176234</v>
          </cell>
          <cell r="F2943" t="str">
            <v>Not applicable</v>
          </cell>
          <cell r="G2943">
            <v>85176234</v>
          </cell>
          <cell r="H2943" t="str">
            <v>Aparelho para comunicacAo em redes por fio (Switch Layer 3) de comutacAo, equipada com 24 portas Ethernet 10/100/1000BASE-T e 4 portas 10 Gigabit SFP+. Possui uma fonte de alimentacAo AC integrada e nAo requer ventiladores para resfriamento. Cada unidade e alimentada por uma fonte de alimentacAo AC integrada, simplificando a instalacAo e garantindo um fornecimento estavel de energia. Marca xxxx, modeloxxxx, ano de fabricacAo xxx e numeros de serie de xxx</v>
          </cell>
        </row>
        <row r="2944">
          <cell r="B2944">
            <v>7070504880</v>
          </cell>
          <cell r="D2944">
            <v>100383</v>
          </cell>
          <cell r="E2944">
            <v>85176234</v>
          </cell>
          <cell r="F2944" t="str">
            <v>Not applicable</v>
          </cell>
          <cell r="G2944">
            <v>85176234</v>
          </cell>
          <cell r="H2944" t="str">
            <v>Aparelho para comunicacAo em redes por fio (Switch) de comutacAo, contando com 24 portas Ethernet 10/100/1000BASE-T e 4 portas Gigabit SFP. Possui uma fonte de alimentacAo AC integrada e opera de forma silenciosa sem a necessidade de ventiladores. Com uma fonte de alimentacAo AC incorporada.Marca xxxx, modeloxxxx, ano de fabricacAo xxx e numeros de serie de xxx</v>
          </cell>
        </row>
        <row r="2945">
          <cell r="B2945">
            <v>7070504890</v>
          </cell>
          <cell r="D2945">
            <v>100384</v>
          </cell>
          <cell r="E2945">
            <v>85176259</v>
          </cell>
          <cell r="F2945" t="str">
            <v>Not applicable</v>
          </cell>
          <cell r="G2945">
            <v>85176259</v>
          </cell>
          <cell r="H2945" t="str">
            <v>APARELHO PARA RECEPcAO E TRANSMISSAO DE DADOS EM REDES POR FIO, PARA SEGURANcA DE REDES (FIREWALL), INCLUINDO UMA TAXA DE TRANSFEReNCIA NA CAMADA DE REDE DE 10G, TAXA DE TRANSFEReNCIA NA CAMADA DE APLICAcAO DE 5G, E TAXAS DE THROUGHPUT ESPECÍFICAS PARA ANTIVÍRUS (1G), IPS (800M) E AMEAcAS COMPLETAS (600M). SUPORTA ATe 2 MILHoES DE CONEXoES SIMULTANEAS E 60 MIL NOVAS CONEXoES HTTP, ALeM DE OFERECER A OPcAO DE ATe 20 USUaRIOS SSL VPN. EQUIPAMENTO COMPACTO (1U) COM 8GB DE MEMoRIA E CAPACIDADE DE ARMAZENAMENTO SSD DE 128GB. POSSUI UMA uNICA FONTE DE ALIMENTAcAO, E SUA INTERFACE e COMPOSTA POR 8 PORTAS GIGABIT ELeTRICAS E 2 PORTAS oPTICAS 10 GIGABIT SFP+. MARCA xxxx, MODELO xxxx, ANO DE FABRICAcAO xxxx E NuMEROS DE SeRIE DE xxxx.</v>
          </cell>
        </row>
        <row r="2946">
          <cell r="B2946">
            <v>7070504900</v>
          </cell>
          <cell r="D2946">
            <v>100385</v>
          </cell>
          <cell r="E2946">
            <v>85176259</v>
          </cell>
          <cell r="F2946" t="str">
            <v>Not applicable</v>
          </cell>
          <cell r="G2946">
            <v>85176259</v>
          </cell>
          <cell r="H2946" t="str">
            <v>APARELHO PARA RECEPcAO E TRANSMISSAO DE DADOS EM REDES POR FIO, SONDA PARA DETECcAO E ANaLISE DE TRaFEGO DE REDE EM BUSCA DE ATIVIDADES MALICIOSAS (LATENT THREAT), COM UMA TAXA DE TRANSFEReNCIA NA CAMADA DE REDE DE ATe 1GBPS E UMA TAXA DE TRANSFEReNCIA NA CAMADA DE APLICAcAO DE ATe 350MBPS. EQUIPAMENTO COMPACTO, OCUPANDO 1U DE ESPAcO, E POSSUI 8GB DE MEMoRIA, ALeM DE UMA CAPACIDADE DE ARMAZENAMENTO DE 128GB MINISATA SSD. POSSUI UMA uNICA FONTE DE ALIMENTAcAO, ENQUANTO A INTERFACE e COMPOSTA POR 6 PORTAS GIGABIT ELeTRICAS E 2 PORTAS oPTICAS GIGABITSFP. MARCA xxxx, MODELO xxxx, ANO DE FABRICAcAO xxxx E NuMEROS DE SeRIE xxxx.</v>
          </cell>
        </row>
        <row r="2947">
          <cell r="B2947">
            <v>7070504910</v>
          </cell>
          <cell r="D2947">
            <v>100386</v>
          </cell>
          <cell r="E2947">
            <v>85176259</v>
          </cell>
          <cell r="F2947" t="str">
            <v>Not applicable</v>
          </cell>
          <cell r="G2947">
            <v>85176259</v>
          </cell>
          <cell r="H2947" t="str">
            <v>APARELHO PARA RECEPcAO, TRANSMISSAO E REGENERAcAO DE DADOS EM REDES POR FIO, PARA GESTAO DE SEGURANcA DE REDES, PARA MELHORIA DE DESEMPENHO, SEGURANcA E CONFIABILIDADE DE REDES, COM CAPACIDADE DE 21.8TB E DURAcAO DE ARMAZENAMENTO DE 1200 DIAS A UMA TAXA DE DESEMPENHO DE 1GBPS. COM 3 MoDULOS DE MEMoRIA DDR4 32GB CADA, UM DISCO DO SISTEMA SATA SSD DE 240GB E 8 DISCOS DE DADOS DE 4TB CADA. A REDUNDANCIA e GARANTIDA COM UMA FONTE DE ALIMENTAcAO PLATINUM REDUNDANTE, E A CONECTIVIDADE e FORNECIDA ATRAVeS DE 4 PORTAS ELeTRICAS GIGABIT. MARCA xxxx, MODELO xxxx, ANO DE FABRICAcAO xxxx E NuMEROS DE SeRIE xxxx.</v>
          </cell>
        </row>
        <row r="2948">
          <cell r="B2948">
            <v>7070103020</v>
          </cell>
          <cell r="D2948">
            <v>100387</v>
          </cell>
          <cell r="E2948">
            <v>84717090</v>
          </cell>
          <cell r="F2948" t="str">
            <v>Not applicable</v>
          </cell>
          <cell r="G2948">
            <v>84717090</v>
          </cell>
          <cell r="H2948" t="str">
            <v>Maquina para armazenamento de dados sob forma codificada equipada com dois controladores de discos. Possui uma cache de 32GB para otimizar o desempenho. Com a combinacAo de unidades de memoria em  4 discos SAS SSD de 1.92TB cada e 20 discos SAS de 10K RPM de 2.4TB cada. Para conectividade, possui 8 modulos de interface FC de 16GB para atender às necessidades de conectividade de fibra optica. A fonte de alimentacAo do ventilador e redundante, assegurando resfriamento eficiente e redundAncia de energia.</v>
          </cell>
        </row>
        <row r="2949">
          <cell r="B2949">
            <v>7070504920</v>
          </cell>
          <cell r="D2949">
            <v>100388</v>
          </cell>
          <cell r="E2949">
            <v>85176234</v>
          </cell>
          <cell r="F2949" t="str">
            <v>Not applicable</v>
          </cell>
          <cell r="G2949">
            <v>85176234</v>
          </cell>
          <cell r="H2949" t="str">
            <v>Aparelho para comunicacAo em redes por fio (Switch) de comutacAo com 8 interfaces FC (Fiber Channel) de 16GB cada, permitindo conexAo em uma rede FC SAN (Storage Area Network). Cada unidade inclui nAo apenas os modulos de interface necessarios, mas tambem os cabos de fibra, materiais auxiliares.</v>
          </cell>
        </row>
        <row r="2950">
          <cell r="B2950">
            <v>7070103030</v>
          </cell>
          <cell r="D2950">
            <v>100389</v>
          </cell>
          <cell r="E2950">
            <v>84715010</v>
          </cell>
          <cell r="F2950" t="str">
            <v>Not applicable</v>
          </cell>
          <cell r="G2950">
            <v>84715010</v>
          </cell>
          <cell r="H2950" t="str">
            <v>Maquina para processamento de dados em um gabinete configurado com dois processadores Silver 4314 CPU para desempenho robusto. Possui multiplos conectores de expansAo (slots) incluindo 16 unidades de memoria de 32GB cada, operando a 3200MT/s. Conta com dois discos SSD SAS de 240GB cada para armazenamento rapido e eficiente. A controladora RAID H755 com cache de 8GB otimiza a gestAo de dados e seguranca. Incluindo duas portas opticas de 10G com modulos correspondentes, alem de duas interfaces FC de 16GB com seus respectivos modulos. Com a fonte de alimentacAo de ventiladores redundantes, assegurando resfriamento eficiente e backup de energia. Com o valor FOB inferior ou igual a USS 12.500,00, por unidade</v>
          </cell>
        </row>
        <row r="2951">
          <cell r="B2951">
            <v>7070103040</v>
          </cell>
          <cell r="D2951">
            <v>100390</v>
          </cell>
          <cell r="E2951">
            <v>84715040</v>
          </cell>
          <cell r="F2951" t="str">
            <v>Not applicable</v>
          </cell>
          <cell r="G2951">
            <v>84715040</v>
          </cell>
          <cell r="H2951" t="str">
            <v>Maquina para processamento de dados  em um gabinete para solucAo de backup, com muito grande capacidade de 36TB (expansível para 75TB) incluindo 4 portas eletricas Gigabit, 2 portas opticas de 10GB e 2 portas FC de 16GB para conectividade versatil.  E valor FOB superior a USS 100.000,00, por unidade.</v>
          </cell>
        </row>
        <row r="2952">
          <cell r="B2952">
            <v>7070103050</v>
          </cell>
          <cell r="D2952">
            <v>100391</v>
          </cell>
          <cell r="E2952">
            <v>84715020</v>
          </cell>
          <cell r="F2952" t="str">
            <v>Not applicable</v>
          </cell>
          <cell r="G2952">
            <v>84715020</v>
          </cell>
          <cell r="H2952" t="str">
            <v>Maquina para processamento de dados com gerenciamento de ativos em um gabinete para gerenciamento de ativos, com suporte para ate 500 ativos. Com processador Intel Xeon Silver 4309Y 2.8G, 8 nucleos/16 threads, 16GB de memoria RDIMM, e armazenamento com 480GB SSD SATA e 2TB SAS. O pacote inclui fonte de alimentacAo redundante, controlador RAID PERC H355 e iDRAC9. E valor FOB superior a USS 12.500,00, mas nAo superior a USS 46.000,00, por unidade</v>
          </cell>
        </row>
        <row r="2953">
          <cell r="B2953">
            <v>3090700030</v>
          </cell>
          <cell r="D2953">
            <v>10410720</v>
          </cell>
          <cell r="E2953">
            <v>73262000</v>
          </cell>
          <cell r="F2953" t="str">
            <v>Not applicable</v>
          </cell>
          <cell r="G2953">
            <v>73262000</v>
          </cell>
          <cell r="H2953" t="str">
            <v>Arame trancado de 7 fios em aco inoxidavel para selo de seguranca, de comprimento 100 mm e diAmetro 1.0mm</v>
          </cell>
        </row>
        <row r="2954">
          <cell r="B2954">
            <v>2070700040</v>
          </cell>
          <cell r="D2954">
            <v>20692098</v>
          </cell>
          <cell r="E2954">
            <v>85078000</v>
          </cell>
          <cell r="F2954" t="str">
            <v>Not applicable</v>
          </cell>
          <cell r="G2954">
            <v>85078000</v>
          </cell>
          <cell r="H2954" t="str">
            <v xml:space="preserve">Modulo de acumulador eletrico de fosfato de ferro-lítio, recarregavel, com 10 Ah de capacidade de carga, tensAo de 12,8 V e dimensoes 240 x 110 x 30 mm. </v>
          </cell>
        </row>
        <row r="2955">
          <cell r="B2955" t="str">
            <v>565BB90130</v>
          </cell>
          <cell r="D2955" t="str">
            <v>565BB90130</v>
          </cell>
          <cell r="E2955">
            <v>90282010</v>
          </cell>
          <cell r="F2955">
            <v>90282010</v>
          </cell>
          <cell r="H2955" t="str">
            <v>Hidrometro ultrassonico (contador de líquidos) industrial com carcaca de ferro fundido, diAmetro nominal de 80mm, comprimento 300 mm, vazAo de 63 m3/h; R400 com saída de pulso/modbus, com peso líquido unitario aproximado entre 15 kg e 20 kg.</v>
          </cell>
        </row>
        <row r="2956">
          <cell r="B2956">
            <v>5636970130</v>
          </cell>
          <cell r="D2956">
            <v>5636970130</v>
          </cell>
          <cell r="E2956">
            <v>90282010</v>
          </cell>
          <cell r="F2956">
            <v>90282010</v>
          </cell>
          <cell r="H2956" t="str">
            <v>HIDROMETRO ULTRASSONICO (CONTADOR DE LÍQUIDOS) RESIDENCIAL COM CARCACA DE LATAO, DIAMETRO NOMINAL DE 25MM, COMPRIMENTO 260 MM, VAZAO DE 10 M3/H; R250 COM SAÍDA PULSADA,  COM PESO LÍQUIDO UNITARIO APROXIMADO ENTRE 1,0 KG E 2,0 KG.</v>
          </cell>
        </row>
        <row r="2957">
          <cell r="B2957" t="str">
            <v>565CBB0130</v>
          </cell>
          <cell r="D2957" t="str">
            <v>565CBB0130</v>
          </cell>
          <cell r="E2957">
            <v>90282010</v>
          </cell>
          <cell r="F2957">
            <v>90282010</v>
          </cell>
          <cell r="H2957" t="str">
            <v>Hidrometro ultrassonico (contador de líquidos)  industrial com carcaca de ferro fundido, diAmetro nominal de 100mm, comprimento 360 mm, vazAo de 100 m3/h; R400 com saída de pulso/modbus, com peso líquido unitario aproximado entre 20,0 kg e 30,0 kg,.</v>
          </cell>
        </row>
        <row r="2958">
          <cell r="B2958" t="str">
            <v>565BB90030</v>
          </cell>
          <cell r="D2958" t="str">
            <v>565BB90030</v>
          </cell>
          <cell r="E2958">
            <v>90282010</v>
          </cell>
          <cell r="F2958">
            <v>90282010</v>
          </cell>
          <cell r="H2958" t="str">
            <v>Hidrometro ultrassonico (contador de líquidos)  industrial com carcaca de aco inox, diAmetro nominal de 80mm, comprimento 300 mm, vazAo de 63 m3/h; R400 com saída de pulso/modbus, com peso líquido unitario aproximado entre 15,0 kg e 20,0 kg.</v>
          </cell>
        </row>
        <row r="2959">
          <cell r="B2959" t="str">
            <v>565NBB0030</v>
          </cell>
          <cell r="D2959" t="str">
            <v>565NBB0030</v>
          </cell>
          <cell r="E2959">
            <v>90282010</v>
          </cell>
          <cell r="F2959">
            <v>90282010</v>
          </cell>
          <cell r="H2959" t="str">
            <v>Hidrometro ultrassonico (contador de líquidos) industrial com carcaca de aco inox, diAmetro nominal de 150mm, comprimento 300 mm, vazAo de 250 m3/h; R400 com saída de pulso/modbus, com peso líquido unitario aproximado entre 30,0 kg e 35,0 kg.</v>
          </cell>
        </row>
        <row r="2960">
          <cell r="B2960">
            <v>2140300360</v>
          </cell>
          <cell r="D2960">
            <v>20692053</v>
          </cell>
          <cell r="E2960">
            <v>85177190</v>
          </cell>
          <cell r="F2960">
            <v>85177190</v>
          </cell>
          <cell r="H2960" t="str">
            <v>Adaptador de antena, parte da montagem da comunicacAo da antena  para utilizacAo na solucAo da Remota CAS</v>
          </cell>
        </row>
        <row r="2961">
          <cell r="B2961" t="str">
            <v>pending</v>
          </cell>
          <cell r="D2961">
            <v>59110000</v>
          </cell>
          <cell r="E2961">
            <v>85371090</v>
          </cell>
          <cell r="F2961" t="str">
            <v>Not applicable</v>
          </cell>
          <cell r="G2961">
            <v>85371090</v>
          </cell>
          <cell r="H2961" t="str">
            <v>Caixa de juncAo String Box de corrente continua para protecAo de sistemas fotovoltaicos, modelo HXCB06-1/1 com 1 entrada e 1 saída, equipado com 2 dispositivos de protecAo contra surtos, possuí capacidade de conducAo de corrente maxima por entrada de 40A, tensAo maxima de operacAo de 600V, grau de protecAo IP65.</v>
          </cell>
        </row>
        <row r="2962">
          <cell r="B2962" t="str">
            <v>pending</v>
          </cell>
          <cell r="D2962">
            <v>59110001</v>
          </cell>
          <cell r="E2962">
            <v>85371090</v>
          </cell>
          <cell r="F2962" t="str">
            <v>Not applicable</v>
          </cell>
          <cell r="G2962">
            <v>85371090</v>
          </cell>
          <cell r="H2962" t="str">
            <v>Caixa de juncAo String Box de corrente continua para protecAo de sistemas fotovoltaicos, modelo HXCB06-2/1 com 2 entradas e 1 saída, equipado com 2 dispositivos de protecAo contra surtos, possuí capacidade de conducAo de corrente maxima por entrada de 40A, tensAo maxima de operacAo de 600V, grau de protecAo IP65.</v>
          </cell>
        </row>
        <row r="2963">
          <cell r="B2963" t="str">
            <v>pending</v>
          </cell>
          <cell r="D2963">
            <v>59110002</v>
          </cell>
          <cell r="E2963">
            <v>85371090</v>
          </cell>
          <cell r="F2963" t="str">
            <v>Not applicable</v>
          </cell>
          <cell r="G2963">
            <v>85371090</v>
          </cell>
          <cell r="H2963" t="str">
            <v>Caixa de juncAo String Box de corrente continua para protecAo de sistemas fotovoltaicos, modelo HXCB06-2/2 com 2 entradas e 2 saídas, equipado com 4 dispositivos de protecAo contra surtos, possuí capacidade de conducAo de corrente maxima por entrada de 40A, tensAo maxima de operacAo de 600V, grau de protecAo IP65.</v>
          </cell>
        </row>
        <row r="2964">
          <cell r="B2964" t="str">
            <v>pending</v>
          </cell>
          <cell r="D2964">
            <v>59110003</v>
          </cell>
          <cell r="E2964">
            <v>85371090</v>
          </cell>
          <cell r="F2964" t="str">
            <v>Not applicable</v>
          </cell>
          <cell r="G2964">
            <v>85371090</v>
          </cell>
          <cell r="H2964" t="str">
            <v>Caixa de juncAo String Box de corrente continua para protecAo de sistemas fotovoltaicos, modelo HXCB06-4/2 com 4 entradas e 2 saídas, equipado com 4 dispositivos de protecAo contra surtos, possuí capacidade de conducAo de corrente maxima por entrada de 40A, tensAo maxima de operacAo de 600V, grau de protecAo IP65.</v>
          </cell>
        </row>
        <row r="2965">
          <cell r="B2965" t="str">
            <v>pending</v>
          </cell>
          <cell r="D2965">
            <v>59120000</v>
          </cell>
          <cell r="E2965">
            <v>85371090</v>
          </cell>
          <cell r="F2965" t="str">
            <v>Not applicable</v>
          </cell>
          <cell r="G2965">
            <v>85371090</v>
          </cell>
          <cell r="H2965" t="str">
            <v>Caixa de juncAo String Box de corrente continua para protecAo de sistemas fotovoltaicos, modelo HXCB06S-1/1 com 1 entrada e 1 saída, equipado com 1 dispositivo de interrupcAo/seccionamento, protecAo contra sobrecargas e 2 dispositivos de protecAo contra surtos, possuí capacidade de conducAo de corrente maxima por entrada de 40A, tensAo maxima de operacAo de 600V, grau de protecAo IP65.</v>
          </cell>
        </row>
        <row r="2966">
          <cell r="B2966" t="str">
            <v>pending</v>
          </cell>
          <cell r="D2966">
            <v>59120001</v>
          </cell>
          <cell r="E2966">
            <v>85371090</v>
          </cell>
          <cell r="F2966" t="str">
            <v>Not applicable</v>
          </cell>
          <cell r="G2966">
            <v>85371090</v>
          </cell>
          <cell r="H2966" t="str">
            <v>Caixa de juncAo String Box de corrente continua para protecAo de sistemas fotovoltaicos, modelo HXCB06S-2/1 com 2 entradas e 1 saída, equipado com 1 dispositivo de interrupcAo/seccionamento, protecAo contra sobrecargas e 2 dispositivos de protecAo contra surtos, possuí capacidade de conducAo de corrente maxima por entrada de 40A, tensAo maxima de operacAo de 600V, grau de protecAo IP65.</v>
          </cell>
        </row>
        <row r="2967">
          <cell r="B2967" t="str">
            <v>pending</v>
          </cell>
          <cell r="D2967">
            <v>59120002</v>
          </cell>
          <cell r="E2967">
            <v>85371090</v>
          </cell>
          <cell r="F2967" t="str">
            <v>Not applicable</v>
          </cell>
          <cell r="G2967">
            <v>85371090</v>
          </cell>
          <cell r="H2967" t="str">
            <v>Caixa de juncAo String Box de corrente continua para protecAo de sistemas fotovoltaicos, modelo HXCB06S-2/2 com 2 entradas e 2 saídas, equipado com 2 dispositivos de interrupcAo/seccionamento, protecAo contra sobrecargas e 4 dispositivos de protecAo contra surtos, possuí capacidade de conducAo de corrente maxima por entrada de 40A, tensAo maxima de operacAo de 600V, grau de protecAo IP65.</v>
          </cell>
        </row>
        <row r="2968">
          <cell r="B2968" t="str">
            <v>pending</v>
          </cell>
          <cell r="D2968">
            <v>59120003</v>
          </cell>
          <cell r="E2968">
            <v>85371090</v>
          </cell>
          <cell r="F2968" t="str">
            <v>Not applicable</v>
          </cell>
          <cell r="G2968">
            <v>85371090</v>
          </cell>
          <cell r="H2968" t="str">
            <v>Caixa de juncAo String Box de corrente continua para protecAo de sistemas fotovoltaicos, modelo HXCB06S-4/2 com 4 entradas e 2 saídas, equipado com 2 dispositivos de interrupcAo/seccionamento, protecAo contra sobrecargas e 4 dispositivos de protecAo contra surtos, possuí capacidade de conducAo de corrente maxima por entrada de 40A, tensAo maxima de operacAo de 600V, grau de protecAo IP65.</v>
          </cell>
        </row>
        <row r="2969">
          <cell r="B2969" t="str">
            <v>pending</v>
          </cell>
          <cell r="D2969">
            <v>59210000</v>
          </cell>
          <cell r="E2969">
            <v>85371090</v>
          </cell>
          <cell r="F2969" t="str">
            <v>Not applicable</v>
          </cell>
          <cell r="G2969">
            <v>85371090</v>
          </cell>
          <cell r="H2969" t="str">
            <v>Quadro de distribuicAo de corrente alternada monofasica para protecAo de sistemas fotovoltaicos, modelo HXDB20-2P, equipado com 1 dispositivo de interrupcAo/seccionamento, protecAo contra sobrecargas e 2 dispositivos de protecAo contra surtos, possuí capacidade de conducAo de corrente maxima de 20A, tensAo de operacAo de 127V/220V, faixa de frequencia de 50Hz a 60Hz, grau de protecAo IP65.</v>
          </cell>
        </row>
        <row r="2970">
          <cell r="B2970" t="str">
            <v>pending</v>
          </cell>
          <cell r="D2970">
            <v>59210001</v>
          </cell>
          <cell r="E2970">
            <v>85371090</v>
          </cell>
          <cell r="F2970" t="str">
            <v>Not applicable</v>
          </cell>
          <cell r="G2970">
            <v>85371090</v>
          </cell>
          <cell r="H2970" t="str">
            <v>Quadro de distribuicAo de corrente alternada monofasica para protecAo de sistemas fotovoltaicos, modelo HXDB25-2P, equipado com 1 dispositivo de interrupcAo/seccionamento, protecAo contra sobrecargas e 2 dispositivos de protecAo contra surtos, possuí capacidade de conducAo de corrente maxima de 25A, tensAo de operacAo de 127V/220V, faixa de frequencia de 50Hz a 60Hz, grau de protecAo IP65.</v>
          </cell>
        </row>
        <row r="2971">
          <cell r="B2971" t="str">
            <v>pending</v>
          </cell>
          <cell r="D2971">
            <v>59210002</v>
          </cell>
          <cell r="E2971">
            <v>85371090</v>
          </cell>
          <cell r="F2971" t="str">
            <v>Not applicable</v>
          </cell>
          <cell r="G2971">
            <v>85371090</v>
          </cell>
          <cell r="H2971" t="str">
            <v>Quadro de distribuicAo de corrente alternada monofasica para protecAo de sistemas fotovoltaicos, modelo HXDB32-2P, equipado com 1 dispositivo de interrupcAo/seccionamento, protecAo contra sobrecargas e 2 dispositivos de protecAo contra surtos, possuí capacidade de conducAo de corrente maxima de 32A, tensAo de operacAo de 127V/220V, faixa de frequencia de 50Hz a 60Hz, grau de protecAo IP65.</v>
          </cell>
        </row>
        <row r="2972">
          <cell r="B2972" t="str">
            <v>pending</v>
          </cell>
          <cell r="D2972">
            <v>59210003</v>
          </cell>
          <cell r="E2972">
            <v>85371090</v>
          </cell>
          <cell r="F2972" t="str">
            <v>Not applicable</v>
          </cell>
          <cell r="G2972">
            <v>85371090</v>
          </cell>
          <cell r="H2972" t="str">
            <v>Quadro de distribuicAo de corrente alternada monofasica para protecAo de sistemas fotovoltaicos, modelo HXDB40-2P, equipado com 1 dispositivo de interrupcAo/seccionamento, protecAo contra sobrecargas e 2 dispositivos de protecAo contra surtos, possuí capacidade de conducAo de corrente maxima de 40A, tensAo de operacAo de 127V/220V, faixa de frequencia de 50Hz a 60Hz, grau de protecAo IP65.</v>
          </cell>
        </row>
        <row r="2973">
          <cell r="B2973" t="str">
            <v>pending</v>
          </cell>
          <cell r="D2973">
            <v>59210004</v>
          </cell>
          <cell r="E2973">
            <v>85371090</v>
          </cell>
          <cell r="F2973" t="str">
            <v>Not applicable</v>
          </cell>
          <cell r="G2973">
            <v>85371090</v>
          </cell>
          <cell r="H2973" t="str">
            <v>Quadro de distribuicAo de corrente alternada monofasica para protecAo de sistemas fotovoltaicos, modelo HXDB50-2P, equipado com 1 dispositivo de interrupcAo/seccionamento, protecAo contra sobrecargas e 2 dispositivos de protecAo contra surtos, possuí capacidade de conducAo de corrente maxima de 50A, tensAo de operacAo de 127V/220V, faixa de frequencia de 50Hz a 60Hz, grau de protecAo IP65.</v>
          </cell>
        </row>
        <row r="2974">
          <cell r="B2974" t="str">
            <v>pending</v>
          </cell>
          <cell r="D2974">
            <v>59210005</v>
          </cell>
          <cell r="E2974">
            <v>85371090</v>
          </cell>
          <cell r="F2974" t="str">
            <v>Not applicable</v>
          </cell>
          <cell r="G2974">
            <v>85371090</v>
          </cell>
          <cell r="H2974" t="str">
            <v>Quadro de distribuicAo de corrente alternada monofasica para protecAo de sistemas fotovoltaicos, modelo HXDB63-2P, equipado com 1 dispositivo de interrupcAo/seccionamento, protecAo contra sobrecargas e 2 dispositivos de protecAo contra surtos, possuí capacidade de conducAo de corrente maxima de 63A, tensAo de operacAo de 127V/220V, faixa de frequencia de 50Hz a 60Hz, grau de protecAo IP65.</v>
          </cell>
        </row>
        <row r="2975">
          <cell r="B2975" t="str">
            <v>pending</v>
          </cell>
          <cell r="D2975">
            <v>59220000</v>
          </cell>
          <cell r="E2975">
            <v>85371090</v>
          </cell>
          <cell r="F2975" t="str">
            <v>Not applicable</v>
          </cell>
          <cell r="G2975">
            <v>85371090</v>
          </cell>
          <cell r="H2975" t="str">
            <v>Quadro de distribuicAo de corrente alternada trifasica para protecAo de sistemas fotovoltaicos, modelo HXDB25-3P, equipado com 1 dispositivo de interrupcAo/seccionamento, protecAo contra sobrecargas e 4 dispositivos de protecAo contra surtos, possuí capacidade de conducAo de corrente maxima de 25A, tensAo de operacAo de 127V/220V, faixa de frequencia de 50Hz a 60Hz, grau de protecAo IP65.</v>
          </cell>
        </row>
        <row r="2976">
          <cell r="B2976" t="str">
            <v>pending</v>
          </cell>
          <cell r="D2976">
            <v>59220001</v>
          </cell>
          <cell r="E2976">
            <v>85371090</v>
          </cell>
          <cell r="F2976" t="str">
            <v>Not applicable</v>
          </cell>
          <cell r="G2976">
            <v>85371090</v>
          </cell>
          <cell r="H2976" t="str">
            <v>Quadro de distribuicAo de corrente alternada trifasica para protecAo de sistemas fotovoltaicos, modelo HXDB32-3P, equipado com 1 dispositivo de interrupcAo/seccionamento, protecAo contra sobrecargas e 4 dispositivos de protecAo contra surtos, possuí capacidade de conducAo de corrente maxima de 32A, tensAo de operacAo de 127V/220V, faixa de frequencia de 50Hz a 60Hz, grau de protecAo IP65.</v>
          </cell>
        </row>
        <row r="2977">
          <cell r="B2977" t="str">
            <v>pending</v>
          </cell>
          <cell r="D2977">
            <v>59220002</v>
          </cell>
          <cell r="E2977">
            <v>85371090</v>
          </cell>
          <cell r="F2977" t="str">
            <v>Not applicable</v>
          </cell>
          <cell r="G2977">
            <v>85371090</v>
          </cell>
          <cell r="H2977" t="str">
            <v>Quadro de distribuicAo de corrente alternada trifasica para protecAo de sistemas fotovoltaicos, modelo HXDB40-3P, equipado com 1 dispositivo de interrupcAo/seccionamento, protecAo contra sobrecargas e 4 dispositivos de protecAo contra surtos, possuí capacidade de conducAo de corrente maxima de 40A, tensAo de operacAo de 127V/220V, faixa de frequencia de 50Hz a 60Hz, grau de protecAo IP65.</v>
          </cell>
        </row>
        <row r="2978">
          <cell r="B2978" t="str">
            <v>pending</v>
          </cell>
          <cell r="D2978">
            <v>59220003</v>
          </cell>
          <cell r="E2978">
            <v>85371090</v>
          </cell>
          <cell r="F2978" t="str">
            <v>Not applicable</v>
          </cell>
          <cell r="G2978">
            <v>85371090</v>
          </cell>
          <cell r="H2978" t="str">
            <v>Quadro de distribuicAo de corrente alternada trifasica para protecAo de sistemas fotovoltaicos, modelo HXDB50-3P, equipado com 1 dispositivo de interrupcAo/seccionamento, protecAo contra sobrecargas e 4 dispositivos de protecAo contra surtos, possuí capacidade de conducAo de corrente maxima de 50A, tensAo de operacAo de 127V/220V, faixa de frequencia de 50Hz a 60Hz, grau de protecAo IP65.</v>
          </cell>
        </row>
        <row r="2979">
          <cell r="B2979" t="str">
            <v>pending</v>
          </cell>
          <cell r="D2979">
            <v>59220004</v>
          </cell>
          <cell r="E2979">
            <v>85371090</v>
          </cell>
          <cell r="F2979" t="str">
            <v>Not applicable</v>
          </cell>
          <cell r="G2979">
            <v>85371090</v>
          </cell>
          <cell r="H2979" t="str">
            <v>Quadro de distribuicAo de corrente alternada trifasica para protecAo de sistemas fotovoltaicos, modelo HXDB63-3P, equipado com 1 dispositivo de interrupcAo/seccionamento, protecAo contra sobrecargas e 4 dispositivos de protecAo contra surtos, possuí capacidade de conducAo de corrente maxima de 63A, tensAo de operacAo de 127V/220V, faixa de frequencia de 50Hz a 60Hz, grau de protecAo IP65.</v>
          </cell>
        </row>
        <row r="2980">
          <cell r="B2980" t="str">
            <v>pending</v>
          </cell>
          <cell r="D2980">
            <v>59110004</v>
          </cell>
          <cell r="E2980">
            <v>85372090</v>
          </cell>
          <cell r="G2980">
            <v>85372090</v>
          </cell>
          <cell r="H2980" t="str">
            <v>Caixa de juncAo String Box de corrente continua para protecAo de sistemas fotovoltaicos, modelo HXCB10-1/1 com 1 entrada e 1 saída, equipado com 3 dispositivos de protecAo contra surtos, possuí capacidade de conducAo de corrente maxima por entrada de 40A, tensAo maxima de operacAo de 1010V do DPS, grau de protecAo IP65.</v>
          </cell>
        </row>
        <row r="2981">
          <cell r="B2981" t="str">
            <v>pending</v>
          </cell>
          <cell r="D2981">
            <v>59110005</v>
          </cell>
          <cell r="E2981">
            <v>85372090</v>
          </cell>
          <cell r="G2981">
            <v>85372090</v>
          </cell>
          <cell r="H2981" t="str">
            <v>Caixa de juncAo String Box de corrente continua para protecAo de sistemas fotovoltaicos, modelo HXCB10-2/1 com 2 entradas e 1 saída, equipado com 3 dispositivos de protecAo contra surtos, possuí capacidade de conducAo de corrente maxima por entrada de 40A, tensAo maxima de operacAo de 1010V  do DPS, grau de protecAo IP65.</v>
          </cell>
        </row>
        <row r="2982">
          <cell r="B2982" t="str">
            <v>pending</v>
          </cell>
          <cell r="D2982">
            <v>59110006</v>
          </cell>
          <cell r="E2982">
            <v>85372090</v>
          </cell>
          <cell r="G2982">
            <v>85372090</v>
          </cell>
          <cell r="H2982" t="str">
            <v>Caixa de juncAo String Box de corrente continua para protecAo de sistemas fotovoltaicos, modelo HXCB10-2/2 com 2 entradas e 2 saídas, equipado com 6 dispositivos de protecAo contra surtos, possuí capacidade de conducAo de corrente maxima por entrada de 40A, tensAo maxima de operacAo de 1010V  do DPS, grau de protecAo IP65.</v>
          </cell>
        </row>
        <row r="2983">
          <cell r="B2983" t="str">
            <v>pending</v>
          </cell>
          <cell r="D2983">
            <v>59110007</v>
          </cell>
          <cell r="E2983">
            <v>85372090</v>
          </cell>
          <cell r="G2983">
            <v>85372090</v>
          </cell>
          <cell r="H2983" t="str">
            <v>Caixa de juncAo String Box de corrente continua para protecAo de sistemas fotovoltaicos, modelo HXCB10-4/2 com 4 entradas e 2 saídas, equipado com 6 dispositivos de protecAo contra surtos, possuí capacidade de conducAo de corrente maxima por entrada de 40A, tensAo maxima de operacAo de 1010V  do DPS, grau de protecAo IP65.</v>
          </cell>
        </row>
        <row r="2984">
          <cell r="B2984" t="str">
            <v>pending</v>
          </cell>
          <cell r="D2984">
            <v>59120004</v>
          </cell>
          <cell r="E2984">
            <v>85372090</v>
          </cell>
          <cell r="G2984">
            <v>85372090</v>
          </cell>
          <cell r="H2984" t="str">
            <v>Caixa de juncAo String Box de corrente continua para protecAo de sistemas fotovoltaicos, modelo HXCB10S-1/1 com 1 entrada e 1 saída, equipado com 1 dispositivo de interrupcAo/seccionamento, protecAo contra sobrecargas e 3 dispositivos de protecAo contra surtos, possuí capacidade de conducAo de corrente maxima por entrada de 40A, tensAo maxima de operacAo de 1010V do DPS, grau de protecAo IP65.</v>
          </cell>
        </row>
        <row r="2985">
          <cell r="B2985" t="str">
            <v>pending</v>
          </cell>
          <cell r="D2985">
            <v>59120005</v>
          </cell>
          <cell r="E2985">
            <v>85372090</v>
          </cell>
          <cell r="G2985">
            <v>85372090</v>
          </cell>
          <cell r="H2985" t="str">
            <v>Caixa de juncAo String Box de corrente continua para protecAo de sistemas fotovoltaicos, modelo HXCB10S-2/1 com 2 entradas e 1 saída, equipado com 1 dispositivo de interrupcAo/seccionamento, protecAo contra sobrecargas e 3 dispositivos de protecAo contra surtos, possuí capacidade de conducAo de corrente maxima por entrada de 40A, tensAo maxima de operacAo de 1010V do DPS, grau de protecAo IP65.</v>
          </cell>
        </row>
        <row r="2986">
          <cell r="B2986" t="str">
            <v>pending</v>
          </cell>
          <cell r="D2986">
            <v>59120006</v>
          </cell>
          <cell r="E2986">
            <v>85372090</v>
          </cell>
          <cell r="G2986">
            <v>85372090</v>
          </cell>
          <cell r="H2986" t="str">
            <v>Caixa de juncAo String Box de corrente continua para protecAo de sistemas fotovoltaicos, modelo HXCB10S-2/2 com 2 entradas e 2 saídas, equipado com 2 dispositivo de interrupcAo/seccionamento, protecAo contra sobrecargas e 6 dispositivos de protecAo contra surtos, possuí capacidade de conducAo de corrente maxima por entrada de 40A, tensAo maxima de operacAo de 1010V do DPS, grau de protecAo IP65.</v>
          </cell>
        </row>
        <row r="2987">
          <cell r="B2987" t="str">
            <v>pending</v>
          </cell>
          <cell r="D2987">
            <v>59120007</v>
          </cell>
          <cell r="E2987">
            <v>85372090</v>
          </cell>
          <cell r="G2987">
            <v>85372090</v>
          </cell>
          <cell r="H2987" t="str">
            <v>Caixa de juncAo String Box de corrente continua para protecAo de sistemas fotovoltaicos, modelo HXCB10S-4/2 com 2 entradas e 2 saídas, equipado com 2 dispositivo de interrupcAo/seccionamento, protecAo contra sobrecargas e 6 dispositivos de protecAo contra surtos, possuí capacidade de conducAo de corrente maxima por entrada de 40A, tensAo maxima de operacAo de 1010V do DPS, grau de protecAo IP65.</v>
          </cell>
        </row>
        <row r="2988">
          <cell r="B2988" t="str">
            <v>5659B80130</v>
          </cell>
          <cell r="D2988" t="str">
            <v>5659B80130</v>
          </cell>
          <cell r="E2988">
            <v>90282010</v>
          </cell>
          <cell r="F2988">
            <v>90282010</v>
          </cell>
          <cell r="H2988" t="str">
            <v>Hidrometro ultrassonico (contador de líquidos) industrial com carcaca de ferro fundido, diAmetro nominal de 50mm, comprimento 270 mm, vazAo de 25 m3/h; R400 com saída de pulso/modbus, com peso líquido unitario aproximado entre 10,0 kg e 15,0 kg.</v>
          </cell>
        </row>
        <row r="2989">
          <cell r="B2989">
            <v>7020201280</v>
          </cell>
          <cell r="D2989" t="str">
            <v>PENDING</v>
          </cell>
          <cell r="E2989">
            <v>84798999</v>
          </cell>
          <cell r="H2989" t="str">
            <v>Maquina de alimentacAo automatica para injecAo de policarbonato, equipado com: Controle Central TCS-2-20G-L; Tanque de armazenamento TST-500S; Alimentador SPB-501B; Funil de material CMR24-50; Funil de material CMR12-50; Barril redondo SCH-12R; Caixa de succAo SPB-502SN; EstacAo de selecAo de material com uma entrada e cinco saidas; Secador THD-800DT-L; desumidificador THD-700C
Marca xxxx, model xxxxx, ano de fabricacAo xxxx, numero de serie YYYY</v>
          </cell>
        </row>
        <row r="2990">
          <cell r="B2990">
            <v>2080701861</v>
          </cell>
          <cell r="D2990">
            <v>20692546</v>
          </cell>
          <cell r="E2990">
            <v>85044010</v>
          </cell>
          <cell r="F2990">
            <v>85044010</v>
          </cell>
          <cell r="H2990" t="str">
            <v>Carregador de acumulador (CA) portatil para carregar dispositivos convencionais (Modulo de AlimentacAo e Carregamento de Potencia), propriedades de Entrada: TensAo de Entrada de 95Vac a 264Vac. Frequencia de Entrada: 50/60Hz. Carga de Bateria - TensAo de Carga Flutuante: 27V a 28V; Corrente de Carga da Bateria: 0.3A a 0.7A; Ponto de ProtecAo de Baixa TensAo da Bateria: 19.5V a 21.5V; Carga de Capacitor - TensAo de Carga: 210V a 250V; Corrente de Carga: 0.9A a 1.2A; Eficiencia de Energia: 80por cento; Outras Características - Temperatura Ambiente de Uso: -40C a 70C; Temperatura de Armazenamento Ambiente: -50C a 100C; Umidade Ambiente: Ate 90por cento; Tempo Medio Entre Falhas: 80000 horas; Peso aproximado de 1Kg</v>
          </cell>
        </row>
        <row r="2991">
          <cell r="B2991">
            <v>2081100250</v>
          </cell>
          <cell r="D2991">
            <v>20692547</v>
          </cell>
          <cell r="E2991">
            <v>85322200</v>
          </cell>
          <cell r="F2991">
            <v>85322200</v>
          </cell>
          <cell r="H2991" t="str">
            <v>Modulo de Banco de Capacitores ( Condensador eletrico fixo eletrolitico de aluminio) para utilizacAo no Religador Trifasico HXD811</v>
          </cell>
        </row>
        <row r="2992">
          <cell r="B2992" t="str">
            <v>LHE34DRR11001</v>
          </cell>
          <cell r="D2992" t="str">
            <v>pending</v>
          </cell>
          <cell r="E2992">
            <v>90283031</v>
          </cell>
          <cell r="F2992" t="str">
            <v>Not applicable</v>
          </cell>
          <cell r="G2992">
            <v>90283011</v>
          </cell>
          <cell r="H2992" t="str">
            <v>Medidor de Energia  (contador de eletricidade)  trifasico digital, smart meter modelo LHE34DR 230V 5(80)A.</v>
          </cell>
        </row>
        <row r="2993">
          <cell r="B2993" t="str">
            <v>GT3-50K</v>
          </cell>
          <cell r="D2993" t="str">
            <v>pending</v>
          </cell>
          <cell r="E2993">
            <v>85044090</v>
          </cell>
          <cell r="F2993" t="str">
            <v>Not applicable</v>
          </cell>
          <cell r="G2993">
            <v>85044090</v>
          </cell>
          <cell r="H2993" t="str">
            <v>Inversores para sistemas fotovoltaicos “on-grid”, tipo “string”, para rede trifasica, com potencia nominal de saída de 50.000W a 40 graus Celsius, com potencia maxima de saída de 55.000W a 40 graus Celsius e tensAo nominal de saída de 380VCA, de marca XXXX, modelo GT3-50K, ano de fabricacAo ZZZZ e numeros de serie AAAA a BBBB - para conversAo de energia corrente contínua em energia corrente alternada, de tecnologia de controle microprocessado, tensAo de alimentacAo 310VCA~400VCA, corrente nominal de saída de 76A, faixa de frequencia 50/60 Hz, eficiencia maxima de 98,50por cento, gabinetes com grau de protecAo IP65, projetados para suportar operacAo em temperaturas na faixa de -25 a 60 graus Celsius, quatro MPPTs.</v>
          </cell>
        </row>
        <row r="2994">
          <cell r="B2994">
            <v>3013602590</v>
          </cell>
          <cell r="D2994" t="str">
            <v>20661200 </v>
          </cell>
          <cell r="E2994">
            <v>85043111</v>
          </cell>
          <cell r="F2994">
            <v>85043111</v>
          </cell>
          <cell r="H2994" t="str">
            <v>Transformador de corrente monofasico em resina epoxi de potencia 5VA (0,005kVA) para instalacAo interna, com suporte para diferentes tipos de cabos e barramentos. Projetado para operar em frequencia de  60Hz, ate 600V, com uma corrente no primario de ate 100A e precisAo de 0.5</v>
          </cell>
        </row>
        <row r="2995">
          <cell r="B2995">
            <v>3013602600</v>
          </cell>
          <cell r="D2995" t="str">
            <v>20661300 </v>
          </cell>
          <cell r="E2995">
            <v>85043111</v>
          </cell>
          <cell r="F2995">
            <v>85043111</v>
          </cell>
          <cell r="H2995" t="str">
            <v>Transformador de corrente monofasico em resina epoxi de potencia 5VA (0,005kVA) para instalacAo interna, com suporte para diferentes tipos de cabos e barramentos. Projetado para operar em frequencia de  60Hz, ate 600V, com uma corrente no primario de ate 100A e precisAo de 0.5</v>
          </cell>
        </row>
        <row r="2996">
          <cell r="B2996">
            <v>3013602610</v>
          </cell>
          <cell r="D2996" t="str">
            <v> 20661400</v>
          </cell>
          <cell r="E2996">
            <v>85043111</v>
          </cell>
          <cell r="F2996">
            <v>85043111</v>
          </cell>
          <cell r="H2996" t="str">
            <v>Transformador de corrente monofasico em resina epoxi de potencia 5VA (0,005kVA) para instalacAo interna, com suporte para diferentes tipos de cabos e barramentos. Projetado para operar em frequencia de  60Hz, ate 600V, com uma corrente no primario de ate 100A e precisAo de 0.5</v>
          </cell>
        </row>
        <row r="2997">
          <cell r="B2997">
            <v>3990031540</v>
          </cell>
          <cell r="D2997" t="str">
            <v>PENDING</v>
          </cell>
          <cell r="E2997">
            <v>85437099</v>
          </cell>
          <cell r="F2997" t="str">
            <v>Not applicable</v>
          </cell>
          <cell r="G2997">
            <v>85437099</v>
          </cell>
          <cell r="H2997" t="str">
            <v>Unidades para abastecimento eletrico veicular, adaptavel a parede ou à base de fixacAo de solo, em aco e plastico, com conector Tipo 2, trifasico, de potencia 142kW e corrente 232A, com "interface" de comunicacAo, com alimentacAo de 380Vac e grau de protecAo IP54 com plug de abastecimento - marca Livoltek, modelo M1421000E3MY, ano de fabricacAo YYY e numeros de serie de AAAA a BBBB.</v>
          </cell>
        </row>
        <row r="2998">
          <cell r="B2998" t="str">
            <v>GT3-60KQ1</v>
          </cell>
          <cell r="D2998" t="str">
            <v>pending</v>
          </cell>
          <cell r="E2998">
            <v>85044090</v>
          </cell>
          <cell r="F2998" t="str">
            <v>Not applicable</v>
          </cell>
          <cell r="G2998">
            <v>85044090</v>
          </cell>
          <cell r="H2998" t="str">
            <v>Inversores para sistemas fotovoltaicos “on-grid”, tipo “string”, para rede trifasica, com potencia nominal de saída de 60.000W a 40 graus Celsius, com potencia maxima de saída de 66.000W a 40 graus Celsius e tensAo nominal de saída de 380VCA, de marca XXXX, modelo GT3-60K, ano de fabricacAo ZZZZ e numeros de serie AAAA a BBBB - para conversAo de energia corrente contínua em energia corrente alternada, de tecnologia de controle microprocessado, tensAo de alimentacAo 310VCA~410VCA, corrente nominal de saída de 91A, faixa de frequencia 50/60 Hz, eficiencia maxima de 98,50por cento, gabinetes com grau de protecAo IP65, projetados para suportar operacAo em temperaturas na faixa de -25 a 60 graus Celsius, quatro MPPTs.</v>
          </cell>
        </row>
        <row r="2999">
          <cell r="B2999" t="str">
            <v>pending</v>
          </cell>
          <cell r="D2999" t="str">
            <v>pending</v>
          </cell>
          <cell r="E2999">
            <v>85013210</v>
          </cell>
          <cell r="G2999">
            <v>85013210</v>
          </cell>
          <cell r="H2999" t="str">
            <v>Motor eletrico, de corrente contínua, potencia 3kW e carcaca de 51mm.</v>
          </cell>
        </row>
        <row r="3000">
          <cell r="B3000">
            <v>2052500670</v>
          </cell>
          <cell r="D3000">
            <v>20691654</v>
          </cell>
          <cell r="E3000">
            <v>85423939</v>
          </cell>
          <cell r="F3000">
            <v>85423939</v>
          </cell>
          <cell r="G3000">
            <v>85423939</v>
          </cell>
          <cell r="H3000" t="str">
            <v>Circuito integrado eletronico do tipo regulador de tensAo DCDC, montado, proprio para montagem em superfície SMD; TensAo de saída ajustavel 4,7V~40V; Encapsulamento SOT-23-6; Corrente nominal de saída 1A</v>
          </cell>
        </row>
        <row r="3001">
          <cell r="B3001" t="str">
            <v>GT3-20KLW11001</v>
          </cell>
          <cell r="D3001" t="str">
            <v>pending</v>
          </cell>
          <cell r="E3001">
            <v>85044090</v>
          </cell>
          <cell r="G3001">
            <v>85044090</v>
          </cell>
          <cell r="H3001" t="str">
            <v>pending</v>
          </cell>
        </row>
        <row r="3002">
          <cell r="B3002" t="str">
            <v>5633C20400</v>
          </cell>
          <cell r="D3002" t="str">
            <v>5633C20400</v>
          </cell>
          <cell r="E3002">
            <v>90282010</v>
          </cell>
          <cell r="G3002">
            <v>90282010</v>
          </cell>
          <cell r="H3002" t="str">
            <v>Hidrometro ultrassonico (contador de líquidos) residencial com carcaca de latAo, diAmetro nominal de 15mm, comprimento 260 mm, vazAo de 2,5 m3/h; R500 com saída pulsada,  com peso líquido unitario aproximado entre 0,5 kg e 2,0 kg.</v>
          </cell>
        </row>
        <row r="3003">
          <cell r="B3003" t="str">
            <v>5634C30400</v>
          </cell>
          <cell r="D3003" t="str">
            <v>5634C30400</v>
          </cell>
          <cell r="E3003">
            <v>90282010</v>
          </cell>
          <cell r="G3003">
            <v>90282010</v>
          </cell>
          <cell r="H3003" t="str">
            <v>Hidrometro ultrassonico (contador de líquidos) residencial com carcaca de latAo, diAmetro nominal de 20 mm, comprimento 260 mm, vazAo de 4,0 m3/h; R500 comsaída pulsada,  com peso líquido unitario aproximado entre 0,5 kg e 2,0 kg.</v>
          </cell>
        </row>
        <row r="3004">
          <cell r="B3004" t="str">
            <v>5635C70400</v>
          </cell>
          <cell r="D3004" t="str">
            <v>5635C70400</v>
          </cell>
          <cell r="E3004">
            <v>90282010</v>
          </cell>
          <cell r="G3004">
            <v>90282010</v>
          </cell>
          <cell r="H3004" t="str">
            <v>Hidrometro ultrassonico (contador de líquidos) residencial com carcaca de latAo, diAmetro nominal de 25 mm, comprimento 260 mm, vazAo de 6,3 m3/h; R500 saída pulsada,  com peso líquido unitario aproximado entre 0,5 kg e 2,0 kg.</v>
          </cell>
        </row>
        <row r="3005">
          <cell r="B3005" t="str">
            <v>565CCB0501</v>
          </cell>
          <cell r="D3005" t="str">
            <v>565CCB0501</v>
          </cell>
          <cell r="E3005">
            <v>90282010</v>
          </cell>
          <cell r="G3005">
            <v>90282010</v>
          </cell>
          <cell r="H3005" t="str">
            <v>HIDROMETRO ULTRASSONICO  (CONTADOR DE LÍQUIDOS)  INDUSTRIAL COM CARCACA DE FERRO FUNDIDO, DIAMETRO NOMINAL DE 100MM, COMPRIMENTO 360 MM, VAZAO DE 100 M3/H; R500 COM SAÍDA DE PULSO/MODBUS, COM PESO LÍQUIDO UNITARIO APROXIMADO ENTRE 20,0 KG E 30,0 KG.</v>
          </cell>
        </row>
        <row r="3006">
          <cell r="B3006" t="str">
            <v>565DC90501</v>
          </cell>
          <cell r="D3006" t="str">
            <v>565DC90501</v>
          </cell>
          <cell r="E3006">
            <v>90282010</v>
          </cell>
          <cell r="G3006">
            <v>90282010</v>
          </cell>
          <cell r="H3006" t="str">
            <v>Hidrometro ultrassonico  (contador de líquidos) industrial com carcaca de ferro fundido, diAmetro nominal de 150mm, comprimento 300 mm, vazAo de 250 m3/h; R500 com  saída de pulso/modbus, com peso líquido unitario aproximado entre 30,0 kg e 35,0 kg.</v>
          </cell>
        </row>
        <row r="3007">
          <cell r="B3007" t="str">
            <v>565BB50602</v>
          </cell>
          <cell r="D3007" t="str">
            <v>565BB50602</v>
          </cell>
          <cell r="E3007">
            <v>90282010</v>
          </cell>
          <cell r="G3007">
            <v>90282010</v>
          </cell>
          <cell r="H3007" t="str">
            <v>Hidrometro ultrassonico (contador de líquidos) industrial com carcaca de aco inoxidavel, diAmetro nominal de 80mm, comprimento 225 mm, vazAo de 63 m3/h; R400 com saída de pulso/modbus, com peso líquido unitario aproximado entre 15 kg e 20 kg.</v>
          </cell>
        </row>
        <row r="3008">
          <cell r="B3008" t="str">
            <v>HXW410.R110</v>
          </cell>
          <cell r="D3008">
            <v>20692052</v>
          </cell>
          <cell r="E3008">
            <v>85176272</v>
          </cell>
          <cell r="G3008">
            <v>85176272</v>
          </cell>
          <cell r="H3008" t="str">
            <v>MODULOS DE COMUNICACAO RF (HXW410.R110) PARA HIDROMETROS ZLW, COM TECNOLOGIA 4G DE FREQUENCIA INFERIOR A 15 GHZ E DE TAXA DE TRANSMISSAO INFERIOR OU IGUAL A 34 MBIT/S. </v>
          </cell>
        </row>
        <row r="3009">
          <cell r="B3009" t="str">
            <v>5635B70300</v>
          </cell>
          <cell r="D3009" t="str">
            <v>5635B70300</v>
          </cell>
          <cell r="E3009">
            <v>90282010</v>
          </cell>
          <cell r="G3009">
            <v>90282010</v>
          </cell>
          <cell r="H3009" t="str">
            <v>Hidrometro ultrassonico (contador de líquidos) residencial com carcaca de latAo, diAmetro nominal de 25 mm, comprimento 260 mm, vazAo de 6,3 m3/h; R400 com saída pulsada,  com peso líquido unitario aproximado entre 0,5 kg e 2,0 kg.</v>
          </cell>
        </row>
        <row r="3010">
          <cell r="B3010" t="str">
            <v>5634B30300</v>
          </cell>
          <cell r="D3010" t="str">
            <v>5634B30300</v>
          </cell>
          <cell r="E3010">
            <v>90282010</v>
          </cell>
          <cell r="G3010">
            <v>90282010</v>
          </cell>
          <cell r="H3010" t="str">
            <v>Hidrometro ultrassonico (contador de líquidos) residencial com carcaca de latAo, diAmetro nominal de 20 mm, comprimento 190 mm, vazAo de 4,0 m3/h; R400 com  saída pulsada,  com peso líquido unitario aproximado entre 0,5 kg e 2,0 kg.</v>
          </cell>
        </row>
        <row r="3011">
          <cell r="B3011" t="str">
            <v>5636B70300</v>
          </cell>
          <cell r="D3011" t="str">
            <v>5636B70300</v>
          </cell>
          <cell r="E3011">
            <v>90282010</v>
          </cell>
          <cell r="G3011">
            <v>90282010</v>
          </cell>
          <cell r="H3011" t="str">
            <v>Hidrometro ultrassonico (contador de líquidos) residencial com carcaca de latAo, diAmetro nominal de 25 mm, comprimento 260 mm, vazAo de 10 m3/h; R400 com saída pulsada,  com peso líquido unitario aproximado entre 0,5 kg e 2,0 kg.</v>
          </cell>
        </row>
        <row r="3012">
          <cell r="B3012">
            <v>3090112290</v>
          </cell>
          <cell r="D3012">
            <v>10410816</v>
          </cell>
          <cell r="E3012">
            <v>85444900</v>
          </cell>
          <cell r="F3012">
            <v>85444900</v>
          </cell>
          <cell r="G3012">
            <v>85444900</v>
          </cell>
          <cell r="H3012" t="str">
            <v>CABO CONDUTOR ELeTRICO, ISOLADO PARA USO ELeTRICO, PARA APLICAcAO EM TENSAO APROXIMADA DE 24V, NAO MUNIDO DE PEcAS PARA CONEXAO, DE COBRE,DE 4 NuCLEOS (VERMELHO, AMARELO, VERDE E MARROM) PARA SAÍDA DE PULSO DE DIMENSoES 4*0,3mm2?.</v>
          </cell>
        </row>
        <row r="3013">
          <cell r="B3013">
            <v>4039896130</v>
          </cell>
          <cell r="D3013">
            <v>10410817</v>
          </cell>
          <cell r="E3013">
            <v>85444900</v>
          </cell>
          <cell r="F3013">
            <v>85444900</v>
          </cell>
          <cell r="G3013">
            <v>85444900</v>
          </cell>
          <cell r="H3013" t="str">
            <v>CABO CONDUTOR ELeTRICO, ISOLADO PARA USO ELeTRICO, PARA APLICAcAO EM TENSAO APROXIMADA DE 24V,  NAO MUNIDO DE PEcAS PARA CONEXAO, DE COBRE, DE 2 NuCLEOS (VERMELHO E BRANCO) PARA TRANSDUTOR.</v>
          </cell>
        </row>
        <row r="3014">
          <cell r="B3014">
            <v>6001015140</v>
          </cell>
          <cell r="D3014">
            <v>101070</v>
          </cell>
          <cell r="E3014">
            <v>90303990</v>
          </cell>
          <cell r="H3014" t="str">
            <v xml:space="preserve">Instrumento de detector de descargas parciais para medida de tensAo, intensidade e potencAo das descargas parciais em tempo real alimentado em 220V±10por cento,50/60HZ com o registro de pulsos eletricos em circuitos principais de chaveamento de transformadores de potencia e/ou buchas capacitivas, atraves de alteracoes em capacitAncia e fator de potencia em um range de 6PF-250μF, com capacidade de medicAo monofasica em buchas de AT ou BT, utilizando modulo de comunicacAo Modbus -Modelo:xxxx; Marca: xxxx. Numero de serie: XXXXXXXXXX-YYYYYYYYYY; Ano de fabricacAo: xxxx; </v>
          </cell>
        </row>
        <row r="3015">
          <cell r="B3015">
            <v>7020704040</v>
          </cell>
          <cell r="D3015">
            <v>101054</v>
          </cell>
          <cell r="E3015">
            <v>84223022</v>
          </cell>
          <cell r="G3015">
            <v>84223022</v>
          </cell>
          <cell r="H3015" t="str">
            <v xml:space="preserve">Maquina para aplicacAo de de fita para selagem e fechamento de caixas de papelAo - O diAmetro do disco e de 1,65 metros, a altura do enrolamento e de 2 metros, com inclinacAo de alimentacAo, capacidade de carga ≦2000Kg, velocidade da plataforma giratoria: 0-13 rpm, potencia completa da maquina: 1,5kw, AC 220V/50H Z-Modelo:xxxx; Marca: xxxx. Numero de serie: XXXXXXXXXX-YYYYYYYYYY; Ano de fabricacAo: xxxx; </v>
          </cell>
        </row>
        <row r="3016">
          <cell r="B3016">
            <v>5111200970</v>
          </cell>
          <cell r="D3016">
            <v>40291601</v>
          </cell>
          <cell r="E3016">
            <v>73261900</v>
          </cell>
          <cell r="F3016">
            <v>73261900</v>
          </cell>
          <cell r="G3016">
            <v>73261900</v>
          </cell>
          <cell r="H3016" t="str">
            <v>Gabinete Metalico Pantheon Chapa de Aco Carbono, com suporte para parafuso, com Acabamento de Tinta Epoxi Rica em Zinco - Cinza Claro (RAL7035), tratamento Galvanizado (2000h),  Tampa c/ Furos.</v>
          </cell>
        </row>
        <row r="3017">
          <cell r="B3017">
            <v>4020806220</v>
          </cell>
          <cell r="D3017">
            <v>101084</v>
          </cell>
          <cell r="E3017">
            <v>84779000</v>
          </cell>
          <cell r="F3017" t="str">
            <v>Not applicable</v>
          </cell>
          <cell r="H3017" t="str">
            <v>Servodrive MR-JE- 40A, 200V-240V, parte para uso em maquina de moldagem por injecAo</v>
          </cell>
        </row>
        <row r="3018">
          <cell r="B3018" t="str">
            <v>AC1-AIOR11001</v>
          </cell>
          <cell r="D3018" t="str">
            <v>pending</v>
          </cell>
          <cell r="E3018">
            <v>85049040</v>
          </cell>
          <cell r="F3018" t="str">
            <v>Not applicable</v>
          </cell>
          <cell r="H3018" t="str">
            <v>Parte de Alumínio para composicAo do gabinete do Inversor fotovoltaico, para conversAo de energia corrente
contínua em energia corrente alternada, microprocessado, modelo ALL-IN-ONE, monofasico, tensAo 230 V,
corrente nominal de saída 21.7A "hibrido", com potencia nominal de 5.000 W, faixa de frequencia 50/60 Hz,
eficiencia maxima de 97por cento, gabinete com grau de protecAo IP65, projetado para suportar operacAo em
temperaturas na faixa de -25 a 60 graus Celsius). 1 MPPT</v>
          </cell>
        </row>
        <row r="3019">
          <cell r="B3019">
            <v>5633720102</v>
          </cell>
          <cell r="D3019">
            <v>5633720102</v>
          </cell>
          <cell r="E3019">
            <v>90282010</v>
          </cell>
          <cell r="G3019">
            <v>90282010</v>
          </cell>
          <cell r="H3019" t="str">
            <v>Hidrometro ultrassonico (contador de líquidos) residencial com carcaca de latAo, diAmetro nominal de 15mm, comprimento 165 mm, vazAo de 2,5 m3/h; R160 e saída pulsada,  com peso líquido unitario aproximado entre 0,5 kg e 2,0 kg.</v>
          </cell>
        </row>
        <row r="3020">
          <cell r="B3020">
            <v>5634730102</v>
          </cell>
          <cell r="D3020">
            <v>5634730102</v>
          </cell>
          <cell r="E3020">
            <v>90282010</v>
          </cell>
          <cell r="G3020">
            <v>90282010</v>
          </cell>
          <cell r="H3020" t="str">
            <v>Hidrometro ultrassonico (contador de líquidos) residencial com carcaca de latAo, diAmetro nominal de 20mm, comprimento 190 mm, vazAo de 4,0 m3/h; R160 e saída pulsada,  com peso líquido unitario aproximado entre 0,5 kg e 2,0 kg.</v>
          </cell>
        </row>
        <row r="3021">
          <cell r="B3021" t="str">
            <v>5633C30101</v>
          </cell>
          <cell r="D3021" t="str">
            <v>5633C30101</v>
          </cell>
          <cell r="E3021">
            <v>90282010</v>
          </cell>
          <cell r="G3021">
            <v>90282010</v>
          </cell>
          <cell r="H3021" t="str">
            <v>Hidrometro ultrassonico (contador de líquidos) residencial com carcaca de latAo, diAmetro nominal de 20 mm, comprimento 190 mm, vazAo de 2,5 m3/h; R500 com saída pulsada,  com peso líquido unitario aproximado entre 0,5 kg e 2,0 kg.</v>
          </cell>
        </row>
        <row r="3022">
          <cell r="B3022" t="str">
            <v>5634C30101</v>
          </cell>
          <cell r="D3022" t="str">
            <v>5634C30101</v>
          </cell>
          <cell r="E3022">
            <v>90282010</v>
          </cell>
          <cell r="G3022">
            <v>90282010</v>
          </cell>
          <cell r="H3022" t="str">
            <v>HIDROMETRO ULTRASSONICO (CONTADOR DE LÍQUIDOS) RESIDENCIAL COM CARCACA DE LATAO, DIAMETRO NOMINAL DE 20 MM, COMPRIMENTO 190 MM, VAZAO DE 4,0 M3/H; R500 COM SAÍDA PULSADA,  COM PESO LÍQUIDO UNITARIO APROXIMADO ENTRE 0,5 KG E 2,0 KG.</v>
          </cell>
        </row>
        <row r="3023">
          <cell r="B3023">
            <v>3990036140</v>
          </cell>
          <cell r="D3023">
            <v>20694078</v>
          </cell>
          <cell r="E3023">
            <v>85362000</v>
          </cell>
          <cell r="F3023" t="str">
            <v>Need to update benefit</v>
          </cell>
          <cell r="H3023" t="str">
            <v>Disjuntos inteligente para protecAo de circuitos eletricos, para aplicacAo em tensAo de 400 V - com display LCD para interface homem-maquina. Microprocessador ARM de 32 bits de alto desempenho para processamento de sinal em tempo real e controle e controle inteligente de funcoes de protecAo contra sobretensAo, subtensAo e falta de fase - Características eletricas de operacAo: 250 A, 400 VAC,50/60 Hz 3P+N.</v>
          </cell>
        </row>
        <row r="3024">
          <cell r="B3024">
            <v>4031000420</v>
          </cell>
          <cell r="D3024">
            <v>85409</v>
          </cell>
          <cell r="E3024">
            <v>73182900</v>
          </cell>
          <cell r="F3024" t="str">
            <v>Not applicable</v>
          </cell>
          <cell r="G3024">
            <v>73182900</v>
          </cell>
          <cell r="H3024" t="str">
            <v>Inserto de aco, nAo roscado,  de materia-prima base aco baixo carbono, de processo de fabricacAo por torno, de acabamento superficial sem tratamento, para molde de injecAo -  base mono NG (4031000420).</v>
          </cell>
        </row>
        <row r="3025">
          <cell r="B3025">
            <v>7030103400</v>
          </cell>
          <cell r="D3025">
            <v>101070</v>
          </cell>
          <cell r="E3025">
            <v>90303990</v>
          </cell>
          <cell r="H3025" t="str">
            <v xml:space="preserve">Instrumento de detector de descargas parciais para medida de tensAo, intensidade e potencAo das descargas parciais em tempo real alimentado em 220V±10por cento,50/60HZ com o registro de pulsos eletricos em circuitos principais de chaveamento de transformadores de potencia e/ou buchas capacitivas, atraves de alteracoes em capacitAncia e fator de potencia em um range de 6PF-250μF, com capacidade de medicAo monofasica em buchas de AT ou BT, utilizando modulo de comunicacAo Modbus -Modelo:xxxx; Marca: xxxx. Numero de serie: XXXXXXXXXX-YYYYYYYYYY; Ano de fabricacAo: xxxx; </v>
          </cell>
        </row>
        <row r="3026">
          <cell r="B3026">
            <v>3142100560</v>
          </cell>
          <cell r="D3026">
            <v>40242363</v>
          </cell>
          <cell r="E3026">
            <v>73030000</v>
          </cell>
          <cell r="F3026" t="str">
            <v>Need to update benefit</v>
          </cell>
          <cell r="H3026" t="str">
            <v>TUBO DE FERRO FUNDIDO NAO DUCTIL, FLANGEADO, COM PINTURA DE ACABAMENTO EXTERNO EPOXI AZUL, NAO ALETADO NEM RANHURADO,MONTADO, PARA USO EM HIDROMETROS INDUSTRIAIS COM SECAO DE TRANSVERSAL DE DIAM. EXTERNO  -80MM E COMPRIMENTO DO TUBO DE 0.225M (FORMA DE TUBO -PONTA-PONTA), REVESTIMENTO INTERNO: TINTA EPOXI, REVESTIMENTO EXTERNO: TINTA EPOXI.</v>
          </cell>
        </row>
        <row r="3027">
          <cell r="B3027">
            <v>3142100570</v>
          </cell>
          <cell r="D3027">
            <v>40242364</v>
          </cell>
          <cell r="E3027">
            <v>73030000</v>
          </cell>
          <cell r="F3027" t="str">
            <v>Need to update benefit</v>
          </cell>
          <cell r="H3027" t="str">
            <v>TUBO DE FERRO FUNDIDO NAO DuCTIL, FLANGEADO, COM PINTURA DE ACABAMENTO EXTERNO EPoXI AZUL, NAO ALETADO NEM RANHURADO,MONTADO, PARA USO EM HIDRoMETROS INDUSTRIAIS COM SEcAO DE TRANSVERSAL DE DIAM. EXTERNO-100mm E COMPRIMENTO do tubo DE 0.250m (FORMA DE TUBO -PONTA-PONTA), REVESTIMENTO INTERNO: TINTA EPoXI, REVESTIMENTO EXTERNO: TINTA EPoXI.</v>
          </cell>
        </row>
        <row r="3028">
          <cell r="B3028">
            <v>3142100450</v>
          </cell>
          <cell r="D3028">
            <v>40242365</v>
          </cell>
          <cell r="E3028">
            <v>73030000</v>
          </cell>
          <cell r="F3028" t="str">
            <v>Need to update benefit</v>
          </cell>
          <cell r="H3028" t="str">
            <v>TUBO DE FERRO FUNDIDO NAO DuCTIL, FLANGEADO, COM PINTURA DE ACABAMENTO EXTERNO EPoXI AZUL, NAO ALETADO NEM RANHURADO,MONTADO, PARA USO EM HIDRoMETROS INDUSTRIAIS COM SEcAO DE TRANSVERSAL DE DIAM. EXTERNO-150mm E COMPRIMENTO do tubo DE 0.3m (FORMA DE TUBO -PONTA-PONTA), REVESTIMENTO INTERNO: TINTA EPoXI, REVESTIMENTO EXTERNO: TINTA EPoXI.</v>
          </cell>
        </row>
        <row r="3029">
          <cell r="B3029">
            <v>3142100580</v>
          </cell>
          <cell r="D3029">
            <v>40242366</v>
          </cell>
          <cell r="E3029">
            <v>73030000</v>
          </cell>
          <cell r="F3029" t="str">
            <v>Need to update benefit</v>
          </cell>
          <cell r="H3029" t="str">
            <v>TUBO DE FERRO FUNDIDO NAO DuCTIL, FLANGEADO, COM PINTURA DE ACABAMENTO EXTERNO EPoXI AZUL, NAO ALETADO NEM RANHURADO,MONTADO, PARA USO EM HIDRoMETROS INDUSTRIAIS COM SEcAO DE TRANSVERSAL DE DIAM. EXTERNO-200mm E COMPRIMENTO do tubo DE 0.35m (FORMA DE TUBO -PONTA-PONTA), REVESTIMENTO INTERNO: TINTA EPoXI, REVESTIMENTO EXTERNO: TINTA EPoXI.</v>
          </cell>
        </row>
        <row r="3030">
          <cell r="B3030" t="str">
            <v>565AB40117</v>
          </cell>
          <cell r="C3030" t="str">
            <v>565AB40117</v>
          </cell>
          <cell r="D3030" t="str">
            <v>565AB40117</v>
          </cell>
          <cell r="E3030">
            <v>90282010</v>
          </cell>
          <cell r="G3030">
            <v>90282010</v>
          </cell>
          <cell r="H3030" t="str">
            <v>Hidrometro ultrassonico  (contador de líquidos) industrial com carcaca de ferro fundido, diAmetro nominal de 50mm, comprimento 200 mm, vazAo de 40,0 m3/h; R400 com saída de pulso, com peso líquido unitario aproximado entre 10,0 kg e 15,0 kg.</v>
          </cell>
        </row>
        <row r="3031">
          <cell r="B3031" t="str">
            <v>HXD811-15.5.R110</v>
          </cell>
          <cell r="D3031">
            <v>40700105</v>
          </cell>
          <cell r="E3031">
            <v>85359090</v>
          </cell>
          <cell r="F3031" t="str">
            <v>Need to update benefit</v>
          </cell>
          <cell r="H3031" t="str">
            <v>CHAVE DE MANOBRA (INTERRUPTOR) TRIFaSICA C/ INTERRUPcAO POR AMPOLA À VaCUO NAO IMERSO EM MEIO LÍQUIDO E COM DISPOSITIVO DE ACIONAMENTO AUTOMaTICO (ATUADOR DE IMA MAGNeTICO PERMANENTE) PARA UMA CORRENTE NOMINAL DE 630A, TENSAO DE 15.5kV , NUMERO DE FASES: 3; CAPACIDADE DE INTERRUPCAO: 16kA; FREQUENCIA: 50/60HZ; ISOLAMENTO: RESINA EPOXI; GRAU PROTECAO e IP55</v>
          </cell>
        </row>
        <row r="3032">
          <cell r="B3032" t="str">
            <v>HXD811-38.R110</v>
          </cell>
          <cell r="D3032">
            <v>40700106</v>
          </cell>
          <cell r="E3032">
            <v>85359090</v>
          </cell>
          <cell r="F3032" t="str">
            <v>Need to update benefit</v>
          </cell>
          <cell r="H3032" t="str">
            <v>CHAVE DE MANOBRA (INTERRUPTOR)  TRIFaSICA C/ INTERRUPcAO POR AMPOLA À VaCUO NAO IMERSO EM MEIO LÍQUIDO E COM DISPOSITIVO DE ACIONAMENTO AUTOMaTICO (ATUADOR DE IMA MAGNeTICO PERMANENTE) PARA UMA CORRENTE NOMINAL DE 800A, TENSAO DE 38kV , NUMERO DE FASES: 3; CAPACIDADE DE INTERRUPCAO: 16kA; FREQUENCIA: 50/60HZ; ISOLAMENTO: RESINA EPOXI; GRAU PROTECAO e IP55</v>
          </cell>
        </row>
        <row r="3033">
          <cell r="B3033" t="str">
            <v>565AC70110</v>
          </cell>
          <cell r="D3033" t="str">
            <v>565AC70110</v>
          </cell>
          <cell r="E3033">
            <v>90282010</v>
          </cell>
          <cell r="F3033">
            <v>90282010</v>
          </cell>
          <cell r="G3033">
            <v>90282010</v>
          </cell>
          <cell r="H3033" t="str">
            <v>Hidrometro ultrassonico  (contador de líquidos) industrial com carcaca de ferro fundido, diAmetro nominal de 50mm, comprimento 270 mm, vazAo de 40,0 m3/h; R500 com saída de pulso, com peso líquido unitario aproximado entre 10,0 kg e 15,0 kg.</v>
          </cell>
        </row>
        <row r="3034">
          <cell r="B3034">
            <v>4020804580</v>
          </cell>
          <cell r="D3034">
            <v>101325</v>
          </cell>
          <cell r="E3034">
            <v>85369090</v>
          </cell>
          <cell r="F3034" t="str">
            <v>Not applicable</v>
          </cell>
          <cell r="G3034">
            <v>85369090</v>
          </cell>
          <cell r="H3034" t="str">
            <v>Conector-suporte para conexAo de circuito eletrico, de tensAo ate 240V, para estigma de corrente, para bancada de medidores eletricos</v>
          </cell>
        </row>
        <row r="3035">
          <cell r="B3035" t="str">
            <v>565DB90130</v>
          </cell>
          <cell r="D3035" t="str">
            <v>565DB90130</v>
          </cell>
          <cell r="E3035">
            <v>90282010</v>
          </cell>
          <cell r="F3035">
            <v>90282010</v>
          </cell>
          <cell r="G3035">
            <v>90282010</v>
          </cell>
          <cell r="H3035" t="str">
            <v>Hidrometro ultrassonico  (contador de líquidos) industrial com carcaca de aco, diAmetro nominal de 150mm, comprimento 300 mm, vazAo de 250,0 m3/h; R400 com saída de pulso, com peso líquido unitario aproximado entre 10,0 kg e 20,0 kg.</v>
          </cell>
        </row>
        <row r="3036">
          <cell r="B3036">
            <v>4010104480</v>
          </cell>
          <cell r="D3036">
            <v>101670</v>
          </cell>
          <cell r="E3036">
            <v>70200090</v>
          </cell>
          <cell r="F3036" t="str">
            <v>Not applicable</v>
          </cell>
          <cell r="G3036">
            <v>70200090</v>
          </cell>
          <cell r="H3036" t="str">
            <v>Gabarito de fibra de vidro para inspecAo dos componentes SMD na SMT (REF. 4010104480)</v>
          </cell>
        </row>
        <row r="3037">
          <cell r="B3037">
            <v>3032701920</v>
          </cell>
          <cell r="D3037">
            <v>21100900</v>
          </cell>
          <cell r="E3037">
            <v>73181400</v>
          </cell>
          <cell r="F3037">
            <v>73181400</v>
          </cell>
          <cell r="H3037" t="str">
            <v xml:space="preserve">Parafuso autoperfurante, tipo combinado M3x16mm, artigo roscado, de materia-prima base em Aco baixo carbono (1022), de processo de fabricacAo por usinagem e acabamento superficial zincado, Cabeca panela </v>
          </cell>
        </row>
        <row r="3038">
          <cell r="B3038">
            <v>3032701890</v>
          </cell>
          <cell r="D3038">
            <v>21100800</v>
          </cell>
          <cell r="E3038">
            <v>73181400</v>
          </cell>
          <cell r="F3038">
            <v>73181400</v>
          </cell>
          <cell r="H3038" t="str">
            <v xml:space="preserve">Parafuso autoperfurante, cross chanel M3x8mm, artigo roscado, de materia-prima base em Aco baixo carbono (1022), de processo de fabricacAo por usinagem e acabamento superficial zincado, Cabeca panela </v>
          </cell>
        </row>
        <row r="3039">
          <cell r="B3039">
            <v>2021300090</v>
          </cell>
          <cell r="D3039">
            <v>20672699</v>
          </cell>
          <cell r="E3039">
            <v>85322200</v>
          </cell>
          <cell r="F3039">
            <v>85322200</v>
          </cell>
          <cell r="H3039" t="str">
            <v>CAPACITOR (CONDENSADOR ELeTRICO FIXO) ELETROLÍTICO DE ALUMÍNIO 470μF 20por cento 550V 3000h 35*60/10mm PTH</v>
          </cell>
        </row>
        <row r="3040">
          <cell r="B3040">
            <v>3012501100</v>
          </cell>
          <cell r="D3040">
            <v>21240100</v>
          </cell>
          <cell r="E3040">
            <v>84145190</v>
          </cell>
          <cell r="F3040" t="str">
            <v>Need to update benefit</v>
          </cell>
          <cell r="H3040" t="str">
            <v xml:space="preserve">VENTILADOR TIPO COOLER FAN, HeLICE DE DIAMETRO ATe 30CM, SEM RECURSOS ADICIONAIS, de potencia 1,8W, HDB0412EG-A 40x40x10mm 12V 9000.0rpm </v>
          </cell>
        </row>
        <row r="3041">
          <cell r="B3041">
            <v>3051506600</v>
          </cell>
          <cell r="D3041">
            <v>20258800</v>
          </cell>
          <cell r="E3041">
            <v>84149039</v>
          </cell>
          <cell r="F3041" t="str">
            <v>Need to update benefit</v>
          </cell>
          <cell r="H3041" t="str">
            <v>PARTES DE ESTRUTURA PARA MONTAGEM DE VENTILADOR TIPO COOLER Q235;44*46*12 PINTADA DE PRETA RA11.</v>
          </cell>
        </row>
        <row r="3042">
          <cell r="B3042">
            <v>8030100080</v>
          </cell>
          <cell r="D3042">
            <v>98352</v>
          </cell>
          <cell r="E3042">
            <v>85371020</v>
          </cell>
          <cell r="F3042" t="str">
            <v>Not applicable</v>
          </cell>
          <cell r="G3042">
            <v>85371020</v>
          </cell>
          <cell r="H3042" t="str">
            <v>Quadro de comunicacAo (switchboard) para comando eletrico e distribuicAo de de energia eletrica, para tensAo de 1000V, equipado de aparelhos para interrupcAo, seccionamento, protecAo, derivacAo ligacAo e conexAo de circuitos eletricos para tensAo de 1000V - GGD-QGBT1</v>
          </cell>
        </row>
        <row r="3043">
          <cell r="B3043">
            <v>8030100090</v>
          </cell>
          <cell r="D3043">
            <v>98353</v>
          </cell>
          <cell r="E3043">
            <v>85371020</v>
          </cell>
          <cell r="F3043" t="str">
            <v>Not applicable</v>
          </cell>
          <cell r="G3043">
            <v>85371020</v>
          </cell>
          <cell r="H3043" t="str">
            <v>Quadro de comunicacAo (switchboard) para comando eletrico e distribuicAo de de energia eletrica, para tensAo de 1000V, equipado de aparelhos para interrupcAo, seccionamento, protecAo, derivacAo ligacAo e conexAo de circuitos eletricos para tensAo de 1000V - GGD-QGBT2</v>
          </cell>
        </row>
        <row r="3044">
          <cell r="B3044">
            <v>8030100100</v>
          </cell>
          <cell r="D3044">
            <v>98354</v>
          </cell>
          <cell r="E3044">
            <v>85371020</v>
          </cell>
          <cell r="F3044" t="str">
            <v>Not applicable</v>
          </cell>
          <cell r="G3044">
            <v>85371020</v>
          </cell>
          <cell r="H3044" t="str">
            <v>Quadro de comunicacAo (switchboard) para comando eletrico e distribuicAo de de energia eletrica, para tensAo de 1000V, equipado de aparelhos para interrupcAo, seccionamento, protecAo, derivacAo ligacAo e conexAo de circuitos eletricos para tensAo de 1000V - GGD-BORA</v>
          </cell>
        </row>
        <row r="3045">
          <cell r="B3045">
            <v>8030100120</v>
          </cell>
          <cell r="D3045">
            <v>98356</v>
          </cell>
          <cell r="E3045">
            <v>85371020</v>
          </cell>
          <cell r="F3045" t="str">
            <v>Not applicable</v>
          </cell>
          <cell r="G3045">
            <v>85371020</v>
          </cell>
          <cell r="H3045" t="str">
            <v>Quadro de comunicacAo (switchboard) para comando eletrico e distribuicAo de de energia eletrica, para tensAo de 1000V, equipado de aparelhos para interrupcAo, seccionamento, protecAo, derivacAo ligacAo e conexAo de circuitos eletricos para tensAo de 1000V - FEF Well</v>
          </cell>
        </row>
        <row r="3046">
          <cell r="B3046">
            <v>8030100130</v>
          </cell>
          <cell r="D3046">
            <v>98357</v>
          </cell>
          <cell r="E3046">
            <v>85371020</v>
          </cell>
          <cell r="F3046" t="str">
            <v>Not applicable</v>
          </cell>
          <cell r="G3046">
            <v>85371020</v>
          </cell>
          <cell r="H3046" t="str">
            <v>Quadro de comunicacAo (switchboard) para comando eletrico e distribuicAo de de energia eletrica, para tensAo de 1000V, equipado de aparelhos para interrupcAo, seccionamento, protecAo, derivacAo ligacAo e conexAo de circuitos eletricos para tensAo de 1000V - GGD-FEF Administration</v>
          </cell>
        </row>
        <row r="3047">
          <cell r="B3047">
            <v>8030100140</v>
          </cell>
          <cell r="D3047">
            <v>98358</v>
          </cell>
          <cell r="E3047">
            <v>85371020</v>
          </cell>
          <cell r="F3047" t="str">
            <v>Not applicable</v>
          </cell>
          <cell r="G3047">
            <v>85371020</v>
          </cell>
          <cell r="H3047" t="str">
            <v>Quadro de comunicacAo (switchboard) para comando eletrico e distribuicAo de de energia eletrica, para tensAo de 1000V, equipado de aparelhos para interrupcAo, seccionamento, protecAo, derivacAo ligacAo e conexAo de circuitos eletricos para tensAo de 1000V - GGD-FEF-Cabin</v>
          </cell>
        </row>
        <row r="3048">
          <cell r="B3048">
            <v>8030100150</v>
          </cell>
          <cell r="D3048">
            <v>98359</v>
          </cell>
          <cell r="E3048">
            <v>85371020</v>
          </cell>
          <cell r="F3048" t="str">
            <v>Not applicable</v>
          </cell>
          <cell r="G3048">
            <v>85371020</v>
          </cell>
          <cell r="H3048" t="str">
            <v>Quadro de comunicacAo (switchboard) para comando eletrico e distribuicAo de de energia eletrica, para tensAo de 1000V, equipado de aparelhos para interrupcAo, seccionamento, protecAo, derivacAo ligacAo e conexAo de circuitos eletricos para tensAo de 1000V - XL-EV Charger</v>
          </cell>
        </row>
        <row r="3049">
          <cell r="B3049">
            <v>8030100160</v>
          </cell>
          <cell r="D3049">
            <v>98360</v>
          </cell>
          <cell r="E3049">
            <v>85371020</v>
          </cell>
          <cell r="F3049" t="str">
            <v>Not applicable</v>
          </cell>
          <cell r="G3049">
            <v>85371020</v>
          </cell>
          <cell r="H3049" t="str">
            <v>Quadro de comunicacAo (switchboard) para comando eletrico e distribuicAo de de energia eletrica, para tensAo de 1000V, equipado de aparelhos para interrupcAo, seccionamento, protecAo, derivacAo ligacAo e conexAo de circuitos eletricos para tensAo de 1000V - XL-Lighting</v>
          </cell>
        </row>
        <row r="3050">
          <cell r="B3050">
            <v>8030100170</v>
          </cell>
          <cell r="D3050">
            <v>98361</v>
          </cell>
          <cell r="E3050">
            <v>85371020</v>
          </cell>
          <cell r="F3050" t="str">
            <v>Not applicable</v>
          </cell>
          <cell r="G3050">
            <v>85371020</v>
          </cell>
          <cell r="H3050" t="str">
            <v>Quadro de comunicacAo (switchboard) para comando eletrico e distribuicAo de de energia eletrica, para tensAo de 1000V, equipado de aparelhos para interrupcAo, seccionamento, protecAo, derivacAo ligacAo e conexAo de circuitos eletricos para tensAo de 1000V - JX-Street lamp control box</v>
          </cell>
        </row>
        <row r="3051">
          <cell r="B3051">
            <v>8020400710</v>
          </cell>
          <cell r="D3051">
            <v>97129</v>
          </cell>
          <cell r="E3051">
            <v>85044040</v>
          </cell>
          <cell r="G3051">
            <v>85044040</v>
          </cell>
          <cell r="H3051" t="str">
            <v>Conversor estatico, equipamento de alimentacAo ininterrupta de energia, de potencia de 1000kVA (100000VA) - Sistema de armazenamento inteligente de energia eletrica em baterias (BESS – Battery Energy Storage System), instalado permanentemente em conteiner, que fornece alimentacAo ininterrupta de energia, utilizando a energia armazenada em momento oportuno (falha de fornecimento, horarios determinados, demanda de carga, etc), constituído por equipamento conversor de energia, baterias de íon de lítio, sistema de gerenciamento de baterias, sistema de gestAo da energia e componentes adicionais para climatizacAo e seguranca</v>
          </cell>
        </row>
        <row r="3052">
          <cell r="B3052">
            <v>8020400820</v>
          </cell>
          <cell r="D3052">
            <v>97132</v>
          </cell>
          <cell r="E3052">
            <v>84715090</v>
          </cell>
          <cell r="G3052">
            <v>84715090</v>
          </cell>
          <cell r="H3052" t="str">
            <v xml:space="preserve">Gabinete de comunicacAo com controle da geracAo de Energia para sistema de gerenciamento de energia (EMS) - maquina automatica para processamento de dados, de muito grande capacidade, contendo unidades de entrada e de saída (teclado QWERTY, mouse, monitor, switch e servidor), com capacidade de instalacAo interna, de unidades de memoria de disco magnetico e de estado solido (SSD). </v>
          </cell>
        </row>
        <row r="3053">
          <cell r="B3053">
            <v>8030100110</v>
          </cell>
          <cell r="D3053">
            <v>98355</v>
          </cell>
          <cell r="E3053">
            <v>85371020</v>
          </cell>
          <cell r="G3053">
            <v>85371020</v>
          </cell>
          <cell r="H3053" t="str">
            <v>Quadro de comunicacAo (switchboard) para comando eletrico e distribuicAo de de energia eletrica, para tensAo de 1000V, equipado de aparelhos para interrupcAo, seccionamento, protecAo, derivacAo ligacAo e conexAo de circuitos eletricos para tensAo de 1000V - GGD-FEF QD</v>
          </cell>
        </row>
        <row r="3054">
          <cell r="B3054">
            <v>8030100180</v>
          </cell>
          <cell r="D3054">
            <v>98362</v>
          </cell>
          <cell r="E3054">
            <v>85371020</v>
          </cell>
          <cell r="G3054">
            <v>85371020</v>
          </cell>
          <cell r="H3054" t="str">
            <v>Quadro de comunicacAo (switchboard) para comando eletrico e distribuicAo de de energia eletrica, para tensAo de 1000V, equipado de aparelhos para interrupcAo, seccionamento, protecAo, derivacAo ligacAo e conexAo de circuitos eletricos para tensAo de 1000V - GGD-FEF GMU</v>
          </cell>
        </row>
        <row r="3055">
          <cell r="B3055" t="str">
            <v>8020400710-1</v>
          </cell>
          <cell r="D3055" t="str">
            <v>PENDING</v>
          </cell>
          <cell r="E3055">
            <v>85049040</v>
          </cell>
          <cell r="H3055" t="str">
            <v>Partes e acessorios para instalacAo de sistema de armazenamento de energia com baterias (BESS), de íon de lítio, acondicionada em estrutura do tipo "container" (conversor estatico, equipamento para alimentacAo ininterrupta de energia), contendo:
- 2 baterias de chumbo-acido 12V 7Ah;
- 113 conjuntos de baterias de íon-lítio;
- 10 gabinetes metalicos para acomodacAo de baterias de alta voltagem;
- 1 empilhadeira hidraulica manual para movimentacAo e posicionamento do BESS.</v>
          </cell>
        </row>
        <row r="3056">
          <cell r="B3056" t="str">
            <v>QNM182-HS555-72</v>
          </cell>
          <cell r="D3056" t="str">
            <v>pending</v>
          </cell>
          <cell r="E3056">
            <v>85414300</v>
          </cell>
          <cell r="F3056" t="str">
            <v>Not applicable</v>
          </cell>
          <cell r="G3056">
            <v>85414300</v>
          </cell>
          <cell r="H3056" t="str">
            <v>Modulos solares fotovoltaicos para geracAo de energia eletrica, monofaciais, dotados de celulas de silício monocristalino, com potencia de pico (STC) na parte frontal de 555Wp para sistema com tensAo maxima de 1.500V, com dimensoes de 2.278 x 1.134mm (eficiencia de 214,8Wp/m2, equivalente a 21,5por cento), de valor unitario (CIF) nAo superior a RS 874,42.</v>
          </cell>
        </row>
        <row r="3057">
          <cell r="B3057">
            <v>3030303440</v>
          </cell>
          <cell r="D3057">
            <v>21103000</v>
          </cell>
          <cell r="E3057">
            <v>73181500</v>
          </cell>
          <cell r="F3057">
            <v>73181500</v>
          </cell>
          <cell r="H3057" t="str">
            <v>Parafuso ST2.9*8 de materia-prima base em Aco inox, de processo de fabricacAo por usinagem, e acabamento superficial sem tratamento cabeca cilíndrica com fenda cruzada e diAmetro de 2,9mm.</v>
          </cell>
        </row>
        <row r="3058">
          <cell r="B3058">
            <v>3024506990</v>
          </cell>
          <cell r="D3058">
            <v>11221000</v>
          </cell>
          <cell r="E3058">
            <v>39269090</v>
          </cell>
          <cell r="H3058" t="str">
            <v>Silicone para VedacAo de LCD - Hidrometro (contador de líquidos) de EVA (copolimero de etileno e acetato de vinila)  - Dimensoes 64mmx38mm</v>
          </cell>
        </row>
        <row r="3059">
          <cell r="B3059" t="str">
            <v>5648C90300</v>
          </cell>
          <cell r="D3059" t="str">
            <v>5648C90300</v>
          </cell>
          <cell r="E3059">
            <v>90282010</v>
          </cell>
          <cell r="G3059">
            <v>90282010</v>
          </cell>
          <cell r="H3059" t="str">
            <v>Hidrometro ultrassonico (contador de líquidos) distrital com carcaca de latAo, diAmetro nominal de 40mm, comprimento 300 mm, vazAo de 40 m3/h; R500 com  saída pulsada, com peso líquido unitario aproximado entre 2,0 kg e 5,0 kg.</v>
          </cell>
        </row>
        <row r="3060">
          <cell r="B3060" t="str">
            <v>565A980500</v>
          </cell>
          <cell r="D3060" t="str">
            <v>565A980500</v>
          </cell>
          <cell r="E3060">
            <v>90282010</v>
          </cell>
          <cell r="H3060" t="str">
            <v>Hidrometro ultrassonico  (contador de líquidos) industrial com carcaca de ferro fundido, diAmetro nominal de 50mm, comprimento 270 mm, vazAo de 40,0 m3/h; R250 com saída de pulso, modbus e 4-20mA, com peso líquido unitario aproximado entre 10,0 kg e 15,0 kg</v>
          </cell>
        </row>
        <row r="3061">
          <cell r="B3061" t="str">
            <v>5648B90100</v>
          </cell>
          <cell r="D3061" t="str">
            <v>5648B90100</v>
          </cell>
          <cell r="E3061">
            <v>90282010</v>
          </cell>
          <cell r="H3061" t="str">
            <v>Hidrometro ultrassonico (contador de líquidos) distrital com carcaca de latAo, diAmetro nominal de 40mm, comprimento 300 mm, vazAo de 16 m3/h, R250, saída pulsada, MODBUS e 4-20mA com peso líquido unitario aproximado entre 2,0 kg e 5,0 kg.</v>
          </cell>
        </row>
        <row r="3062">
          <cell r="B3062" t="str">
            <v>MJN72R12007-CPFL</v>
          </cell>
          <cell r="D3062">
            <v>20601210</v>
          </cell>
          <cell r="E3062">
            <v>85176272</v>
          </cell>
          <cell r="H3062" t="str">
            <v>Modulos de comunicacAo bidirecional de dados sem fio (recepcAo, conversAo e transmissAo), digitais, emissores de radio frequencia com receptor incorporado, capazes de operar na faixa ISM de frequencias 902 a 928 MHz, com taxa de transmissAo de ate 150 Kbps, para medidores inteligentes de energia eletrica</v>
          </cell>
        </row>
        <row r="3063">
          <cell r="B3063" t="str">
            <v>MJN72R12008-CPFL</v>
          </cell>
          <cell r="D3063">
            <v>20601211</v>
          </cell>
          <cell r="E3063">
            <v>85176272</v>
          </cell>
          <cell r="H3063"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v>
          </cell>
        </row>
        <row r="3064">
          <cell r="B3064" t="str">
            <v>MJN72R12011-CPFL</v>
          </cell>
          <cell r="D3064">
            <v>20601212</v>
          </cell>
          <cell r="E3064">
            <v>85176272</v>
          </cell>
          <cell r="H3064" t="str">
            <v>Módulos de comunicacao bidirecional de dados sem fio (recepcao, conversao e transmissao), digitais, emissores de rádio frequencia com receptor incorporado, capazes de operar na faixa ISM de frequencias 902 a 928 MHz, com taxa de transmissao de até 2.4 Mbps, compatíveis com o padrao WiSUN e IEEE802.15.4g, para medidores inteligentes de energia elétrica, operando em topologia "Mesh" ou "Estrela" com espalhamento espectral por salto em frequencia (FHSS), enderecamento IPv6 e potencia de transmissao de até +30dBm, com interface de comunicacao de dados serial TTL, alimentacao 15VDC</v>
          </cell>
        </row>
        <row r="3065">
          <cell r="B3065" t="str">
            <v>MJN72R12012-CPFL</v>
          </cell>
          <cell r="D3065">
            <v>20601213</v>
          </cell>
          <cell r="E3065">
            <v>85176272</v>
          </cell>
          <cell r="H3065" t="str">
            <v>Modulos de comunicacAo bidirecional de dados sem fio (recepcAo, conversAo e transmissAo), digitais, emissores de radio frequencia com receptor incorporado, capazes de operar na faixa ISM de frequencias 902 a 928 MHz, com taxa de transmissAo de ate 2.4 Mbps, compatíveis com o padrAo WiSUN e IEEE802.15.4g, para medidores inteligentes de energia eletrica, operando em topologia "Mesh" ou "Estrela" com espalhamento espectral por salto em frequencia (FHSS), enderecamento IPv6 e potencia de transmissAo de ate +30dBm, com interface de comunicacAo de dados serial TTL, alimentacAo 15VDC</v>
          </cell>
        </row>
        <row r="3066">
          <cell r="B3066" t="str">
            <v xml:space="preserve">A0220400E11R11004 </v>
          </cell>
          <cell r="D3066" t="str">
            <v>pending</v>
          </cell>
          <cell r="E3066">
            <v>85437099</v>
          </cell>
          <cell r="F3066" t="str">
            <v>Not applicable</v>
          </cell>
          <cell r="H3066" t="str">
            <v>Carregadores portateis para abastecimento eletrico veicular em corrente alternada, com conector Tipo 1, Tipo 2 ou GB/T, potencias de 3,7 ou 7,4 ou 22kW, com ajuste manual de corrente, corrente maxima 16 ou 32A, com "display" LCD e indicador LED para indicacAo dos parAmetros de carga e consumo de energia, deteccAo automatica de aterramento e temporizador (timer) para o processo de carga, tensAo de alimentacAo de ate 380VAC//CARACTERISTICAS ESPECIFICAS com conector Tipo 2, potencia de 22kW, com ajuste manual de corrente, corrente maxima 32A, com indicador LED, tensao de alimentacao de 400VAC -  - marca Livoltek, modelo A0220400E11, ano de fabricacAo YYYY e numeros de serie de XXXXXXXXXXXX a XXXXXXXXXXX.</v>
          </cell>
        </row>
        <row r="3067">
          <cell r="B3067" t="str">
            <v>LHE12DRR12002</v>
          </cell>
          <cell r="D3067" t="str">
            <v>pending</v>
          </cell>
          <cell r="E3067">
            <v>90283011</v>
          </cell>
          <cell r="F3067" t="str">
            <v>Not applicable</v>
          </cell>
          <cell r="H3067" t="str">
            <v>Medidor de Energia  (contador de eletricidade)  Monofasico para corrente alternada, smart meter digital modelo  LHE12DR 230V 1Elem. 1 Fase 2 Fios 5(80)A.</v>
          </cell>
        </row>
        <row r="3068">
          <cell r="B3068" t="str">
            <v>LHE34DRR11002</v>
          </cell>
          <cell r="D3068" t="str">
            <v>pending</v>
          </cell>
          <cell r="E3068">
            <v>90283031</v>
          </cell>
          <cell r="F3068" t="str">
            <v>Not applicable</v>
          </cell>
          <cell r="H3068" t="str">
            <v>Medidor de Energia  (contador de eletricidade)  trifasico digital, smart meter modelo LHE34DR 230V 5(80)A.</v>
          </cell>
        </row>
        <row r="3069">
          <cell r="B3069">
            <v>2011500270</v>
          </cell>
          <cell r="D3069">
            <v>20661100</v>
          </cell>
          <cell r="E3069">
            <v>85332120</v>
          </cell>
          <cell r="F3069">
            <v>85332120</v>
          </cell>
          <cell r="G3069">
            <v>85332120</v>
          </cell>
          <cell r="H3069" t="str">
            <v>Resistor proprio para montagem em superfície (SMD), encapsulamento melf 0204, resistencia 3 ohms,  tolerAncia 1por cento,  potencia 0,25 (1/4) W</v>
          </cell>
        </row>
        <row r="3070">
          <cell r="B3070">
            <v>3050500230</v>
          </cell>
          <cell r="D3070" t="str">
            <v>pending</v>
          </cell>
          <cell r="E3070">
            <v>83024900</v>
          </cell>
          <cell r="F3070" t="str">
            <v>Need to update benefit</v>
          </cell>
          <cell r="H3070" t="str">
            <v xml:space="preserve">Estrutura superior de metal de aluminio AL5052  para montagem de conversor estatico de potencia 30505-GT13KS1-001 </v>
          </cell>
        </row>
        <row r="3071">
          <cell r="B3071">
            <v>3050500210</v>
          </cell>
          <cell r="D3071" t="str">
            <v>pending</v>
          </cell>
          <cell r="E3071">
            <v>83024900</v>
          </cell>
          <cell r="F3071" t="str">
            <v>Need to update benefit</v>
          </cell>
          <cell r="H3071" t="str">
            <v xml:space="preserve">Estrutura superior de metal de aluminio AL5052 para montagem de conversor estatico de potencia 30505-GT16KD1-001 </v>
          </cell>
        </row>
        <row r="3072">
          <cell r="B3072">
            <v>3100118290</v>
          </cell>
          <cell r="D3072" t="str">
            <v>pending</v>
          </cell>
          <cell r="E3072">
            <v>39199090</v>
          </cell>
          <cell r="F3072">
            <v>39199090</v>
          </cell>
          <cell r="H3072" t="str">
            <v>Chapa plastica (material de policarbonato), em pecas, para identificacAo de produto (ref.3100118290)</v>
          </cell>
        </row>
        <row r="3073">
          <cell r="B3073">
            <v>3022102650</v>
          </cell>
          <cell r="D3073" t="str">
            <v>pending</v>
          </cell>
          <cell r="E3073">
            <v>39269090</v>
          </cell>
          <cell r="F3073">
            <v>39269090</v>
          </cell>
          <cell r="H3073" t="str">
            <v xml:space="preserve">Janela transparente plastica PC+FR 30221-GT16KD1-002 </v>
          </cell>
        </row>
        <row r="3074">
          <cell r="B3074">
            <v>3032701850</v>
          </cell>
          <cell r="D3074" t="str">
            <v>pending</v>
          </cell>
          <cell r="E3074">
            <v>73181500</v>
          </cell>
          <cell r="F3074">
            <v>73181500</v>
          </cell>
          <cell r="H3074" t="str">
            <v xml:space="preserve">Parafuso tipo rosca maquina dimensAo M5x16mm, artigo roscado, Cabeca hexagonal,de materia-prima base em aco inoxidavel SUS304,   DE PROCESSO DE FABRICAcAO POR USINAGEM, COM ACABAMENTO SUPERFICIAL ZINCADO </v>
          </cell>
        </row>
        <row r="3075">
          <cell r="B3075">
            <v>3110313370</v>
          </cell>
          <cell r="D3075" t="str">
            <v>pending</v>
          </cell>
          <cell r="E3075">
            <v>48191000</v>
          </cell>
          <cell r="F3075" t="str">
            <v>Need to update benefit</v>
          </cell>
          <cell r="H3075" t="str">
            <v xml:space="preserve">CAIXA DE PAPELAO INDIVIDUAL 31103-GT16KD1-001 370x370x360mm </v>
          </cell>
        </row>
        <row r="3076">
          <cell r="B3076">
            <v>3111102020</v>
          </cell>
          <cell r="D3076" t="str">
            <v>pending</v>
          </cell>
          <cell r="E3076">
            <v>39232110</v>
          </cell>
          <cell r="F3076" t="str">
            <v>Need to update benefit</v>
          </cell>
          <cell r="H3076" t="str">
            <v>SACO PLATICO DE EMBALAGEM PE  GT16KD1 370x370x360mm (3111102020)</v>
          </cell>
        </row>
        <row r="3077">
          <cell r="B3077">
            <v>3110313440</v>
          </cell>
          <cell r="D3077" t="str">
            <v>pending</v>
          </cell>
          <cell r="E3077">
            <v>48191000</v>
          </cell>
          <cell r="F3077" t="str">
            <v>Need to update benefit</v>
          </cell>
          <cell r="H3077" t="str">
            <v>CAIXA DE PAPELAO INDIVIDUAL 31103-GT13KS1-001 370x370x360mm (3110313440)</v>
          </cell>
        </row>
        <row r="3078">
          <cell r="B3078">
            <v>3111102030</v>
          </cell>
          <cell r="D3078" t="str">
            <v>pending</v>
          </cell>
          <cell r="E3078">
            <v>39232110</v>
          </cell>
          <cell r="F3078" t="str">
            <v>Need to update benefit</v>
          </cell>
          <cell r="H3078" t="str">
            <v>SACO PLATICO DE EMBALAGEM PE 360x310x330mm (3111102030)</v>
          </cell>
        </row>
        <row r="3079">
          <cell r="B3079">
            <v>3090505750</v>
          </cell>
          <cell r="D3079" t="str">
            <v>pending</v>
          </cell>
          <cell r="E3079">
            <v>85444900</v>
          </cell>
          <cell r="F3079">
            <v>85444900</v>
          </cell>
          <cell r="H3079" t="str">
            <v>CABO CONDUTOR ELETRICO, PARA UMA TENSAO DE 500 ATe 1.000v  UL 10269 12AWG 550.0mm 30905-GT16K</v>
          </cell>
        </row>
        <row r="3080">
          <cell r="B3080">
            <v>4050300860</v>
          </cell>
          <cell r="D3080" t="str">
            <v>pending</v>
          </cell>
          <cell r="E3080">
            <v>29319029</v>
          </cell>
          <cell r="F3080" t="str">
            <v>Need to update benefit</v>
          </cell>
          <cell r="H3080" t="str">
            <v>Adesivo a base de polimero (silicone), de peso 1kg, termico, para aplicacAo em componentes eletronicos.</v>
          </cell>
        </row>
        <row r="3081">
          <cell r="B3081">
            <v>4010205970</v>
          </cell>
          <cell r="D3081" t="str">
            <v>pending</v>
          </cell>
          <cell r="E3081">
            <v>96034010</v>
          </cell>
          <cell r="F3081" t="str">
            <v>Need to update benefit</v>
          </cell>
          <cell r="H3081" t="str">
            <v>Rolo para pintura em escovas e pinceis de material esponjoso</v>
          </cell>
        </row>
        <row r="3082">
          <cell r="B3082">
            <v>4040400150</v>
          </cell>
          <cell r="D3082" t="str">
            <v>pending</v>
          </cell>
          <cell r="E3082">
            <v>63071000</v>
          </cell>
          <cell r="F3082" t="str">
            <v>Need to update benefit</v>
          </cell>
          <cell r="H3082" t="str">
            <v>Artigo textil confeccionado de pano para limpeza ultrafino (livre de poeira)WIP-3009LE</v>
          </cell>
        </row>
        <row r="3083">
          <cell r="B3083">
            <v>2080900331</v>
          </cell>
          <cell r="D3083">
            <v>21200800</v>
          </cell>
          <cell r="E3083">
            <v>85043119</v>
          </cell>
          <cell r="F3083">
            <v>85043119</v>
          </cell>
          <cell r="H3083" t="str">
            <v>Transformador eletrico de coleta de sinal de alta frequencia de potencia inferior a 1KVA 27*10*13mm</v>
          </cell>
        </row>
        <row r="3084">
          <cell r="B3084">
            <v>3013100020</v>
          </cell>
          <cell r="D3084" t="str">
            <v>pending</v>
          </cell>
          <cell r="E3084">
            <v>85365090</v>
          </cell>
          <cell r="F3084">
            <v>85365090</v>
          </cell>
          <cell r="H3084" t="str">
            <v>Aparelho Interruptor seccionador DC 32A DC-PV2 PEDS150-HM32-3 3P (3013100020)</v>
          </cell>
        </row>
        <row r="3085">
          <cell r="B3085">
            <v>3061503090</v>
          </cell>
          <cell r="D3085" t="str">
            <v>pending</v>
          </cell>
          <cell r="E3085">
            <v>85472090</v>
          </cell>
          <cell r="F3085">
            <v>85472090</v>
          </cell>
          <cell r="H3085" t="str">
            <v>ISOLADOR DE PLASTICO PANTONE Black C 171x111mm (3061503090)</v>
          </cell>
        </row>
        <row r="3086">
          <cell r="B3086">
            <v>3061503100</v>
          </cell>
          <cell r="D3086" t="str">
            <v>pending</v>
          </cell>
          <cell r="E3086">
            <v>85472090</v>
          </cell>
          <cell r="F3086">
            <v>85472090</v>
          </cell>
          <cell r="H3086" t="str">
            <v>ISOLADOR DE PLASTICO PANTONE Black C 226.4x92.4x12mm (3061503100)</v>
          </cell>
        </row>
        <row r="3087">
          <cell r="B3087">
            <v>3061503110</v>
          </cell>
          <cell r="D3087" t="str">
            <v>pending</v>
          </cell>
          <cell r="E3087">
            <v>85472090</v>
          </cell>
          <cell r="F3087">
            <v>85472090</v>
          </cell>
          <cell r="H3087" t="str">
            <v>ISOLADOR DE PLASTICO PANTONE Black C 204x19.8x15mm (3061503110)</v>
          </cell>
        </row>
        <row r="3088">
          <cell r="B3088">
            <v>3061503120</v>
          </cell>
          <cell r="D3088" t="str">
            <v>pending</v>
          </cell>
          <cell r="E3088">
            <v>85472090</v>
          </cell>
          <cell r="F3088">
            <v>85472090</v>
          </cell>
          <cell r="H3088" t="str">
            <v>ISOLADOR DE PLASTICO PANTONE Black C 228x34.2x15mm (3061503120)</v>
          </cell>
        </row>
        <row r="3089">
          <cell r="B3089">
            <v>3061503220</v>
          </cell>
          <cell r="D3089" t="str">
            <v>pending</v>
          </cell>
          <cell r="E3089">
            <v>85472090</v>
          </cell>
          <cell r="F3089">
            <v>85472090</v>
          </cell>
          <cell r="H3089" t="str">
            <v>ISOLADOR DE PLASTICO PANTONE Black C 197x31x16mm (3061503220)</v>
          </cell>
        </row>
        <row r="3090">
          <cell r="B3090">
            <v>3061503230</v>
          </cell>
          <cell r="D3090" t="str">
            <v>pending</v>
          </cell>
          <cell r="E3090">
            <v>85472090</v>
          </cell>
          <cell r="F3090">
            <v>85472090</v>
          </cell>
          <cell r="H3090" t="str">
            <v>ISOLADOR DE PLASTICO PANTONE Black C 230x12x11mm (3061503230)</v>
          </cell>
        </row>
        <row r="3091">
          <cell r="B3091">
            <v>3061503240</v>
          </cell>
          <cell r="D3091" t="str">
            <v>pending</v>
          </cell>
          <cell r="E3091">
            <v>85472090</v>
          </cell>
          <cell r="F3091">
            <v>85472090</v>
          </cell>
          <cell r="H3091" t="str">
            <v>ISOLADOR DE PLASTICO PANTONE Black C 197x25x16mm (3061503240)</v>
          </cell>
        </row>
        <row r="3092">
          <cell r="B3092">
            <v>3070500161</v>
          </cell>
          <cell r="D3092" t="str">
            <v>pending</v>
          </cell>
          <cell r="E3092">
            <v>39269090</v>
          </cell>
          <cell r="F3092">
            <v>39269090</v>
          </cell>
          <cell r="H3092" t="str">
            <v>Abracadeira de nylon 4x200mm PA66 branca (3070500161)</v>
          </cell>
        </row>
        <row r="3093">
          <cell r="B3093">
            <v>3071701410</v>
          </cell>
          <cell r="D3093" t="str">
            <v>pending</v>
          </cell>
          <cell r="E3093">
            <v>39269090</v>
          </cell>
          <cell r="F3093">
            <v>39269090</v>
          </cell>
          <cell r="H3093" t="str">
            <v xml:space="preserve">ORGANIZADOR DE PLASTICO PARA CABOS TIPO CABLE CLIP SR3-6.5 PA66 </v>
          </cell>
        </row>
        <row r="3094">
          <cell r="B3094">
            <v>3013100010</v>
          </cell>
          <cell r="D3094" t="str">
            <v>pending</v>
          </cell>
          <cell r="E3094">
            <v>85365090</v>
          </cell>
          <cell r="F3094">
            <v>85365090</v>
          </cell>
          <cell r="H3094" t="str">
            <v>Aparelho Interruptor seccionador DC 16A DC-PV2 PEDS150-HM16-2 2P (3013100010)</v>
          </cell>
        </row>
        <row r="3095">
          <cell r="B3095">
            <v>5234002670</v>
          </cell>
          <cell r="D3095" t="str">
            <v>pending</v>
          </cell>
          <cell r="E3095">
            <v>85049090</v>
          </cell>
          <cell r="F3095" t="str">
            <v>Not applicable</v>
          </cell>
          <cell r="G3095">
            <v>85049090</v>
          </cell>
          <cell r="H3095" t="str">
            <v>Placa de circuito impresso de inversor monofasico 4-6KW Single com AFCI , para uso em conversor estatico de potencia</v>
          </cell>
        </row>
        <row r="3096">
          <cell r="B3096">
            <v>4040400630</v>
          </cell>
          <cell r="D3096" t="str">
            <v>pending</v>
          </cell>
          <cell r="E3096">
            <v>48219000</v>
          </cell>
          <cell r="F3096" t="str">
            <v>Need to update benefit</v>
          </cell>
          <cell r="H3096" t="str">
            <v>Etiquetas de papel, adesivas, nAo impressas, de cor cinza 30*30mm</v>
          </cell>
        </row>
        <row r="3097">
          <cell r="B3097">
            <v>3071301050</v>
          </cell>
          <cell r="D3097">
            <v>3071301050</v>
          </cell>
          <cell r="E3097">
            <v>39173290</v>
          </cell>
          <cell r="F3097" t="str">
            <v>Need to update benefit</v>
          </cell>
          <cell r="H3097" t="str">
            <v>Tubo espaguete plastico cinza Φ10*50mm；PE (ref.3071301050)</v>
          </cell>
        </row>
        <row r="3098">
          <cell r="B3098">
            <v>3071901630</v>
          </cell>
          <cell r="D3098" t="str">
            <v>pending</v>
          </cell>
          <cell r="E3098">
            <v>39235000</v>
          </cell>
          <cell r="F3098" t="str">
            <v>Need to update benefit</v>
          </cell>
          <cell r="H3098" t="str">
            <v>Tampa de nailon de protecAo RXRJS-00BFFW-SC7000 (ref.3071901630)</v>
          </cell>
        </row>
        <row r="3099">
          <cell r="B3099">
            <v>3071900880</v>
          </cell>
          <cell r="D3099">
            <v>3071900880</v>
          </cell>
          <cell r="E3099">
            <v>39235000</v>
          </cell>
          <cell r="F3099" t="str">
            <v>Need to update benefit</v>
          </cell>
          <cell r="H3099" t="str">
            <v>Tampa femea de nailon de protecAo DW5201F107001 (ref.3071900880)</v>
          </cell>
        </row>
        <row r="3100">
          <cell r="B3100">
            <v>3071900890</v>
          </cell>
          <cell r="D3100">
            <v>3071900890</v>
          </cell>
          <cell r="E3100">
            <v>39235000</v>
          </cell>
          <cell r="F3100" t="str">
            <v>Need to update benefit</v>
          </cell>
          <cell r="H3100" t="str">
            <v>Tampa femea de nailon de protecAo DW5201M107001  (ref.3071900890)</v>
          </cell>
        </row>
        <row r="3101">
          <cell r="B3101">
            <v>3071901490</v>
          </cell>
          <cell r="D3101" t="str">
            <v>pending</v>
          </cell>
          <cell r="E3101">
            <v>39235000</v>
          </cell>
          <cell r="F3101" t="str">
            <v>Need to update benefit</v>
          </cell>
          <cell r="H3101" t="str">
            <v>Tampa de protecAo；910047000；PC+PBT357 (ref.3071901490)</v>
          </cell>
        </row>
        <row r="3102">
          <cell r="B3102">
            <v>3070500080</v>
          </cell>
          <cell r="D3102" t="str">
            <v>pending</v>
          </cell>
          <cell r="E3102">
            <v>39239090</v>
          </cell>
          <cell r="F3102" t="str">
            <v>Need to update benefit</v>
          </cell>
          <cell r="H3102" t="str">
            <v>Abracadeira plastica branca 4*250mm；PA66 (ref.3070500080)</v>
          </cell>
        </row>
        <row r="3103">
          <cell r="B3103">
            <v>3070501220</v>
          </cell>
          <cell r="D3103" t="str">
            <v>pending</v>
          </cell>
          <cell r="E3103">
            <v>39239090</v>
          </cell>
          <cell r="F3103" t="str">
            <v>Need to update benefit</v>
          </cell>
          <cell r="H3103" t="str">
            <v>Abracadeira plastica preta 3*150mm；PA66 PANTONE Black C (ref.3070501220)</v>
          </cell>
        </row>
        <row r="3104">
          <cell r="B3104">
            <v>3023302910</v>
          </cell>
          <cell r="D3104" t="str">
            <v>pending</v>
          </cell>
          <cell r="E3104">
            <v>39269090</v>
          </cell>
          <cell r="F3104">
            <v>39269090</v>
          </cell>
          <cell r="H3104" t="str">
            <v>Estrutura plastica de suporte 30233-GT325KD1-001 (3023302910)</v>
          </cell>
        </row>
        <row r="3105">
          <cell r="B3105">
            <v>3011101640</v>
          </cell>
          <cell r="D3105" t="str">
            <v>pending</v>
          </cell>
          <cell r="E3105">
            <v>39269090</v>
          </cell>
          <cell r="F3105">
            <v>39269090</v>
          </cell>
          <cell r="H3105" t="str">
            <v>Prensa, de plastico, para cabo M32 18-25mm PA (ref.3011101640)</v>
          </cell>
        </row>
        <row r="3106">
          <cell r="B3106">
            <v>3030902780</v>
          </cell>
          <cell r="D3106" t="str">
            <v>pending</v>
          </cell>
          <cell r="E3106">
            <v>39269090</v>
          </cell>
          <cell r="F3106">
            <v>39269090</v>
          </cell>
          <cell r="H3106" t="str">
            <v>PORCA DE NYLON M4xP0.7 （MO-4V0）9.7x4.5；4.5mm (3030902780)</v>
          </cell>
        </row>
        <row r="3107">
          <cell r="B3107">
            <v>3011101760</v>
          </cell>
          <cell r="D3107" t="str">
            <v>pending</v>
          </cell>
          <cell r="E3107">
            <v>39269090</v>
          </cell>
          <cell r="F3107">
            <v>39269090</v>
          </cell>
          <cell r="H3107" t="str">
            <v>Prensa, de plastico, para cabo M12x1.5 PBT (ref.3011101760)</v>
          </cell>
        </row>
        <row r="3108">
          <cell r="B3108">
            <v>3011101730</v>
          </cell>
          <cell r="D3108" t="str">
            <v>pending</v>
          </cell>
          <cell r="E3108">
            <v>39269090</v>
          </cell>
          <cell r="F3108">
            <v>39269090</v>
          </cell>
          <cell r="H3108" t="str">
            <v>Prensa, de plastico, para cabo M32；13-25；PA6 &amp; EPDM (ref.3011101730)</v>
          </cell>
        </row>
        <row r="3109">
          <cell r="B3109">
            <v>3011101700</v>
          </cell>
          <cell r="D3109" t="str">
            <v>pending</v>
          </cell>
          <cell r="E3109">
            <v>39269090</v>
          </cell>
          <cell r="F3109">
            <v>39269090</v>
          </cell>
          <cell r="H3109" t="str">
            <v>Prensa, de plastico, para cabo M12x1.5；PC (ref.3011101700)</v>
          </cell>
        </row>
        <row r="3110">
          <cell r="B3110">
            <v>3020912269</v>
          </cell>
          <cell r="D3110" t="str">
            <v>pending</v>
          </cell>
          <cell r="E3110">
            <v>39269090</v>
          </cell>
          <cell r="F3110">
            <v>39269090</v>
          </cell>
          <cell r="H3110" t="str">
            <v>Tampa de fechamento plastica PC + FR waterproof 30209-GT325KD1-002 (3020912269)</v>
          </cell>
        </row>
        <row r="3111">
          <cell r="B3111">
            <v>3080104170</v>
          </cell>
          <cell r="D3111" t="str">
            <v>pending</v>
          </cell>
          <cell r="E3111">
            <v>40169990</v>
          </cell>
          <cell r="F3111">
            <v>40169990</v>
          </cell>
          <cell r="H3111" t="str">
            <v>VedacAo de Borracha vulcanizada nAo endurecida 30801-GT325KD1-003 (3080104170)</v>
          </cell>
        </row>
        <row r="3112">
          <cell r="B3112">
            <v>3080103740</v>
          </cell>
          <cell r="D3112" t="str">
            <v>pending</v>
          </cell>
          <cell r="E3112">
            <v>40169990</v>
          </cell>
          <cell r="F3112">
            <v>40169990</v>
          </cell>
          <cell r="H3112" t="str">
            <v>VedacAo de Borracha vulcanizada nAo endurecida 30801-GT16KD1-001 (3080103740)</v>
          </cell>
        </row>
        <row r="3113">
          <cell r="B3113">
            <v>3080104160</v>
          </cell>
          <cell r="D3113" t="str">
            <v>pending</v>
          </cell>
          <cell r="E3113">
            <v>40169990</v>
          </cell>
          <cell r="F3113">
            <v>40169990</v>
          </cell>
          <cell r="H3113" t="str">
            <v>VedacAo de Borracha vulcanizada nAo endurecida 30801-GT325KD1-002 (3080104160)</v>
          </cell>
        </row>
        <row r="3114">
          <cell r="B3114">
            <v>3080103830</v>
          </cell>
          <cell r="D3114" t="str">
            <v>pending</v>
          </cell>
          <cell r="E3114">
            <v>40169990</v>
          </cell>
          <cell r="F3114">
            <v>40169990</v>
          </cell>
          <cell r="H3114" t="str">
            <v>VedacAo de Borracha vulcanizada nAo endurecida 30801-GT325KD1-001 (3080103830)</v>
          </cell>
        </row>
        <row r="3115">
          <cell r="B3115">
            <v>3100506710</v>
          </cell>
          <cell r="D3115" t="str">
            <v>pending</v>
          </cell>
          <cell r="E3115">
            <v>48119090</v>
          </cell>
          <cell r="F3115" t="str">
            <v>Need to update benefit</v>
          </cell>
          <cell r="H3115" t="str">
            <v>Bloco de papel, 285mm*315mm; impressAo frente e verso; A4 dobrado ao meio, cor branca, utilizacAo em impressora, sem camada de revestimento, de medida/gramatura aproximada de 133,65g/m² (ref.3100506710)</v>
          </cell>
        </row>
        <row r="3116">
          <cell r="B3116">
            <v>3100506730</v>
          </cell>
          <cell r="D3116" t="str">
            <v>pending</v>
          </cell>
          <cell r="E3116">
            <v>48119090</v>
          </cell>
          <cell r="F3116" t="str">
            <v>Need to update benefit</v>
          </cell>
          <cell r="H3116" t="str">
            <v>Bloco de papel, 290*210mm, impressAo frente e verso, cor branca, utilizacAo em impressora, sem camada de revestimento, de medida/gramatura aproximada de 963,30 g/m²  (ref.3100506730)</v>
          </cell>
        </row>
        <row r="3117">
          <cell r="B3117">
            <v>3100912210</v>
          </cell>
          <cell r="D3117">
            <v>3100912210</v>
          </cell>
          <cell r="E3117">
            <v>48211000</v>
          </cell>
          <cell r="F3117">
            <v>48211000</v>
          </cell>
          <cell r="H3117" t="str">
            <v>Etiqueta de papel, impressa, certificado de conformidade (ingles) papel revestido；31009-HYPER-010 (ref.3100912210)</v>
          </cell>
        </row>
        <row r="3118">
          <cell r="B3118">
            <v>3100913090</v>
          </cell>
          <cell r="D3118">
            <v>3100913090</v>
          </cell>
          <cell r="E3118">
            <v>48219000</v>
          </cell>
          <cell r="F3118" t="str">
            <v>Need to update benefit</v>
          </cell>
          <cell r="H3118" t="str">
            <v>Etiqueta de advertencia, impressa, de papel revestido, nAo colante, laminado (ref.3100913090)</v>
          </cell>
        </row>
        <row r="3119">
          <cell r="B3119">
            <v>3030303270</v>
          </cell>
          <cell r="C3119">
            <v>3030303270</v>
          </cell>
          <cell r="D3119">
            <v>21100101</v>
          </cell>
          <cell r="E3119">
            <v>73181400</v>
          </cell>
          <cell r="G3119">
            <v>73181400</v>
          </cell>
          <cell r="H3119" t="str">
            <v>Parafuso autoperfurante, tipo maquina dimensAo ST6 3x45, artigo roscado, de materia-prima base em Aco inoxidavel, de processo de fabricacAo por usinagem. Cabeca hexagonal</v>
          </cell>
        </row>
        <row r="3120">
          <cell r="B3120">
            <v>3030303390</v>
          </cell>
          <cell r="D3120" t="str">
            <v>pending</v>
          </cell>
          <cell r="E3120">
            <v>73181400</v>
          </cell>
          <cell r="F3120">
            <v>73181400</v>
          </cell>
          <cell r="H3120" t="str">
            <v>Parafuso autoperfurante, tipo maquina dimensAo ST4 8x10, artigo roscado, de materia-prima base em Aco inoxidavel, de processo de fabricacAo por usinagem. Cabeca escarenada</v>
          </cell>
        </row>
        <row r="3121">
          <cell r="B3121">
            <v>3032701840</v>
          </cell>
          <cell r="D3121" t="str">
            <v>pending</v>
          </cell>
          <cell r="E3121">
            <v>73181500</v>
          </cell>
          <cell r="F3121">
            <v>73181500</v>
          </cell>
          <cell r="H3121" t="str">
            <v>Parafuso tipo combinado dimensAo M3x14mm, artigo roscado, de materia-prima base em Aco baixo carbono (1022), de processo de fabricacAo por usinagem e acabamento superficial Zinco amarelo, Cabeca cilíndrica com fenda cruzada e diAmetro de 7mm;</v>
          </cell>
        </row>
        <row r="3122">
          <cell r="B3122">
            <v>3032702450</v>
          </cell>
          <cell r="D3122" t="str">
            <v>pending</v>
          </cell>
          <cell r="E3122">
            <v>73181500</v>
          </cell>
          <cell r="F3122">
            <v>73181500</v>
          </cell>
          <cell r="H3122" t="str">
            <v>Parafuso tipo combinado dimensAo M5x10mm, artigo roscado, de materia-prima base em Aco baixo carbono (1022), de processo de fabricacAo por usinagem e acabamento superficial Zinco cromado trivalente, Cabeca cilíndrica com fenda cruzada e diAmetro de **mm;</v>
          </cell>
        </row>
        <row r="3123">
          <cell r="B3123">
            <v>3032702100</v>
          </cell>
          <cell r="D3123" t="str">
            <v>pending</v>
          </cell>
          <cell r="E3123">
            <v>73181500</v>
          </cell>
          <cell r="F3123">
            <v>73181500</v>
          </cell>
          <cell r="H3123" t="str">
            <v>Parafuso tipo sextavado dimensAo M5x10mm, artigo roscado, de materia-prima base em Aco inoxidavel SUS304, de processo de fabricacAo por usinagem com acabamento superficial sem tratamento, Cabeca cilíndrica com fenda hexagonal e diAmetro de 4.5mm; (3032702060)</v>
          </cell>
        </row>
        <row r="3124">
          <cell r="B3124">
            <v>3032101810</v>
          </cell>
          <cell r="D3124" t="str">
            <v>pending</v>
          </cell>
          <cell r="E3124">
            <v>73181500</v>
          </cell>
          <cell r="F3124">
            <v>73181500</v>
          </cell>
          <cell r="H3124" t="str">
            <v>Parafuso tipo sextavado dimensAo M4x20mm, artigo roscado, de materia-prima base em Aco baixo carbono (1022), de processo de fabricacAo por usinagem com acabamento superficial zincado, Cabeca cilíndrica com fenda hexagonal e diAmetro de 4mm；M4；10.0mmMetal pad column 金属垫柱；M4xP0.7；20.0mm；碳钢1022；镀蓝白锌</v>
          </cell>
        </row>
        <row r="3125">
          <cell r="B3125">
            <v>3032702410</v>
          </cell>
          <cell r="D3125" t="str">
            <v>pending</v>
          </cell>
          <cell r="E3125">
            <v>73181500</v>
          </cell>
          <cell r="F3125">
            <v>73181500</v>
          </cell>
          <cell r="H3125" t="str">
            <v>Parafuso tipo combinado dimensAo M4x16mm, artigo roscado, de materia-prima base em Aco baixo carbono (1022), de processo de fabricacAo por usinagem e acabamento superficial Zinco cromado trivalente, Cabeca cilíndrica com fenda cruzada e diAmetro de 7mm;</v>
          </cell>
        </row>
        <row r="3126">
          <cell r="B3126">
            <v>3032101670</v>
          </cell>
          <cell r="D3126" t="str">
            <v>pending</v>
          </cell>
          <cell r="E3126">
            <v>73181500</v>
          </cell>
          <cell r="F3126">
            <v>73181500</v>
          </cell>
          <cell r="H3126" t="str">
            <v>Parafuso tipo sextavado dimensAo M4x10mm, artigo roscado, de materia-prima base em Aco baixo carbono (1022), de processo de fabricacAo por usinagem com acabamento superficial zincado, Cabeca cilíndrica com fenda hexagonal e diAmetro de 4mm；M4；10.0mm；碳钢1022；镀蓝白锌</v>
          </cell>
        </row>
        <row r="3127">
          <cell r="B3127">
            <v>3011800050</v>
          </cell>
          <cell r="D3127" t="str">
            <v>pending</v>
          </cell>
          <cell r="E3127">
            <v>84145990</v>
          </cell>
          <cell r="F3127" t="str">
            <v>Need to update benefit</v>
          </cell>
          <cell r="H3127" t="str">
            <v>VENTILADOR TIPO COOLER FAN 30118-GT325KD1-001；80x80x25；0.2A；12v；430.0mm；41.4dB (ref.3011800050)</v>
          </cell>
        </row>
        <row r="3128">
          <cell r="B3128">
            <v>3011800060</v>
          </cell>
          <cell r="D3128" t="str">
            <v>pending</v>
          </cell>
          <cell r="E3128">
            <v>84145990</v>
          </cell>
          <cell r="F3128" t="str">
            <v>Need to update benefit</v>
          </cell>
          <cell r="H3128" t="str">
            <v>VENTILADOR TIPO COOLER FAN 30118-GT325KD1-002；80x80x25；0.14A；12V；150.0mm；40.0dB；IP68 (ref.3011800060)</v>
          </cell>
        </row>
        <row r="3129">
          <cell r="B3129">
            <v>2100301451</v>
          </cell>
          <cell r="D3129" t="str">
            <v>pending</v>
          </cell>
          <cell r="E3129">
            <v>85043199</v>
          </cell>
          <cell r="F3129">
            <v>85043199</v>
          </cell>
          <cell r="H3129" t="str">
            <v>TRANSFORMADOR ELeTRICO DE ALTA FREQUENCIA DE POTENCIA NAO SUPERIOR A 1KvA EE13-2020B-V02;2000μH;/;2;16*19*15mm (ref.2100301451)</v>
          </cell>
        </row>
        <row r="3130">
          <cell r="B3130">
            <v>2100301810</v>
          </cell>
          <cell r="D3130" t="str">
            <v>pending</v>
          </cell>
          <cell r="E3130">
            <v>85043199</v>
          </cell>
          <cell r="F3130">
            <v>85043199</v>
          </cell>
          <cell r="H3130" t="str">
            <v>TRANSFORMADOR ELeTRICO DE ALTA FREQUENCIA DE POTENCIA NAO SUPERIOR A 1KvA EC35-3341-V01；1.0mH；35uH；5；41*32.5*46mm (ref.2100301810)</v>
          </cell>
        </row>
        <row r="3131">
          <cell r="B3131">
            <v>2030900921</v>
          </cell>
          <cell r="D3131">
            <v>2030900921</v>
          </cell>
          <cell r="E3131">
            <v>85045010</v>
          </cell>
          <cell r="F3131" t="str">
            <v>Need to update benefit</v>
          </cell>
          <cell r="H3131" t="str">
            <v>Bobina de auto-inducao (indutor) 1500Ω de impedância, para montagem em superficie SMD, de frequencia de100MHz, tolerancia de 25%, intensidade de corrente de 0.7A, 0.5Ω de resistencia, de encapsulamento 0805, de dimensoes de 2.0mm de comprimento, 1.2mm de largura e 0.85mm de altura (2030103070) SMT</v>
          </cell>
        </row>
        <row r="3132">
          <cell r="B3132">
            <v>3051508990</v>
          </cell>
          <cell r="D3132" t="str">
            <v>pending</v>
          </cell>
          <cell r="E3132">
            <v>85049040</v>
          </cell>
          <cell r="F3132" t="str">
            <v>Need to update benefit</v>
          </cell>
          <cell r="H3132" t="str">
            <v>Parte de conversores estaticos (inversor fotovoltaico), estrutura de aco inoxidavel para montagem 30515-GT325KD1-005 SUS304；φ75.5xφ75.5x5；1.6mm (ref.3051508990)</v>
          </cell>
        </row>
        <row r="3133">
          <cell r="B3133">
            <v>3062700170</v>
          </cell>
          <cell r="D3133" t="str">
            <v>pending</v>
          </cell>
          <cell r="E3133">
            <v>85049040</v>
          </cell>
          <cell r="F3133" t="str">
            <v>Need to update benefit</v>
          </cell>
          <cell r="H3133" t="str">
            <v>Parte de conversores estaticos (inversor fotovoltaico), CONDUTOR TERMICO 30627-GT325KD1-001 SK15 55X37X11mm 1.5w/m.k 10.0kV V-0 (3062700170)</v>
          </cell>
        </row>
        <row r="3134">
          <cell r="B3134">
            <v>3051506350</v>
          </cell>
          <cell r="D3134" t="str">
            <v>pending</v>
          </cell>
          <cell r="E3134">
            <v>85049040</v>
          </cell>
          <cell r="F3134" t="str">
            <v>Need to update benefit</v>
          </cell>
          <cell r="H3134" t="str">
            <v>Parte de conversores estaticos (inversor fotovoltaico), estrutura de aco com revestimento em aluminio e zinco para montagem do ventilador 30515-GT325KD1-003 SGLCC AZ150；84x81.5x30mm；1.5mm (ref.3051506350)</v>
          </cell>
        </row>
        <row r="3135">
          <cell r="B3135">
            <v>3051506340</v>
          </cell>
          <cell r="D3135" t="str">
            <v>pending</v>
          </cell>
          <cell r="E3135">
            <v>85049040</v>
          </cell>
          <cell r="F3135" t="str">
            <v>Need to update benefit</v>
          </cell>
          <cell r="H3135" t="str">
            <v>Parte de conversores estaticos (inversor fotovoltaico), estrutura de aco galvanizado pintado de preto 30515-GT325KD1-001 457x140x86mm；1.5mm (ref.3051506340)</v>
          </cell>
        </row>
        <row r="3136">
          <cell r="B3136">
            <v>3051506320</v>
          </cell>
          <cell r="D3136" t="str">
            <v>pending</v>
          </cell>
          <cell r="E3136">
            <v>85049040</v>
          </cell>
          <cell r="F3136" t="str">
            <v>Need to update benefit</v>
          </cell>
          <cell r="H3136" t="str">
            <v>Parte de conversores estaticos (inversor fotovoltaico), estrutura de aco galvanizado de montagem na parede pintada de preto 30515-GT325KD1-004 460x98x25.3mm；2.0mm (ref.3051506320)</v>
          </cell>
        </row>
        <row r="3137">
          <cell r="B3137">
            <v>3050500310</v>
          </cell>
          <cell r="D3137" t="str">
            <v>pending</v>
          </cell>
          <cell r="E3137">
            <v>85049040</v>
          </cell>
          <cell r="F3137" t="str">
            <v>Need to update benefit</v>
          </cell>
          <cell r="H3137" t="str">
            <v>Parte de conversores estaticos (inversor fotovoltaico), estrutura superior de metal AL5052；30505-GT325KD1-001 (ref.3050500310)</v>
          </cell>
        </row>
        <row r="3138">
          <cell r="B3138">
            <v>3050500300</v>
          </cell>
          <cell r="D3138" t="str">
            <v>pending</v>
          </cell>
          <cell r="E3138">
            <v>85049040</v>
          </cell>
          <cell r="F3138" t="str">
            <v>Need to update benefit</v>
          </cell>
          <cell r="H3138" t="str">
            <v>Parte de conversores estaticos (inversor fotovoltaico), estrutura inferior de metal AL5052 30505-GT325KD1-002 (ref.3050500300)</v>
          </cell>
        </row>
        <row r="3139">
          <cell r="B3139">
            <v>2150507820</v>
          </cell>
          <cell r="D3139" t="str">
            <v>pending</v>
          </cell>
          <cell r="E3139">
            <v>85340033</v>
          </cell>
          <cell r="F3139" t="str">
            <v>Not applicable</v>
          </cell>
          <cell r="G3139">
            <v>85340033</v>
          </cell>
          <cell r="H3139" t="str">
            <v>PLACA DE CIRCUITO IMPRESSO, DE NATUREZA DO MATERIAL BASE RÍGIDO, COMPOSIcAO DA PLACA DE ISOLANTE DE RESINA EPoXIDA E TECIDO DE FIBRA DE VIDRO, ESTRUTURA DE DUPLA FACE E INTERLIGAcAO ENTRE FACES POR FUROS METALIZADOS KB-6165F FR-4 2oz 480.0*285.0*2.0mm (ref.2150507820)</v>
          </cell>
        </row>
        <row r="3140">
          <cell r="B3140">
            <v>2150507550</v>
          </cell>
          <cell r="D3140" t="str">
            <v>pending</v>
          </cell>
          <cell r="E3140">
            <v>85340033</v>
          </cell>
          <cell r="F3140" t="str">
            <v>Not applicable</v>
          </cell>
          <cell r="G3140">
            <v>85340033</v>
          </cell>
          <cell r="H3140" t="str">
            <v>PLACA DE CIRCUITO IMPRESSO, DE NATUREZA DO MATERIAL BASE RÍGIDO, COMPOSIcAO DA PLACA DE ISOLANTE DE RESINA EPoXIDA E TECIDO DE FIBRA DE VIDRO, ESTRUTURA DE DUPLA FACE E INTERLIGAcAO ENTRE FACES POR FUROS METALIZADOS KB-6160A FR4 1oz 165.0*139.0*1.6mm (ref.2150507550)</v>
          </cell>
        </row>
        <row r="3141">
          <cell r="B3141">
            <v>2150157300</v>
          </cell>
          <cell r="D3141" t="str">
            <v>pending</v>
          </cell>
          <cell r="E3141">
            <v>85340033</v>
          </cell>
          <cell r="F3141" t="str">
            <v>Not applicable</v>
          </cell>
          <cell r="G3141">
            <v>85340033</v>
          </cell>
          <cell r="H3141" t="str">
            <v>PLACA DE CIRCUITO IMPRESSO, DE NATUREZA DO MATERIAL BASE RÍGIDO, COMPOSIcAO DA PLACA DE ISOLANTE DE RESINA EPoXIDA E TECIDO DE FIBRA DE VIDRO, ESTRUTURA DE DUPLA FACE E INTERLIGAcAO ENTRE FACES POR FUROS METALIZADOS KB-6160A FR-4 1oz 130.0*122.0mm*1.6mm (ref.2150157300)</v>
          </cell>
        </row>
        <row r="3142">
          <cell r="B3142">
            <v>2150157420</v>
          </cell>
          <cell r="D3142" t="str">
            <v>pending</v>
          </cell>
          <cell r="E3142">
            <v>85340033</v>
          </cell>
          <cell r="F3142" t="str">
            <v>Not applicable</v>
          </cell>
          <cell r="G3142">
            <v>85340033</v>
          </cell>
          <cell r="H3142" t="str">
            <v>PLACA DE CIRCUITO IMPRESSO, DE NATUREZA DO MATERIAL BASE RÍGIDO, COMPOSIcAO DA PLACA DE ISOLANTE DE RESINA EPoXIDA E TECIDO DE FIBRA DE VIDRO, ESTRUTURA DE DUPLA FACE E INTERLIGAcAO ENTRE FACES POR FUROS METALIZADOS KB-6160A FR4 1oz 128.0*120.0mm*1.6mm (ref.2150157420)</v>
          </cell>
        </row>
        <row r="3143">
          <cell r="B3143">
            <v>2150507890</v>
          </cell>
          <cell r="D3143" t="str">
            <v>pending</v>
          </cell>
          <cell r="E3143">
            <v>85340033</v>
          </cell>
          <cell r="F3143" t="str">
            <v>Not applicable</v>
          </cell>
          <cell r="G3143">
            <v>85340033</v>
          </cell>
          <cell r="H3143" t="str">
            <v>PLACA DE CIRCUITO IMPRESSO, DE NATUREZA DO MATERIAL BASE RÍGIDO, COMPOSIcAO DA PLACA DE ISOLANTE DE RESINA EPoXIDA E TECIDO DE FIBRA DE VIDRO, ESTRUTURA DE DUPLA FACE E INTERLIGAcAO ENTRE FACES POR FUROS METALIZADOS KB-6160A FR-4 136.0*87.0*1.6mm (ref.2150507890)</v>
          </cell>
        </row>
        <row r="3144">
          <cell r="B3144">
            <v>2150154120</v>
          </cell>
          <cell r="D3144" t="str">
            <v>pending</v>
          </cell>
          <cell r="E3144">
            <v>85340033</v>
          </cell>
          <cell r="F3144" t="str">
            <v>Not applicable</v>
          </cell>
          <cell r="G3144">
            <v>85340033</v>
          </cell>
          <cell r="H3144" t="str">
            <v>PLACA DE CIRCUITO IMPRESSO, DE NATUREZA DO MATERIAL BASE RÍGIDO, COMPOSIcAO DA PLACA DE ISOLANTE DE RESINA EPoXIDA E TECIDO DE FIBRA DE VIDRO, ESTRUTURA DE DUPLA FACE E INTERLIGAcAO ENTRE FACES POR FUROS METALIZADOS KB-6160A FR4 1oz 106.0*103.0*1.6 (ref.2150154120)</v>
          </cell>
        </row>
        <row r="3145">
          <cell r="B3145">
            <v>3010912590</v>
          </cell>
          <cell r="D3145" t="str">
            <v>pending</v>
          </cell>
          <cell r="E3145">
            <v>85353017</v>
          </cell>
          <cell r="F3145" t="str">
            <v>Need to update benefit</v>
          </cell>
          <cell r="H3145" t="str">
            <v>Interruptor e seccionador, para uma tensAo de ate 1.500V, com dispositivo de acionamento nAo automatico. DC 32A；DC-PV2；BYSS.1-32/T-4P (ref.3010912590)</v>
          </cell>
        </row>
        <row r="3146">
          <cell r="B3146">
            <v>2080900340</v>
          </cell>
          <cell r="D3146" t="str">
            <v>pending</v>
          </cell>
          <cell r="E3146">
            <v>85363090</v>
          </cell>
          <cell r="F3146">
            <v>85363090</v>
          </cell>
          <cell r="H3146" t="str">
            <v>Protetor de Surto, para protecAo de circuitos eletricos, de tensAo ate 500V, PV20K-500 Ucpv=500V 34*26*14mm (ref.2080900340)</v>
          </cell>
        </row>
        <row r="3147">
          <cell r="B3147">
            <v>2080900350</v>
          </cell>
          <cell r="D3147" t="str">
            <v>pending</v>
          </cell>
          <cell r="E3147">
            <v>85363090</v>
          </cell>
          <cell r="F3147">
            <v>85363090</v>
          </cell>
          <cell r="H3147" t="str">
            <v>Protetor de Surto, para protecAo de circuitos eletricos, de tensAo ate 670V, PV20K-670 Ucpv=670V 34*26*14mm；RoHS (ref.2080900350)</v>
          </cell>
        </row>
        <row r="3148">
          <cell r="B3148">
            <v>2091300280</v>
          </cell>
          <cell r="D3148">
            <v>2091300280</v>
          </cell>
          <cell r="E3148">
            <v>85369040</v>
          </cell>
          <cell r="F3148">
            <v>85369040</v>
          </cell>
          <cell r="H3148" t="str">
            <v>Conectores para circuito impresso, TERMINAL HOLDER VERTICAL, para uma tensAo de ate 250V  3; 10*5.8*7.1/2.5mm (2091300280)</v>
          </cell>
        </row>
        <row r="3149">
          <cell r="B3149">
            <v>2090105860</v>
          </cell>
          <cell r="D3149">
            <v>20661964</v>
          </cell>
          <cell r="E3149">
            <v>85369040</v>
          </cell>
          <cell r="F3149">
            <v>85369040</v>
          </cell>
          <cell r="H3149" t="str">
            <v>Conectores para circuito impresso, PINO DE CONEXAO PLUG IN FEMEA, para uma tensAo de ate 650V  2*7&amp;1 5*11.5 (2090105860)</v>
          </cell>
        </row>
        <row r="3150">
          <cell r="B3150">
            <v>2091300310</v>
          </cell>
          <cell r="D3150" t="str">
            <v>pending</v>
          </cell>
          <cell r="E3150">
            <v>85369040</v>
          </cell>
          <cell r="F3150">
            <v>85369040</v>
          </cell>
          <cell r="H3150" t="str">
            <v>Conectores para circuito impresso, TERMINAL HOLDER VERTICAL, para uma tensAo de ate 250V  6; 17.5*5.8*7.1/2.5mm (2091300310)</v>
          </cell>
        </row>
        <row r="3151">
          <cell r="B3151">
            <v>2091300320</v>
          </cell>
          <cell r="D3151" t="str">
            <v>pending</v>
          </cell>
          <cell r="E3151">
            <v>85369040</v>
          </cell>
          <cell r="F3151">
            <v>85369040</v>
          </cell>
          <cell r="H3151" t="str">
            <v>Conectores para circuito impresso, TERMINAL HOLDER VERTICAL, para uma tensAo de ate 250V  8; 22.5*5.8*7.1/2.5mm (2091300320)</v>
          </cell>
        </row>
        <row r="3152">
          <cell r="B3152">
            <v>2091300270</v>
          </cell>
          <cell r="D3152">
            <v>2091300270</v>
          </cell>
          <cell r="E3152">
            <v>85369040</v>
          </cell>
          <cell r="F3152">
            <v>85369040</v>
          </cell>
          <cell r="H3152" t="str">
            <v>Conectores para circuito impresso, TERMINAL HOLDER VERTICAL, para uma tensAo de ate 250V  2; 7.5*5.8*7.1/2.5mm (2091300270)</v>
          </cell>
        </row>
        <row r="3153">
          <cell r="B3153">
            <v>2091300290</v>
          </cell>
          <cell r="D3153">
            <v>2091300290</v>
          </cell>
          <cell r="E3153">
            <v>85369040</v>
          </cell>
          <cell r="F3153">
            <v>85369040</v>
          </cell>
          <cell r="H3153" t="str">
            <v>Conectores para circuito impresso, TERMINAL HOLDER VERTICAL, para uma tensAo de ate 250V  4; 12.5*5.8*7.1/2.5mm (2091300290)</v>
          </cell>
        </row>
        <row r="3154">
          <cell r="B3154">
            <v>2090902721</v>
          </cell>
          <cell r="D3154" t="str">
            <v>pending</v>
          </cell>
          <cell r="E3154">
            <v>85369040</v>
          </cell>
          <cell r="F3154">
            <v>85369040</v>
          </cell>
          <cell r="H3154" t="str">
            <v>Conectores para circuito impresso, PINO DE CONEXAO PARAFUSO 1*2;7.9*0.8*10/5mm (2090902721)</v>
          </cell>
        </row>
        <row r="3155">
          <cell r="B3155">
            <v>2091500360</v>
          </cell>
          <cell r="D3155" t="str">
            <v>pending</v>
          </cell>
          <cell r="E3155">
            <v>85369040</v>
          </cell>
          <cell r="F3155">
            <v>85369040</v>
          </cell>
          <cell r="H3155" t="str">
            <v>Conectores para circuito impresso, TERMINAL SOCKET SIMPLES VERTICAL 2*8;27.92*8.9*8.9mm/2.54mm (2091500360)</v>
          </cell>
        </row>
        <row r="3156">
          <cell r="B3156">
            <v>3040304090</v>
          </cell>
          <cell r="D3156">
            <v>3040304090</v>
          </cell>
          <cell r="E3156">
            <v>85369040</v>
          </cell>
          <cell r="F3156">
            <v>85369040</v>
          </cell>
          <cell r="H3156" t="str">
            <v>Conectores para circuito impresso, PINO DE CONEXAO PARAFUSO 2*2;10.3*10*12.1/6mm (3040304090)</v>
          </cell>
        </row>
        <row r="3157">
          <cell r="B3157">
            <v>2090106370</v>
          </cell>
          <cell r="D3157">
            <v>20661965</v>
          </cell>
          <cell r="E3157">
            <v>85369040</v>
          </cell>
          <cell r="F3157">
            <v>85369040</v>
          </cell>
          <cell r="H3157" t="str">
            <v>Conectores para circuito impresso, PINO DE CONEXAO PLUG IN VERTICAL, para uma tensAo de ate 650V 30; 38.1*5*13.04mm; (2090106370)</v>
          </cell>
        </row>
        <row r="3158">
          <cell r="B3158">
            <v>2090106490</v>
          </cell>
          <cell r="D3158" t="str">
            <v>pending</v>
          </cell>
          <cell r="E3158">
            <v>85369040</v>
          </cell>
          <cell r="F3158">
            <v>85369040</v>
          </cell>
          <cell r="H3158" t="str">
            <v>Conectores para circuito impresso, PINO DE CONEXAO PLUG IN VERTICAL, para uma tensAo de ate 650V 2*10; 25.40*5.00*13.04/2 (2090106490)</v>
          </cell>
        </row>
        <row r="3159">
          <cell r="B3159">
            <v>2090106920</v>
          </cell>
          <cell r="D3159">
            <v>20661967</v>
          </cell>
          <cell r="E3159">
            <v>85369040</v>
          </cell>
          <cell r="F3159">
            <v>85369040</v>
          </cell>
          <cell r="H3159" t="str">
            <v>Conectores para circuito impresso, PINO DE CONEXAO PLUG IN FEMEA, para uma tensAo de ate 650V 2*15&amp;1; 38.6*5.00*8.5/2.54 (2090106920)</v>
          </cell>
        </row>
        <row r="3160">
          <cell r="B3160">
            <v>3012104270</v>
          </cell>
          <cell r="D3160" t="str">
            <v>pending</v>
          </cell>
          <cell r="E3160">
            <v>85369090</v>
          </cell>
          <cell r="F3160">
            <v>85369090</v>
          </cell>
          <cell r="H3160" t="str">
            <v>Conector para porta Ethernet RJ-45 (TJSRXRJS-5EBMMA-SL7000)</v>
          </cell>
        </row>
        <row r="3161">
          <cell r="B3161">
            <v>3042304690</v>
          </cell>
          <cell r="D3161" t="str">
            <v>pending</v>
          </cell>
          <cell r="E3161">
            <v>85369090</v>
          </cell>
          <cell r="F3161">
            <v>85369090</v>
          </cell>
          <cell r="H3161" t="str">
            <v>Terminal de conexAo tipo Olhal, com isolacAo RV5-5</v>
          </cell>
        </row>
        <row r="3162">
          <cell r="B3162">
            <v>3042305000</v>
          </cell>
          <cell r="D3162" t="str">
            <v>pending</v>
          </cell>
          <cell r="E3162">
            <v>85369090</v>
          </cell>
          <cell r="F3162">
            <v>85369090</v>
          </cell>
          <cell r="H3162" t="str">
            <v>Terminal de conexAo tipo Olhal, com isolacAo RNYBM8-5 (ref.3042305000)</v>
          </cell>
        </row>
        <row r="3163">
          <cell r="B3163">
            <v>3042305650</v>
          </cell>
          <cell r="D3163" t="str">
            <v>pending</v>
          </cell>
          <cell r="E3163">
            <v>85369090</v>
          </cell>
          <cell r="F3163">
            <v>85369090</v>
          </cell>
          <cell r="H3163" t="str">
            <v>Conector para circuitos eletricos, tipo bloco de conectores, tensAo de 600V PW14-05-04 (3042305650)</v>
          </cell>
        </row>
        <row r="3164">
          <cell r="B3164">
            <v>3012103890</v>
          </cell>
          <cell r="D3164" t="str">
            <v>pending</v>
          </cell>
          <cell r="E3164">
            <v>85369090</v>
          </cell>
          <cell r="F3164">
            <v>85369090</v>
          </cell>
          <cell r="H3164" t="str">
            <v>CONECTOR FOTOVOLTAICO PARA CABO NEGATIVO, para uma tensAo de ate 1.000V  VP-D4B-CHSM0 IP65 12AWG (ref.3012103890)</v>
          </cell>
        </row>
        <row r="3165">
          <cell r="B3165">
            <v>3012103830</v>
          </cell>
          <cell r="D3165" t="str">
            <v>pending</v>
          </cell>
          <cell r="E3165">
            <v>85369090</v>
          </cell>
          <cell r="F3165">
            <v>85369090</v>
          </cell>
          <cell r="H3165" t="str">
            <v>CONECTOR FOTOVOLTAICO CONTATO NEGATIVO, para uma tensAo de ate 1.000V DW411F2013B 12AWG (ref.3012103830)</v>
          </cell>
        </row>
        <row r="3166">
          <cell r="B3166">
            <v>3012103870</v>
          </cell>
          <cell r="D3166">
            <v>3012103870</v>
          </cell>
          <cell r="E3166">
            <v>85369090</v>
          </cell>
          <cell r="F3166">
            <v>85369090</v>
          </cell>
          <cell r="H3166" t="str">
            <v>CONECTOR FOTOVOLTAICO PARA PAINEL POSITIVO, para uma tensAo de ate 1.000V  VP-D4B-PHSM IP65 12AWG (ref.3012103870)</v>
          </cell>
        </row>
        <row r="3167">
          <cell r="B3167">
            <v>3012103900</v>
          </cell>
          <cell r="D3167" t="str">
            <v>pending</v>
          </cell>
          <cell r="E3167">
            <v>85369090</v>
          </cell>
          <cell r="F3167">
            <v>85369090</v>
          </cell>
          <cell r="H3167" t="str">
            <v>CONECTOR FOTOVOLTAICO CONTATO POSITIVO, para uma tensAo de ate 1.000V  DW411M2013 12AWG (ref.3012103900)</v>
          </cell>
        </row>
        <row r="3168">
          <cell r="B3168">
            <v>3012103910</v>
          </cell>
          <cell r="D3168">
            <v>3012103910</v>
          </cell>
          <cell r="E3168">
            <v>85369090</v>
          </cell>
          <cell r="F3168">
            <v>85369090</v>
          </cell>
          <cell r="H3168" t="str">
            <v>CONECTOR FOTOVOLTAICO PARA PAINEL NEGATIVO, para uma tensAo de ate 1.000V  VP-D4B-PHSF0 IP65 12AWG (ref.3012103910)</v>
          </cell>
        </row>
        <row r="3169">
          <cell r="B3169">
            <v>3012103860</v>
          </cell>
          <cell r="D3169" t="str">
            <v>pending</v>
          </cell>
          <cell r="E3169">
            <v>85369090</v>
          </cell>
          <cell r="F3169">
            <v>85369090</v>
          </cell>
          <cell r="H3169" t="str">
            <v>CONECTOR FOTOVOLTAICO PARA CABO POSITIVO, para uma tensAo de ate 1.000V  VP-D4B-CHSF0 IP65 12AWG (ref.3012103860)</v>
          </cell>
        </row>
        <row r="3170">
          <cell r="B3170">
            <v>2061500420</v>
          </cell>
          <cell r="D3170" t="str">
            <v>pending</v>
          </cell>
          <cell r="E3170">
            <v>85411019</v>
          </cell>
          <cell r="F3170">
            <v>85411019</v>
          </cell>
          <cell r="H3170" t="str">
            <v>DISPOSITIVO SEMICONDUTOR TIPO DIODO de recuperacAo rapida, nAo montado 2V(30A) 30A 600V 35ns TO-220AC (ref.2061500420)</v>
          </cell>
        </row>
        <row r="3171">
          <cell r="B3171">
            <v>2061700070</v>
          </cell>
          <cell r="D3171" t="str">
            <v>pending</v>
          </cell>
          <cell r="E3171">
            <v>85411019</v>
          </cell>
          <cell r="F3171">
            <v>85411019</v>
          </cell>
          <cell r="H3171" t="str">
            <v>DISPOSITIVO SEMICONDUTOR TIPO DIODO DIC, nAo montado 1.92V Tj175℃ 180A*2 1200 300μA Tj=175C TO-247-3 (2061700070)</v>
          </cell>
        </row>
        <row r="3172">
          <cell r="B3172">
            <v>2061500040</v>
          </cell>
          <cell r="D3172">
            <v>20633779</v>
          </cell>
          <cell r="E3172">
            <v>85411022</v>
          </cell>
          <cell r="F3172">
            <v>85411022</v>
          </cell>
          <cell r="H3172" t="str">
            <v>DISPOSITIVO SEMICONDUTOR TIPO DIODO DE RECUPERAcAO RaPIDA, MONTADO, PRoPRIO PARA MONTAGEM EM SUPERFÍCIE SMD, INTENSIDADE DE CORRENTE 0,2A 40V 5.0ns SOT-23 (ref.2061500040)</v>
          </cell>
        </row>
        <row r="3173">
          <cell r="B3173">
            <v>2061500400</v>
          </cell>
          <cell r="D3173">
            <v>20633782</v>
          </cell>
          <cell r="E3173">
            <v>85411022</v>
          </cell>
          <cell r="F3173">
            <v>85411022</v>
          </cell>
          <cell r="H3173" t="str">
            <v>DISPOSITIVO SEMICONDUTOR TIPO DIODO DE RECUPERAcAO RaPIDA, MONTADO, PRoPRIO PARA MONTAGEM EM SUPERFÍCIE SMD, INTENSIDADE DE CORRENTE 0.2a(2061500400)</v>
          </cell>
        </row>
        <row r="3174">
          <cell r="B3174">
            <v>2061500280</v>
          </cell>
          <cell r="D3174" t="str">
            <v>pending</v>
          </cell>
          <cell r="E3174">
            <v>85411022</v>
          </cell>
          <cell r="F3174">
            <v>85411022</v>
          </cell>
          <cell r="H3174" t="str">
            <v>DISPOSITIVO SEMICONDUTOR TIPO DIODO DE RECUPERAcAO RaPIDA, MONTADO, PRoPRIO PARA MONTAGEM EM SUPERFÍCIE SMD, INTENSIDADE DE CORRENTE 3.0A 0.58V  60V SMA (ref. 2061500280)</v>
          </cell>
        </row>
        <row r="3175">
          <cell r="B3175">
            <v>2061500030</v>
          </cell>
          <cell r="D3175" t="str">
            <v>pending</v>
          </cell>
          <cell r="E3175">
            <v>85411022</v>
          </cell>
          <cell r="F3175">
            <v>85411022</v>
          </cell>
          <cell r="H3175" t="str">
            <v>DISPOSITIVO SEMICONDUTOR TIPO DIODO DE RECUPERAcAO RaPIDA, MONTADO, PRoPRIO PARA MONTAGEM EM SUPERFÍCIE SMD, INTENSIDADE DE CORRENTE 0,2A SOT-23 (ref.2061500030)</v>
          </cell>
        </row>
        <row r="3176">
          <cell r="B3176">
            <v>2061500190</v>
          </cell>
          <cell r="D3176" t="str">
            <v>pending</v>
          </cell>
          <cell r="E3176">
            <v>85411022</v>
          </cell>
          <cell r="F3176">
            <v>85411022</v>
          </cell>
          <cell r="H3176" t="str">
            <v>DISPOSITIVO SEMICONDUTOR TIPO DIODO DE RECUPERAcAO RaPIDA, MONTADO, PRoPRIO PARA MONTAGEM EM SUPERFÍCIE SMD, INTENSIDADE DE CORRENTE 1.0A 0.55V  40V 0.5mA SMA (ref.2061500190)</v>
          </cell>
        </row>
        <row r="3177">
          <cell r="B3177">
            <v>2061300250</v>
          </cell>
          <cell r="D3177" t="str">
            <v>pending</v>
          </cell>
          <cell r="E3177">
            <v>85412110</v>
          </cell>
          <cell r="F3177" t="str">
            <v>Need to update benefit</v>
          </cell>
          <cell r="H3177" t="str">
            <v>DISPOSITIVO SEMICONDUTOR TIPO TRANSISTOR (IGBT) NAO MONTADO 833W 1200V 75A TO-247-3 (ref.2061300250)</v>
          </cell>
        </row>
        <row r="3178">
          <cell r="B3178">
            <v>2061300120</v>
          </cell>
          <cell r="D3178" t="str">
            <v>pending</v>
          </cell>
          <cell r="E3178">
            <v>85412110</v>
          </cell>
          <cell r="F3178" t="str">
            <v>Need to update benefit</v>
          </cell>
          <cell r="H3178" t="str">
            <v>DISPOSITIVO SEMICONDUTOR TIPO TRANSISTOR (IGBT) NAO MONTADO 155W 650V 160A TO-247 (ref.2061300120)</v>
          </cell>
        </row>
        <row r="3179">
          <cell r="B3179">
            <v>2060900211</v>
          </cell>
          <cell r="D3179" t="str">
            <v>pending</v>
          </cell>
          <cell r="E3179">
            <v>85412120</v>
          </cell>
          <cell r="F3179">
            <v>85412120</v>
          </cell>
          <cell r="H3179" t="str">
            <v>DISPOSITIVO SEMICONDUTOR TIPO TRANSISTOR, MONTADO, PRoPRIO PARA MONTAGEM EM SUPERFÍCIE SMD PNP SOT-23 (ref.2060900211)</v>
          </cell>
        </row>
        <row r="3180">
          <cell r="B3180">
            <v>2060900454</v>
          </cell>
          <cell r="D3180" t="str">
            <v>pending</v>
          </cell>
          <cell r="E3180">
            <v>85412120</v>
          </cell>
          <cell r="F3180">
            <v>85412120</v>
          </cell>
          <cell r="H3180" t="str">
            <v>DISPOSITIVO SEMICONDUTOR TIPO TRANSISTOR, MONTADO, PRoPRIO PARA MONTAGEM EM SUPERFÍCIE SMD PNP SOT-89 (ref.2060900454)</v>
          </cell>
        </row>
        <row r="3181">
          <cell r="B3181">
            <v>2060900375</v>
          </cell>
          <cell r="D3181">
            <v>2060900375</v>
          </cell>
          <cell r="E3181">
            <v>85412120</v>
          </cell>
          <cell r="F3181">
            <v>85412120</v>
          </cell>
          <cell r="H3181" t="str">
            <v>DISPOSITIVO SEMICONDUTOR TIPO TRANSISTOR, MONTADO, PRoPRIO PARA MONTAGEM EM SUPERFÍCIE SMD NPN 2A 60V SOT-89 (ref.2060900375)</v>
          </cell>
        </row>
        <row r="3182">
          <cell r="B3182">
            <v>2061900080</v>
          </cell>
          <cell r="D3182" t="str">
            <v>pending</v>
          </cell>
          <cell r="E3182">
            <v>85412910</v>
          </cell>
          <cell r="F3182">
            <v>85412910</v>
          </cell>
          <cell r="H3182" t="str">
            <v>DISPOSITIVO SEMICONDUTOR TIPO MOSFET NMOS, nAo montado 1700V 4A Tc=100℃ 1.8~2.2V 1.4R TO-274-3 (2061900080)</v>
          </cell>
        </row>
        <row r="3183">
          <cell r="B3183">
            <v>2110301600</v>
          </cell>
          <cell r="D3183" t="str">
            <v>pending</v>
          </cell>
          <cell r="E3183">
            <v>85416010</v>
          </cell>
          <cell r="F3183">
            <v>85416010</v>
          </cell>
          <cell r="H3183" t="str">
            <v>CRISTAL PIEZELeTRICO MONTADO, DE FREQUeNCIA 32,768MHz ;32768.0HZ 20.0ppm 3215 (ref.2110301600)</v>
          </cell>
        </row>
        <row r="3184">
          <cell r="B3184">
            <v>2110100651</v>
          </cell>
          <cell r="D3184" t="str">
            <v>pending</v>
          </cell>
          <cell r="E3184">
            <v>85416010</v>
          </cell>
          <cell r="F3184">
            <v>85416010</v>
          </cell>
          <cell r="H3184" t="str">
            <v>CRISTAL OSCILADOR, DE QUARTZO, MONTADO, SMD, DE FREQUeNCIA 32,768MHz ; 20.0ppm; 12.5pF; 25 (2110100651)</v>
          </cell>
        </row>
        <row r="3185">
          <cell r="B3185">
            <v>2052900050</v>
          </cell>
          <cell r="D3185" t="str">
            <v>pending</v>
          </cell>
          <cell r="E3185">
            <v>85423120</v>
          </cell>
          <cell r="F3185">
            <v>85423120</v>
          </cell>
          <cell r="H3185" t="str">
            <v>CIRCUITO INTEGRADO ELETRoNICO TIPO DETECTOR DE TENSAO, MONTADO, proprios para montagem em superfície SMD 2.93V;2.85～3.00V;1.0～5.5V TPV809S-3STR (2052900050)</v>
          </cell>
        </row>
        <row r="3186">
          <cell r="B3186">
            <v>2052700820</v>
          </cell>
          <cell r="D3186" t="str">
            <v>pending</v>
          </cell>
          <cell r="E3186">
            <v>85423939</v>
          </cell>
          <cell r="F3186">
            <v>85423939</v>
          </cell>
          <cell r="H3186" t="str">
            <v>CIRCUITO INTEGRADO ELETRoNICO TIPO REGULADOR DE TENSAO LDO, MONTADO, PRoPRIO PARA MONTAGEM EM SUPERFÍCIE SMD  -30V -12V 0.5por cento 1.5A TO-252 (ref.2052700820)</v>
          </cell>
        </row>
        <row r="3187">
          <cell r="B3187">
            <v>2052700450</v>
          </cell>
          <cell r="D3187" t="str">
            <v>pending</v>
          </cell>
          <cell r="E3187">
            <v>85423939</v>
          </cell>
          <cell r="F3187">
            <v>85423939</v>
          </cell>
          <cell r="H3187" t="str">
            <v>CIRCUITO INTEGRADO ELETRoNICO TIPO REGULADOR DE TENSAO LDO, MONTADO, PRoPRIO PARA MONTAGEM EM SUPERFÍCIE SMD 4.7～30V 3.3V 2por cento 1.5A 5mA DPAK (ref.2052700450)</v>
          </cell>
        </row>
        <row r="3188">
          <cell r="B3188">
            <v>2054500070</v>
          </cell>
          <cell r="D3188" t="str">
            <v>pending</v>
          </cell>
          <cell r="E3188">
            <v>85423939</v>
          </cell>
          <cell r="F3188">
            <v>85423939</v>
          </cell>
          <cell r="H3188" t="str">
            <v>Circuito integrado eletronico de isolamento, montado, proprio para montagem em superficie SMD 100Mbps; 2.25～5.5V; SOIC16 (2054500070)</v>
          </cell>
        </row>
        <row r="3189">
          <cell r="B3189">
            <v>2053300030</v>
          </cell>
          <cell r="D3189" t="str">
            <v>pending</v>
          </cell>
          <cell r="E3189">
            <v>85423939</v>
          </cell>
          <cell r="F3189">
            <v>85423939</v>
          </cell>
          <cell r="H3189" t="str">
            <v>Circuito integrado eletronico tipo chave analogica, montado, proprio para montagem em superfície SMD 2.5V～5.5V;40mA;MSOP-10 SGM48755 (2053300030)</v>
          </cell>
        </row>
        <row r="3190">
          <cell r="B3190">
            <v>2054500090</v>
          </cell>
          <cell r="D3190">
            <v>2054500090</v>
          </cell>
          <cell r="E3190">
            <v>85423939</v>
          </cell>
          <cell r="F3190">
            <v>85423939</v>
          </cell>
          <cell r="H3190" t="str">
            <v>Circuito integrado eletronico de isolamento, montado, proprio para montagem em superficie SMD UCC23513DWY (2054500090)</v>
          </cell>
        </row>
        <row r="3191">
          <cell r="B3191">
            <v>2053500080</v>
          </cell>
          <cell r="D3191" t="str">
            <v>pending</v>
          </cell>
          <cell r="E3191">
            <v>85423939</v>
          </cell>
          <cell r="F3191">
            <v>85423939</v>
          </cell>
          <cell r="H3191" t="str">
            <v>Circuito Integrado Eletronico tipo referencia de tensAo de derivacAo fixo, montado, proprio para montagem em superfície SMD 2.5V;0.5por cento;0~2.5V;SOIC8 LM285M-2.5 (2053500080)</v>
          </cell>
        </row>
        <row r="3192">
          <cell r="B3192">
            <v>2053500090</v>
          </cell>
          <cell r="D3192">
            <v>2053500090</v>
          </cell>
          <cell r="E3192">
            <v>85423939</v>
          </cell>
          <cell r="F3192">
            <v>85423939</v>
          </cell>
          <cell r="H3192" t="str">
            <v>Circuito Integrado Eletronico tipo referencia de tensAo de derivacAo fixo, montado, proprio para montagem em superfície SMD 2.495V;1por cento;0~36V;SOT89 TL431AIPK (2053500090)</v>
          </cell>
        </row>
        <row r="3193">
          <cell r="B3193">
            <v>3090310750</v>
          </cell>
          <cell r="D3193" t="str">
            <v>pending</v>
          </cell>
          <cell r="E3193">
            <v>85444200</v>
          </cell>
          <cell r="F3193">
            <v>85444200</v>
          </cell>
          <cell r="H3193" t="str">
            <v>Cabo condutor eletrico, munido de pecas de conexAo, para uma tensAo de ate 1000V 2*8P-2.54 (fivela borboleta em ambas as extremidades) CINZA UL 2651 cabo cinza com borda vermelha</v>
          </cell>
        </row>
        <row r="3194">
          <cell r="B3194">
            <v>3090506580</v>
          </cell>
          <cell r="D3194" t="str">
            <v>pending</v>
          </cell>
          <cell r="E3194">
            <v>85444900</v>
          </cell>
          <cell r="F3194">
            <v>85444900</v>
          </cell>
          <cell r="H3194" t="str">
            <v>CABO CONDUTOR ELETRICO, PARA UMA TENSAO DE ATe 1.000v  10AWG；480.0mm；30905-GT325KD1-006 (ref.3090506580)</v>
          </cell>
        </row>
        <row r="3195">
          <cell r="B3195">
            <v>3090506570</v>
          </cell>
          <cell r="D3195" t="str">
            <v>pending</v>
          </cell>
          <cell r="E3195">
            <v>85444900</v>
          </cell>
          <cell r="F3195">
            <v>85444900</v>
          </cell>
          <cell r="H3195" t="str">
            <v>CABO CONDUTOR ELETRICO, PARA UMA TENSAO DE ATe 1.000v  10AWG；480.0mm；30905-GT325KD1-005 (ref.3090506570)</v>
          </cell>
        </row>
        <row r="3196">
          <cell r="B3196">
            <v>3090506650</v>
          </cell>
          <cell r="D3196" t="str">
            <v>pending</v>
          </cell>
          <cell r="E3196">
            <v>85444900</v>
          </cell>
          <cell r="F3196">
            <v>85444900</v>
          </cell>
          <cell r="H3196" t="str">
            <v>CABO CONDUTOR ELETRICO, PARA UMA TENSAO DE ATe 1.000v  22AWG；120.0mm；30905-GT325KD1-013 (ref.3090506650)</v>
          </cell>
        </row>
        <row r="3197">
          <cell r="B3197">
            <v>3090506590</v>
          </cell>
          <cell r="D3197" t="str">
            <v>pending</v>
          </cell>
          <cell r="E3197">
            <v>85444900</v>
          </cell>
          <cell r="F3197">
            <v>85444900</v>
          </cell>
          <cell r="H3197" t="str">
            <v>CABO CONDUTOR ELETRICO, PARA UMA TENSAO DE ATe 1.000v  10AWG；350.0mm；30905-GT325KD1-007 (ref.3090506590)</v>
          </cell>
        </row>
        <row r="3198">
          <cell r="B3198">
            <v>3090506530</v>
          </cell>
          <cell r="D3198" t="str">
            <v>pending</v>
          </cell>
          <cell r="E3198">
            <v>85444900</v>
          </cell>
          <cell r="F3198">
            <v>85444900</v>
          </cell>
          <cell r="H3198" t="str">
            <v>CABO CONDUTOR ELETRICO, PARA UMA TENSAO DE ATe 1.000v  12AWG；140.0mm；30905-GT325KD1-001 (ref.3090506530)</v>
          </cell>
        </row>
        <row r="3199">
          <cell r="B3199">
            <v>3090506620</v>
          </cell>
          <cell r="D3199" t="str">
            <v>pending</v>
          </cell>
          <cell r="E3199">
            <v>85444900</v>
          </cell>
          <cell r="F3199">
            <v>85444900</v>
          </cell>
          <cell r="H3199" t="str">
            <v>CABO CONDUTOR ELETRICO, PARA UMA TENSAO DE ATe 1.000v  22AWG；100.0mm；30905-GT325KD1-010 (ref.3090506620)</v>
          </cell>
        </row>
        <row r="3200">
          <cell r="B3200">
            <v>3090506610</v>
          </cell>
          <cell r="D3200" t="str">
            <v>pending</v>
          </cell>
          <cell r="E3200">
            <v>85444900</v>
          </cell>
          <cell r="F3200">
            <v>85444900</v>
          </cell>
          <cell r="H3200" t="str">
            <v>CABO CONDUTOR ELETRICO, PARA UMA TENSAO DE ATe 1.000v  22AWG；75.0mm；30905-GT325KD1-009 (ref.3090506610)</v>
          </cell>
        </row>
        <row r="3201">
          <cell r="B3201">
            <v>3090506390</v>
          </cell>
          <cell r="D3201" t="str">
            <v>pending</v>
          </cell>
          <cell r="E3201">
            <v>85444900</v>
          </cell>
          <cell r="F3201">
            <v>85444900</v>
          </cell>
          <cell r="H3201" t="str">
            <v>CABO CONDUTOR ELETRICO, PARA UMA TENSAO DE ATe 1.000v  UL2651 26AWG 105℃ 300V；190.0mm；30905-GT110KT1-016 (ref.3090506390)</v>
          </cell>
        </row>
        <row r="3202">
          <cell r="B3202">
            <v>3090506540</v>
          </cell>
          <cell r="D3202" t="str">
            <v>pending</v>
          </cell>
          <cell r="E3202">
            <v>85444900</v>
          </cell>
          <cell r="F3202">
            <v>85444900</v>
          </cell>
          <cell r="H3202" t="str">
            <v>CABO CONDUTOR ELETRICO, PARA UMA TENSAO DE ATe 1.000v  12AWG；140.0mm；30905-GT325KD1-002 (ref.3090506540)</v>
          </cell>
        </row>
        <row r="3203">
          <cell r="B3203">
            <v>3090506560</v>
          </cell>
          <cell r="D3203" t="str">
            <v>pending</v>
          </cell>
          <cell r="E3203">
            <v>85444900</v>
          </cell>
          <cell r="F3203">
            <v>85444900</v>
          </cell>
          <cell r="H3203" t="str">
            <v>CABO CONDUTOR ELETRICO, PARA UMA TENSAO DE ATe 1.000v V 6AWG/10AWG/22AWG；165.0mm；30905-GT325KD1-004 (ref.3090506560)</v>
          </cell>
        </row>
        <row r="3204">
          <cell r="B3204">
            <v>3090506550</v>
          </cell>
          <cell r="D3204" t="str">
            <v>pending</v>
          </cell>
          <cell r="E3204">
            <v>85444900</v>
          </cell>
          <cell r="F3204">
            <v>85444900</v>
          </cell>
          <cell r="H3204" t="str">
            <v>CABO CONDUTOR ELETRICO, PARA UMA TENSAO DE ATe 1.000v  12AWG；165.0mm；30905-GT325KD1-003 (ref.3090506550)</v>
          </cell>
        </row>
        <row r="3205">
          <cell r="B3205">
            <v>3090506600</v>
          </cell>
          <cell r="D3205" t="str">
            <v>pending</v>
          </cell>
          <cell r="E3205">
            <v>85444900</v>
          </cell>
          <cell r="F3205">
            <v>85444900</v>
          </cell>
          <cell r="H3205" t="str">
            <v>CABO CONDUTOR ELETRICO, PARA UMA TENSAO DE ATe 1.000v  10AWG；85.0mm；30905-GT325KD1-008 (ref.3090506600)</v>
          </cell>
        </row>
        <row r="3206">
          <cell r="B3206">
            <v>3090506380</v>
          </cell>
          <cell r="D3206" t="str">
            <v>pending</v>
          </cell>
          <cell r="E3206">
            <v>85444900</v>
          </cell>
          <cell r="F3206">
            <v>85444900</v>
          </cell>
          <cell r="H3206" t="str">
            <v>CABO CONDUTOR ELETRICO, PARA UMA TENSAO DE ATe 1.000v UL1430 #22AWG；75.0mm；30905-GT110KT1-015 (ref.3090506380)</v>
          </cell>
        </row>
        <row r="3207">
          <cell r="B3207">
            <v>3090506630</v>
          </cell>
          <cell r="D3207" t="str">
            <v>pending</v>
          </cell>
          <cell r="E3207">
            <v>85444900</v>
          </cell>
          <cell r="F3207">
            <v>85444900</v>
          </cell>
          <cell r="H3207" t="str">
            <v>CABO CONDUTOR ELETRICO, PARA UMA TENSAO DE ATe 1.000v  22AWG；55.0mm；30905-GT325KD1-011 (ref.3090506630)</v>
          </cell>
        </row>
        <row r="3208">
          <cell r="B3208">
            <v>3090506640</v>
          </cell>
          <cell r="D3208" t="str">
            <v>pending</v>
          </cell>
          <cell r="E3208">
            <v>85444900</v>
          </cell>
          <cell r="F3208">
            <v>85444900</v>
          </cell>
          <cell r="H3208" t="str">
            <v>CABO CONDUTOR ELETRICO, PARA UMA TENSAO DE ATe 1.000v  22AWG；55.0mm；30905-GT325KD1-012 (ref.3090506640)</v>
          </cell>
        </row>
        <row r="3209">
          <cell r="B3209">
            <v>3090506940</v>
          </cell>
          <cell r="D3209" t="str">
            <v>pending</v>
          </cell>
          <cell r="E3209">
            <v>85446000</v>
          </cell>
          <cell r="F3209" t="str">
            <v>Need to update benefit</v>
          </cell>
          <cell r="H3209" t="str">
            <v>Cabo condutor eletrico para tensAo de ate 2.000 V UL11627 #22AWG 2000v VW-1 105C；135.0mm (ref.3090506940)</v>
          </cell>
        </row>
        <row r="3210">
          <cell r="B3210">
            <v>3090506960</v>
          </cell>
          <cell r="D3210" t="str">
            <v>pending</v>
          </cell>
          <cell r="E3210">
            <v>85446000</v>
          </cell>
          <cell r="F3210" t="str">
            <v>Need to update benefit</v>
          </cell>
          <cell r="H3210" t="str">
            <v>Cabo condutor eletrico para tensAo de ate 2.000 V UL11627 #22AWG 2000v VW-1 105C；135.0mm (ref.3090506960)</v>
          </cell>
        </row>
        <row r="3211">
          <cell r="B3211">
            <v>3061504040</v>
          </cell>
          <cell r="D3211" t="str">
            <v>pending</v>
          </cell>
          <cell r="E3211">
            <v>85471000</v>
          </cell>
          <cell r="F3211" t="str">
            <v>Need to update benefit</v>
          </cell>
          <cell r="H3211" t="str">
            <v>PEcA ISOLANTE DE CERAMICA 30615-GT325KD1-009 39.6x27.6 (3061504040)</v>
          </cell>
        </row>
        <row r="3212">
          <cell r="B3212">
            <v>3061504030</v>
          </cell>
          <cell r="D3212">
            <v>3061504030</v>
          </cell>
          <cell r="E3212">
            <v>85471000</v>
          </cell>
          <cell r="F3212" t="str">
            <v>Need to update benefit</v>
          </cell>
          <cell r="H3212" t="str">
            <v>PEcA ISOLANTE DE CERAMICA 30615-GT325KD1-008 39.6x27.6 (3061504030)</v>
          </cell>
        </row>
        <row r="3213">
          <cell r="B3213">
            <v>3061503840</v>
          </cell>
          <cell r="D3213" t="str">
            <v>pending</v>
          </cell>
          <cell r="E3213">
            <v>85472090</v>
          </cell>
          <cell r="F3213">
            <v>85472090</v>
          </cell>
          <cell r="H3213" t="str">
            <v>PEcA ISOLANTE DE PLASTICO 30615-GT325KD1-006 PANTONE Black C 440x92x0.43 (3061503840)</v>
          </cell>
        </row>
        <row r="3214">
          <cell r="B3214">
            <v>3061503850</v>
          </cell>
          <cell r="D3214" t="str">
            <v>pending</v>
          </cell>
          <cell r="E3214">
            <v>85472090</v>
          </cell>
          <cell r="F3214">
            <v>85472090</v>
          </cell>
          <cell r="H3214" t="str">
            <v>PEcA ISOLANTE DE PLASTICO 30615-GT325KD1-007 430x55 (3061503850)</v>
          </cell>
        </row>
        <row r="3215">
          <cell r="B3215">
            <v>3061503660</v>
          </cell>
          <cell r="D3215" t="str">
            <v>pending</v>
          </cell>
          <cell r="E3215">
            <v>85479000</v>
          </cell>
          <cell r="F3215" t="str">
            <v>Need to update benefit</v>
          </cell>
          <cell r="H3215" t="str">
            <v>PEcA ISOLANTE TIPO FOLHA 30615-GT325KD1-005 21.5x28.5x0.23mm (3061503660)</v>
          </cell>
        </row>
        <row r="3216">
          <cell r="B3216">
            <v>2041500210</v>
          </cell>
          <cell r="D3216">
            <v>20602101</v>
          </cell>
          <cell r="E3216">
            <v>85423939</v>
          </cell>
          <cell r="F3216">
            <v>85423939</v>
          </cell>
          <cell r="H3216" t="str">
            <v>Circuito integrado eletronico tipo sensor de Efeito Hall, para deteccAo de campos magneticos, montado, proprio para montagem em superfície SMD 300mA 4.75～5.25V 15kHz 48.9*35mm (ref.2041500210)</v>
          </cell>
        </row>
        <row r="3217">
          <cell r="B3217">
            <v>2020501950</v>
          </cell>
          <cell r="D3217">
            <v>20660421</v>
          </cell>
          <cell r="E3217">
            <v>85322590</v>
          </cell>
          <cell r="F3217">
            <v>85322590</v>
          </cell>
          <cell r="H3217" t="str">
            <v>CAPACITOR (CONDENSADOR ELeTRICO FIXO) COM DIELeTRICO DE FILME DE POLIESTER 110μF 10por cento 550VDC 52.5*20.3*50/52.5*20.3mm PTH (ref.2020501950)</v>
          </cell>
        </row>
        <row r="3218">
          <cell r="B3218">
            <v>2031100630</v>
          </cell>
          <cell r="D3218">
            <v>20650144</v>
          </cell>
          <cell r="E3218">
            <v>85045090</v>
          </cell>
          <cell r="F3218" t="str">
            <v>Need to update benefit</v>
          </cell>
          <cell r="H3218" t="str">
            <v>Bobina de auto-inducao de fio enrolado de alta potencia (indutor) 1.7mH para montagem por insercao (PTH), de frequencia de1HZ, intensidade de corrente de 40A, resistencia de 2.0mΩ, dimensoes 58mm de comprimento, 34mm de largura e 59mm de altura.</v>
          </cell>
        </row>
        <row r="3219">
          <cell r="B3219">
            <v>2060501421</v>
          </cell>
          <cell r="D3219">
            <v>20630816</v>
          </cell>
          <cell r="E3219">
            <v>85411021</v>
          </cell>
          <cell r="F3219">
            <v>85411021</v>
          </cell>
          <cell r="H3219" t="str">
            <v>DISPOSITIVO SEMICONDUTOR TIPO DIODO ZENER, MONTADO, PRoPRIO PARA MONTAGEM EM SUPERFÍCIE SMD 15V 5por cento 0.5W SOD123 (ref.2060501421)</v>
          </cell>
        </row>
        <row r="3220">
          <cell r="B3220">
            <v>2020103171</v>
          </cell>
          <cell r="D3220">
            <v>20672576</v>
          </cell>
          <cell r="E3220">
            <v>85322310</v>
          </cell>
          <cell r="F3220" t="str">
            <v>Not applicable</v>
          </cell>
          <cell r="G3220">
            <v>85322310</v>
          </cell>
          <cell r="H3220" t="str">
            <v>CAPACITOR (CONDENSDOR ELeTRICO FIXO) COM DIELeTRICO DE CERAMICA DE UMA So CAMADA  PRoPRIO PARA MONTAGEM EM SUPERFÍCIE SMD 4.7μF 10por cento 25V X5R 0805 (ref.2020103171)</v>
          </cell>
        </row>
        <row r="3221">
          <cell r="B3221">
            <v>2010103400</v>
          </cell>
          <cell r="D3221">
            <v>20620217</v>
          </cell>
          <cell r="E3221">
            <v>85332120</v>
          </cell>
          <cell r="F3221">
            <v>85332120</v>
          </cell>
          <cell r="H3221" t="str">
            <v>RESISTOR (RESISTeNCIA ELeTRICA FIXA) PRoPRIO PARA MONTAGEM EM SUPERFÍCIE SMD 68Ω 5por cento 100PPM POTeNCIA DE 1/8W 0805 (ref.2010103400)</v>
          </cell>
        </row>
        <row r="3222">
          <cell r="B3222">
            <v>2020105000</v>
          </cell>
          <cell r="D3222">
            <v>20672577</v>
          </cell>
          <cell r="E3222">
            <v>85322310</v>
          </cell>
          <cell r="F3222" t="str">
            <v>Not applicable</v>
          </cell>
          <cell r="G3222">
            <v>85322310</v>
          </cell>
          <cell r="H3222" t="str">
            <v>CAPACITOR (CONDENSDOR ELeTRICO FIXO) COM DIELeTRICO DE CERAMICA DE UMA So CAMADA  PRoPRIO PARA MONTAGEM EM SUPERFÍCIE SMD 22.0μF 20por cento 6.3V X5R 0603 (ref.2020105000)</v>
          </cell>
        </row>
        <row r="3223">
          <cell r="B3223">
            <v>2020101210</v>
          </cell>
          <cell r="D3223">
            <v>20672561</v>
          </cell>
          <cell r="E3223">
            <v>85322310</v>
          </cell>
          <cell r="F3223" t="str">
            <v>Not applicable</v>
          </cell>
          <cell r="G3223">
            <v>85322310</v>
          </cell>
          <cell r="H3223" t="str">
            <v>CAPACITOR (CONDENSDOR ELeTRICO FIXO) COM DIELeTRICO DE CERAMICA DE UMA So CAMADA  PRoPRIO PARA MONTAGEM EM SUPERFÍCIE SMD 2.2μF 10por cento 50V X7R 1206 (ref.2020101210)</v>
          </cell>
        </row>
        <row r="3224">
          <cell r="B3224">
            <v>2010104600</v>
          </cell>
          <cell r="D3224">
            <v>20620219</v>
          </cell>
          <cell r="E3224">
            <v>85332120</v>
          </cell>
          <cell r="F3224">
            <v>85332120</v>
          </cell>
          <cell r="H3224" t="str">
            <v>RESISTOR (RESISTeNCIA ELeTRICA FIXA) PRoPRIO PARA MONTAGEM EM SUPERFÍCIE SMD 200Ω 5por cento 100PPM POTeNCIA DE 1/4W 1206 (ref.2010104600)</v>
          </cell>
        </row>
        <row r="3225">
          <cell r="B3225">
            <v>2010112130</v>
          </cell>
          <cell r="D3225">
            <v>20620229</v>
          </cell>
          <cell r="E3225">
            <v>85332120</v>
          </cell>
          <cell r="F3225">
            <v>85332120</v>
          </cell>
          <cell r="H3225" t="str">
            <v>RESISTOR (RESISTeNCIA ELeTRICA FIXA) PRoPRIO PARA MONTAGEM EM SUPERFÍCIE SMD 49.9KΩ 1por cento 100PPM POTeNCIA DE 1/10W 0603 (ref.2010112130)</v>
          </cell>
        </row>
        <row r="3226">
          <cell r="B3226">
            <v>2010110660</v>
          </cell>
          <cell r="D3226">
            <v>20620224</v>
          </cell>
          <cell r="E3226">
            <v>85332120</v>
          </cell>
          <cell r="F3226">
            <v>85332120</v>
          </cell>
          <cell r="H3226" t="str">
            <v>RESISTOR (RESISTeNCIA ELeTRICA FIXA) PRoPRIO PARA MONTAGEM EM SUPERFÍCIE SMD 68kΩ 1por cento 100PPM POTeNCIA DE 1/10W 0603 (ref.2010110660)</v>
          </cell>
        </row>
        <row r="3227">
          <cell r="B3227">
            <v>2030102861</v>
          </cell>
          <cell r="D3227">
            <v>20650141</v>
          </cell>
          <cell r="E3227">
            <v>85045010</v>
          </cell>
          <cell r="F3227" t="str">
            <v>Need to update benefit</v>
          </cell>
          <cell r="H3227" t="str">
            <v>Bobina de auto-inducao (indutor) de 10μH, para montagem em superficie SMD, de frequencia de 2.5MHz, tolerancia de 10%, intensidade de corrente de 280mA, 1.85Ω de resistencia, de dimensoes de 3.2mm de comprimento, 2.5mm de largura e 2.2mm de altura (2030102861) SMT</v>
          </cell>
        </row>
        <row r="3228">
          <cell r="B3228">
            <v>2010111430</v>
          </cell>
          <cell r="D3228">
            <v>20620225</v>
          </cell>
          <cell r="E3228">
            <v>85332120</v>
          </cell>
          <cell r="F3228">
            <v>85332120</v>
          </cell>
          <cell r="H3228" t="str">
            <v>RESISTOR (RESISTeNCIA ELeTRICA FIXA) PRoPRIO PARA MONTAGEM EM SUPERFÍCIE SMD 54.9kΩ 1por cento 100PPM POTeNCIA DE 1/8W 0805 (ref.2010111430)</v>
          </cell>
        </row>
        <row r="3229">
          <cell r="B3229">
            <v>2010111680</v>
          </cell>
          <cell r="D3229">
            <v>20620226</v>
          </cell>
          <cell r="E3229">
            <v>85332120</v>
          </cell>
          <cell r="F3229">
            <v>85332120</v>
          </cell>
          <cell r="H3229" t="str">
            <v>RESISTOR (RESISTeNCIA ELeTRICA FIXA) PRoPRIO PARA MONTAGEM EM SUPERFÍCIE SMD 270k 1por cento 100PPM POTeNCIA DE 1/4W 1206 (ref.2010111680)</v>
          </cell>
        </row>
        <row r="3230">
          <cell r="B3230">
            <v>2010110270</v>
          </cell>
          <cell r="D3230">
            <v>20620223</v>
          </cell>
          <cell r="E3230">
            <v>85332120</v>
          </cell>
          <cell r="F3230">
            <v>85332120</v>
          </cell>
          <cell r="H3230" t="str">
            <v>RESISTOR (RESISTeNCIA ELeTRICA FIXA) PRoPRIO PARA MONTAGEM EM SUPERFÍCIE SMD 40.2kΩ 1por cento 100PPM POTeNCIA DE 1/10W 0603 (ref.2010110270)</v>
          </cell>
        </row>
        <row r="3231">
          <cell r="B3231">
            <v>2020105720</v>
          </cell>
          <cell r="D3231">
            <v>20672579</v>
          </cell>
          <cell r="E3231">
            <v>85322310</v>
          </cell>
          <cell r="F3231" t="str">
            <v>Not applicable</v>
          </cell>
          <cell r="G3231">
            <v>85322310</v>
          </cell>
          <cell r="H3231" t="str">
            <v>CAPACITOR (CONDENSDOR ELeTRICO FIXO) COM DIELeTRICO DE CERAMICA DE UMA So CAMADA  PRoPRIO PARA MONTAGEM EM SUPERFÍCIE SMD 2.2μF 10por cento 16V X5R 0603 (ref.2020105720)</v>
          </cell>
        </row>
        <row r="3232">
          <cell r="B3232">
            <v>2020101100</v>
          </cell>
          <cell r="D3232">
            <v>20672537</v>
          </cell>
          <cell r="E3232">
            <v>85322310</v>
          </cell>
          <cell r="F3232" t="str">
            <v>Not applicable</v>
          </cell>
          <cell r="G3232">
            <v>85322310</v>
          </cell>
          <cell r="H3232" t="str">
            <v>CAPACITOR (CONDENSDOR ELeTRICO FIXO) COM DIELeTRICO DE CERAMICA DE UMA So CAMADA  PRoPRIO PARA MONTAGEM EM SUPERFÍCIE SMD 470nF 10por cento 50V X7R 0805 (ref.2020101100)</v>
          </cell>
        </row>
        <row r="3233">
          <cell r="B3233">
            <v>2020101220</v>
          </cell>
          <cell r="D3233">
            <v>20672575</v>
          </cell>
          <cell r="E3233">
            <v>85322310</v>
          </cell>
          <cell r="F3233" t="str">
            <v>Not applicable</v>
          </cell>
          <cell r="G3233">
            <v>85322310</v>
          </cell>
          <cell r="H3233" t="str">
            <v>CAPACITOR (CONDENSDOR ELeTRICO FIXO) COM DIELeTRICO DE CERAMICA DE UMA So CAMADA  PRoPRIO PARA MONTAGEM EM SUPERFÍCIE SMD 4.7μF 10por cento 50V X7R 1206 (ref.2020101220)</v>
          </cell>
        </row>
        <row r="3234">
          <cell r="B3234">
            <v>2010111810</v>
          </cell>
          <cell r="D3234">
            <v>20620228</v>
          </cell>
          <cell r="E3234">
            <v>85332120</v>
          </cell>
          <cell r="F3234">
            <v>85332120</v>
          </cell>
          <cell r="H3234" t="str">
            <v>RESISTOR (RESISTeNCIA ELeTRICA FIXA) PRoPRIO PARA MONTAGEM EM SUPERFÍCIE SMD 82kΩ 1por cento 100PPM POTeNCIA DE 1/10W 0603 (ref.2010111810)</v>
          </cell>
        </row>
        <row r="3235">
          <cell r="B3235">
            <v>2010105030</v>
          </cell>
          <cell r="D3235">
            <v>20620222</v>
          </cell>
          <cell r="E3235">
            <v>85332120</v>
          </cell>
          <cell r="F3235">
            <v>85332120</v>
          </cell>
          <cell r="H3235" t="str">
            <v>RESISTOR (RESISTeNCIA ELeTRICA FIXA) PRoPRIO PARA MONTAGEM EM SUPERFÍCIE SMD 270Ω 5por cento 100PPM POTeNICA DE 1/4W 1206 (ref.2010105030)</v>
          </cell>
        </row>
        <row r="3236">
          <cell r="B3236">
            <v>2010102160</v>
          </cell>
          <cell r="D3236">
            <v>20620212</v>
          </cell>
          <cell r="E3236">
            <v>85332120</v>
          </cell>
          <cell r="F3236">
            <v>85332120</v>
          </cell>
          <cell r="H3236" t="str">
            <v>RESISTOR (RESISTeNCIA ELeTRICA FIXA) PRoPRIO PARA MONTAGEM EM SUPERFÍCIE SMD 18kΩ 1por cento 100PPM POTeNCIA DE 1/10W 0603 (ref.2010102160)</v>
          </cell>
        </row>
        <row r="3237">
          <cell r="B3237">
            <v>2010102560</v>
          </cell>
          <cell r="D3237">
            <v>20620214</v>
          </cell>
          <cell r="E3237">
            <v>85332120</v>
          </cell>
          <cell r="F3237">
            <v>85332120</v>
          </cell>
          <cell r="H3237" t="str">
            <v>RESISTOR (RESISTeNCIA ELeTRICA FIXA) PRoPRIO PARA MONTAGEM EM SUPERFÍCIE SMD 1kΩ 1por cento 50PPM POTeNCIA DE 1/10W 0603 (ref.2010102560)</v>
          </cell>
        </row>
        <row r="3238">
          <cell r="B3238">
            <v>2010103090</v>
          </cell>
          <cell r="D3238">
            <v>20620216</v>
          </cell>
          <cell r="E3238">
            <v>85332120</v>
          </cell>
          <cell r="F3238">
            <v>85332120</v>
          </cell>
          <cell r="H3238" t="str">
            <v>RESISTOR (RESISTeNCIA ELeTRICA FIXA) PRoPRIO PARA MONTAGEM EM SUPERFÍCIE SMD 120Ω 5por cento 100PPM POTeNCIA DE 1/8W 0805 (ref.2010103090)</v>
          </cell>
        </row>
        <row r="3239">
          <cell r="B3239">
            <v>2020100580</v>
          </cell>
          <cell r="D3239">
            <v>20672535</v>
          </cell>
          <cell r="E3239">
            <v>85322310</v>
          </cell>
          <cell r="F3239" t="str">
            <v>Not applicable</v>
          </cell>
          <cell r="G3239">
            <v>85322310</v>
          </cell>
          <cell r="H3239" t="str">
            <v>CAPACITOR (CONDENSDOR ELeTRICO FIXO) COM DIELeTRICO DE CERAMICA DE UMA So CAMADA  PRoPRIO PARA MONTAGEM EM SUPERFÍCIE SMD 220pF 10por cento 50V X7R 0603 (ref.2020100580)</v>
          </cell>
        </row>
        <row r="3240">
          <cell r="B3240">
            <v>2010111730</v>
          </cell>
          <cell r="D3240">
            <v>20620227</v>
          </cell>
          <cell r="E3240">
            <v>85332120</v>
          </cell>
          <cell r="F3240">
            <v>85332120</v>
          </cell>
          <cell r="H3240" t="str">
            <v>RESISTOR (RESISTeNCIA ELeTRICA FIXA) PRoPRIO PARA MONTAGEM EM SUPERFÍCIE SMD 2MΩ 1por cento 100PPM POTeNCIA DE 1/4W 1206 (ref.2010111730)</v>
          </cell>
        </row>
        <row r="3241">
          <cell r="B3241">
            <v>2010103460</v>
          </cell>
          <cell r="D3241">
            <v>20620218</v>
          </cell>
          <cell r="E3241">
            <v>85332120</v>
          </cell>
          <cell r="F3241">
            <v>85332120</v>
          </cell>
          <cell r="H3241" t="str">
            <v>RESISTOR (RESISTeNCIA ELeTRICA FIXA) PRoPRIO PARA MONTAGEM EM SUPERFÍCIE SMD 3.3kΩ 5por cento 100PPM POTeNCIA DE1/8W 0805 (ref.2010103460)</v>
          </cell>
        </row>
        <row r="3242">
          <cell r="B3242">
            <v>2010102870</v>
          </cell>
          <cell r="D3242">
            <v>20620215</v>
          </cell>
          <cell r="E3242">
            <v>85332120</v>
          </cell>
          <cell r="F3242">
            <v>85332120</v>
          </cell>
          <cell r="H3242" t="str">
            <v>RESISTOR (RESISTeNCIA ELeTRICA FIXA) PRoPRIO PARA MONTAGEM EM SUPERFÍCIE SMD 75Ω 5por cento 100PPM POTeNCIA DE 1/8W 0805 (ref.2010102870)</v>
          </cell>
        </row>
        <row r="3243">
          <cell r="B3243">
            <v>2020100390</v>
          </cell>
          <cell r="D3243">
            <v>20672534</v>
          </cell>
          <cell r="E3243">
            <v>85322310</v>
          </cell>
          <cell r="F3243" t="str">
            <v>Not applicable</v>
          </cell>
          <cell r="G3243">
            <v>85322310</v>
          </cell>
          <cell r="H3243" t="str">
            <v>CAPACITOR (CONDENSDOR ELeTRICO FIXO) COM DIELeTRICO DE CERAMICA DE UMA So CAMADA  PRoPRIO PARA MONTAGEM EM SUPERFÍCIE SMD 470pF 5por cento 50V NPO 0603 (ref.2020100390)</v>
          </cell>
        </row>
        <row r="3244">
          <cell r="B3244">
            <v>2010102140</v>
          </cell>
          <cell r="D3244">
            <v>20620210</v>
          </cell>
          <cell r="E3244">
            <v>85332120</v>
          </cell>
          <cell r="F3244">
            <v>85332120</v>
          </cell>
          <cell r="H3244" t="str">
            <v>RESISTOR (RESISTeNCIA ELeTRICA FIXA) PRoPRIO PARA MONTAGEM EM SUPERFÍCIE SMD 5.1Ω 1por cento 200PPM POTeNCIA DE 1/10W 0603 (ref.2010102140)</v>
          </cell>
        </row>
        <row r="3245">
          <cell r="B3245">
            <v>2010104950</v>
          </cell>
          <cell r="D3245">
            <v>20620221</v>
          </cell>
          <cell r="E3245">
            <v>85332120</v>
          </cell>
          <cell r="F3245">
            <v>85332120</v>
          </cell>
          <cell r="H3245" t="str">
            <v>RESISTOR (RESISTeNCIA ELeTRICA FIXA) PRoPRIO PARA MONTAGEM EM SUPERFÍCIE SMD 2kΩ 1por cento 100PPM POTeNCIA DE 1/4W 1206 (ref.2010104950)</v>
          </cell>
        </row>
        <row r="3246">
          <cell r="B3246">
            <v>2030103070</v>
          </cell>
          <cell r="D3246">
            <v>20650147</v>
          </cell>
          <cell r="E3246">
            <v>85045010</v>
          </cell>
          <cell r="F3246" t="str">
            <v>Need to update benefit</v>
          </cell>
          <cell r="H3246" t="str">
            <v>Bobina de auto-inducao (indutor) para montagem em superfície (SMD), de frequencia de 100MHZ, tolerancia de 25%, intensidade de corrente de 400mA, resistencia de 1000Ω, dimensoes 3.2mm de comprimento, 2.5mm de largura e 2mm de altura.</v>
          </cell>
        </row>
        <row r="3247">
          <cell r="B3247">
            <v>2010102150</v>
          </cell>
          <cell r="D3247">
            <v>20620211</v>
          </cell>
          <cell r="E3247">
            <v>85332120</v>
          </cell>
          <cell r="F3247">
            <v>85332120</v>
          </cell>
          <cell r="H3247" t="str">
            <v>RESISTOR (RESISTeNCIA ELeTRICA FIXA) PRoPRIO PARA MONTAGEM EM SUPERFÍCIE SMD 200kΩ 1por cento 100PPM POTeNCIA DE 1/10W 0603 (ref.2010102150)</v>
          </cell>
        </row>
        <row r="3248">
          <cell r="B3248">
            <v>2010102390</v>
          </cell>
          <cell r="D3248">
            <v>20620213</v>
          </cell>
          <cell r="E3248">
            <v>85332120</v>
          </cell>
          <cell r="F3248">
            <v>85332120</v>
          </cell>
          <cell r="H3248" t="str">
            <v>RESISTOR (RESISTeNCIA ELeTRICA FIXA) PRoPRIO PARA MONTAGEM EM SUPERFÍCIE SMD 680Ω 1por cento 100PPM POTeNCIA DE 1/10W 0603 (ref.2010102390)</v>
          </cell>
        </row>
        <row r="3249">
          <cell r="B3249">
            <v>2050102731</v>
          </cell>
          <cell r="D3249">
            <v>20602000</v>
          </cell>
          <cell r="E3249">
            <v>85423120</v>
          </cell>
          <cell r="F3249">
            <v>85423120</v>
          </cell>
          <cell r="H3249" t="str">
            <v>Circuito Integrado eletronico microcontrolador, montado, proprio para montagem em superfície (SMD) R5F513T3ADFL 12kB 64kB 2.7～5.5V LFQFP/48/0.5 (ref.2050102731)</v>
          </cell>
        </row>
        <row r="3250">
          <cell r="B3250">
            <v>2050102741</v>
          </cell>
          <cell r="D3250">
            <v>20602001</v>
          </cell>
          <cell r="E3250">
            <v>85423120</v>
          </cell>
          <cell r="F3250">
            <v>85423120</v>
          </cell>
          <cell r="H3250" t="str">
            <v>Circuito Integrado eletronico microcontrolador, montado, proprio para montagem em superfície (SMD) TMS320F28374SPTPT 132kB 512kB 3.14～3.47V LQFP24×24-176 (ref.2050102741)</v>
          </cell>
        </row>
        <row r="3251">
          <cell r="B3251">
            <v>2051300051</v>
          </cell>
          <cell r="D3251">
            <v>20601800</v>
          </cell>
          <cell r="E3251">
            <v>85423999</v>
          </cell>
          <cell r="F3251">
            <v>85423999</v>
          </cell>
          <cell r="H3251" t="str">
            <v>CIRCUITO INTEGRADO ELETRoNICO TIPO MATRIZ LoGICA PROGRAMaVEL, MONTADO, PRoPRIO PARA MONTAGEM POR INSERcAO PTH 4.5V～5.5V；SOIC-D；RoHS</v>
          </cell>
        </row>
        <row r="3252">
          <cell r="B3252">
            <v>2010500941</v>
          </cell>
          <cell r="D3252">
            <v>20620230</v>
          </cell>
          <cell r="E3252">
            <v>85332120</v>
          </cell>
          <cell r="F3252">
            <v>85332120</v>
          </cell>
          <cell r="H3252" t="str">
            <v>Resistor proprio para montagem em superfície (SMD) DE CERAMICA 0Ω 0;0W 10*3*2mm.</v>
          </cell>
        </row>
        <row r="3253">
          <cell r="B3253">
            <v>2030102411</v>
          </cell>
          <cell r="D3253">
            <v>20650140</v>
          </cell>
          <cell r="E3253">
            <v>85045010</v>
          </cell>
          <cell r="F3253" t="str">
            <v>Need to update benefit</v>
          </cell>
          <cell r="H3253" t="str">
            <v>Bobina de auto-inducao (indutor) 4.7µH para montagem em superfície (SMD), de frequencia de 100kHZ, tolerancia de 20%, intensidade de corrente de 3.10A, resistencia de 52mΩ, dimensoes 5.2mm de comprimento, 5.8mm de largura e 4.8mm de altura.</v>
          </cell>
        </row>
        <row r="3254">
          <cell r="B3254">
            <v>2030102391</v>
          </cell>
          <cell r="D3254">
            <v>20650138</v>
          </cell>
          <cell r="E3254">
            <v>85045010</v>
          </cell>
          <cell r="F3254" t="str">
            <v>Need to update benefit</v>
          </cell>
          <cell r="H3254" t="str">
            <v>Bobina de auto-inducao (indutor) 2.7µH para montagem em superfície (SMD), de frequencia de 100kHZ, tolerancia de 20%, intensidade de corrente de 2.20A, resistencia de 48mΩ, dimensoes 4mm de comprimento, 4.5mm de largura e 3.5mm de altura.</v>
          </cell>
        </row>
        <row r="3255">
          <cell r="B3255">
            <v>2020300311</v>
          </cell>
          <cell r="D3255">
            <v>20672696</v>
          </cell>
          <cell r="E3255">
            <v>85322200</v>
          </cell>
          <cell r="F3255">
            <v>85322200</v>
          </cell>
          <cell r="H3255" t="str">
            <v>CAPACITOR (CONDENSADOR ELeTRICO FIXO) ELETROLÍTICO DE ALUMÍNIO 100.0μF 20por cento 50V 7000h F8*11.5mm/RAD-3.5mm PTH (ref.2020300311)</v>
          </cell>
        </row>
        <row r="3256">
          <cell r="B3256">
            <v>2020501851</v>
          </cell>
          <cell r="D3256">
            <v>20660419</v>
          </cell>
          <cell r="E3256">
            <v>85322590</v>
          </cell>
          <cell r="F3256">
            <v>85322590</v>
          </cell>
          <cell r="H3256" t="str">
            <v>CAPACITOR (CONDENSADOR ELeTRICO FIXO) COM DIELeTRICO DE FILME DE POLIESTER 0.47uF 10por cento 500VAC 32*18*28/27.5mm PTH (ref.2020501851)</v>
          </cell>
        </row>
        <row r="3257">
          <cell r="B3257">
            <v>2021101131</v>
          </cell>
          <cell r="D3257">
            <v>20672698</v>
          </cell>
          <cell r="E3257">
            <v>85322200</v>
          </cell>
          <cell r="F3257">
            <v>85322200</v>
          </cell>
          <cell r="H3257" t="str">
            <v>Capacitor (condensador eletrico fixo) DE ALUMINIO , para montagem PTH 1.0F;5.5V;0.43A;-40～+85℃;18*9*20/11.5mm</v>
          </cell>
        </row>
        <row r="3258">
          <cell r="B3258">
            <v>2020501831</v>
          </cell>
          <cell r="D3258">
            <v>20660418</v>
          </cell>
          <cell r="E3258">
            <v>85322590</v>
          </cell>
          <cell r="F3258">
            <v>85322590</v>
          </cell>
          <cell r="H3258" t="str">
            <v>CAPACITOR (CONDENSADOR ELeTRICO FIXO) COM DIELeTRICO DE FILME DE POLIESTER 0.39uF 5por cento 630VDC 26.5*10.8*19.5/22.5mm PTH (ref.2020501851)</v>
          </cell>
        </row>
        <row r="3259">
          <cell r="B3259">
            <v>2020501861</v>
          </cell>
          <cell r="D3259">
            <v>20660420</v>
          </cell>
          <cell r="E3259">
            <v>85322590</v>
          </cell>
          <cell r="F3259">
            <v>85322590</v>
          </cell>
          <cell r="H3259" t="str">
            <v>CAPACITOR (CONDENSADOR ELeTRICO FIXO) COM DIELeTRICO DE FILME DE POLIESTER  2.0uF 10por cento 1100VDC 32*13*25/27.5mm PTH (ref.2020501861)</v>
          </cell>
        </row>
        <row r="3260">
          <cell r="B3260">
            <v>2041500230</v>
          </cell>
          <cell r="D3260">
            <v>20602103</v>
          </cell>
          <cell r="E3260">
            <v>85423939</v>
          </cell>
          <cell r="F3260">
            <v>85423939</v>
          </cell>
          <cell r="H3260" t="str">
            <v>Circuito integrado eletronico tipo sensor de Efeito Hall, para deteccAo de campos magneticos, montado, proprio para montagem em superfície SMD 40A 4.75～5.25V 600kHz 19*11.5mm (ref.2041500230)</v>
          </cell>
        </row>
        <row r="3261">
          <cell r="B3261">
            <v>2030302370</v>
          </cell>
          <cell r="D3261">
            <v>20650142</v>
          </cell>
          <cell r="E3261">
            <v>85045010</v>
          </cell>
          <cell r="F3261" t="str">
            <v>Need to update benefit</v>
          </cell>
          <cell r="H3261" t="str">
            <v>Bobina de auto-inducao (indutor) de15-40mH, para montagem por insercao (PTH), de frequencia de 1kHz, tolerancia de 10%, intensidade de corrente de 1A, 2.5mΩ de resistencia, de dimensoes de 25mm de comprimento, 25mm de largura e 10mm de altura (2030302370) PTH</v>
          </cell>
        </row>
        <row r="3262">
          <cell r="B3262">
            <v>2020701101</v>
          </cell>
          <cell r="D3262">
            <v>20672592</v>
          </cell>
          <cell r="E3262">
            <v>85322390</v>
          </cell>
          <cell r="F3262" t="str">
            <v>Need to update benefit</v>
          </cell>
          <cell r="H3262" t="str">
            <v>CAPACITOR (CONDENSDOR ELeTRICO FIXO) COM DIELeTRICO DE CERAMICA DE UMA So CAMADA 4.7nF 20por cento 400VAC Y5U 16*6/10mm PTH (ref.2020701101)</v>
          </cell>
        </row>
        <row r="3263">
          <cell r="B3263">
            <v>2010901041</v>
          </cell>
          <cell r="D3263">
            <v>20691816</v>
          </cell>
          <cell r="E3263">
            <v>85334011</v>
          </cell>
          <cell r="F3263">
            <v>85334011</v>
          </cell>
          <cell r="H3263" t="str">
            <v xml:space="preserve">Termistor (RESISTeNCIA ELeTRICA VARIaVEL NAO LINEAR SEMICONDUTORA) NTC 100kΩ 1por cento 4250k±1por cento@25~50℃; 3*5.0mm </v>
          </cell>
        </row>
        <row r="3264">
          <cell r="B3264">
            <v>2020303031</v>
          </cell>
          <cell r="D3264">
            <v>20672697</v>
          </cell>
          <cell r="E3264">
            <v>85322200</v>
          </cell>
          <cell r="F3264">
            <v>85322200</v>
          </cell>
          <cell r="H3264" t="str">
            <v>CAPACITOR (CONDENSADOR ELeTRICO FIXO) ELETROLÍTICO DE ALUMÍNIO 22.0μF 20por cento 50V 5000h F*11mm/RAD-2mm (ref.2020303031)</v>
          </cell>
        </row>
        <row r="3265">
          <cell r="B3265">
            <v>2020700082</v>
          </cell>
          <cell r="D3265">
            <v>20672590</v>
          </cell>
          <cell r="E3265">
            <v>85322390</v>
          </cell>
          <cell r="F3265" t="str">
            <v>Need to update benefit</v>
          </cell>
          <cell r="H3265" t="str">
            <v>CAPACITOR (CONDENSDOR ELeTRICO FIXO) COM DIELeTRICO DE CERAMICA DE UMA So CAMADA 10.0nF 10por cento 1000VAC Y5P 15*4/7.4mm PTH (ref.2020700082)</v>
          </cell>
        </row>
        <row r="3266">
          <cell r="B3266">
            <v>2020701091</v>
          </cell>
          <cell r="D3266">
            <v>20672591</v>
          </cell>
          <cell r="E3266">
            <v>85322390</v>
          </cell>
          <cell r="F3266" t="str">
            <v>Need to update benefit</v>
          </cell>
          <cell r="H3266" t="str">
            <v>CAPACITOR (CONDENSDOR ELeTRICO FIXO) COM DIELeTRICO DE CERAMICA DE UMA So CAMADA 100.0pF 10por cento 400VAC Y5P 7*6/10mm PTH (ref.2020701091)</v>
          </cell>
        </row>
        <row r="3267">
          <cell r="B3267">
            <v>2041500200</v>
          </cell>
          <cell r="D3267">
            <v>20602100</v>
          </cell>
          <cell r="E3267">
            <v>85423939</v>
          </cell>
          <cell r="F3267">
            <v>85423939</v>
          </cell>
          <cell r="H3267" t="str">
            <v>Circuito integrado eletronico tipo sensor de Efeito Hall, para deteccAo de campos magneticos, montado, proprio para montagem em superfície SMD 12.8A 4.75～5.25V 400kHz 27.6*17mm (ref.2041500200)</v>
          </cell>
        </row>
        <row r="3268">
          <cell r="B3268">
            <v>2010500921</v>
          </cell>
          <cell r="D3268">
            <v>20660948</v>
          </cell>
          <cell r="E3268">
            <v>85332190</v>
          </cell>
          <cell r="F3268">
            <v>85332190</v>
          </cell>
          <cell r="H3268" t="str">
            <v>RESISTOR (RESISTENCIA ELeTRICA FIXA) DE FIO CERAMICO 0.82Ω;5por cento;3W 6.5*17mm (ref.2010500921)</v>
          </cell>
        </row>
        <row r="3269">
          <cell r="B3269">
            <v>2020501791</v>
          </cell>
          <cell r="D3269">
            <v>20660415</v>
          </cell>
          <cell r="E3269">
            <v>85322590</v>
          </cell>
          <cell r="F3269">
            <v>85322590</v>
          </cell>
          <cell r="H3269" t="str">
            <v>CAPACITOR (CONDENSADOR ELeTRICO FIXO) COM DIELeTRICO DE FILME DE POLIESTER  6.8μF 10por cento 310VAC 42*35*21mm PTH (ref.2020501791)</v>
          </cell>
        </row>
        <row r="3270">
          <cell r="B3270">
            <v>2051301601</v>
          </cell>
          <cell r="D3270">
            <v>20601801</v>
          </cell>
          <cell r="E3270">
            <v>85423939</v>
          </cell>
          <cell r="F3270">
            <v>85423939</v>
          </cell>
          <cell r="H3270" t="str">
            <v>CIRCUITO INTEGRADO ELETRoNICO TIPO MATRIZ LoGICA PROGRAMaVEL, MONTADO, PRoPRIO PARA MONTAGEM POR INSERcAO PTH 4.5V～5.5V;SOIC-D</v>
          </cell>
        </row>
        <row r="3271">
          <cell r="B3271">
            <v>2050904001</v>
          </cell>
          <cell r="D3271">
            <v>20691656</v>
          </cell>
          <cell r="E3271">
            <v>85423939</v>
          </cell>
          <cell r="F3271">
            <v>85423939</v>
          </cell>
          <cell r="H3271" t="str">
            <v xml:space="preserve">Circuito integrado eletronico tipo conversor de tensAo AC-DC, montado, PARA MONTAGEM EM SUPERFÍCIE SMD AC-DC SOIC-8 </v>
          </cell>
        </row>
        <row r="3272">
          <cell r="B3272">
            <v>2050501681</v>
          </cell>
          <cell r="D3272">
            <v>20602003</v>
          </cell>
          <cell r="E3272">
            <v>85423221</v>
          </cell>
          <cell r="F3272">
            <v>85423221</v>
          </cell>
          <cell r="H3272" t="str">
            <v>CIRCUITO INTEGRADO ELETRoNICO DE MEMoRIA TIPO EEPROM DE CAPACIDADE DE MEMoRIA DE 16 Kbytes 1.7～5.5V IIC SOP8 (ref.2050501681)</v>
          </cell>
        </row>
        <row r="3273">
          <cell r="B3273">
            <v>2051501311</v>
          </cell>
          <cell r="D3273">
            <v>20602301</v>
          </cell>
          <cell r="E3273">
            <v>85423390</v>
          </cell>
          <cell r="F3273" t="str">
            <v>Need to update benefit</v>
          </cell>
          <cell r="H3273" t="str">
            <v>Circuito integrado eletronico tipo amplificador operacional, montado, para montagem em superficie SMD 2.5~36V 2 SOIC-8</v>
          </cell>
        </row>
        <row r="3274">
          <cell r="B3274">
            <v>2051301671</v>
          </cell>
          <cell r="D3274">
            <v>20601802</v>
          </cell>
          <cell r="E3274">
            <v>85423939</v>
          </cell>
          <cell r="F3274">
            <v>85423939</v>
          </cell>
          <cell r="H3274" t="str">
            <v>CIRCUITO INTEGRADO ELETRoNICO TIPO MATRIZ LoGICA PROGRAMaVEL, MONTADO, PRoPRIO PARA MONTAGEM POR INSERcAO PTH 1.8V～5.0V；TSSOP-20</v>
          </cell>
        </row>
        <row r="3275">
          <cell r="B3275">
            <v>2052500480</v>
          </cell>
          <cell r="D3275">
            <v>20691660</v>
          </cell>
          <cell r="E3275">
            <v>85423939</v>
          </cell>
          <cell r="F3275">
            <v>85423939</v>
          </cell>
          <cell r="H3275" t="str">
            <v>Circuito integrado eletronico tipo conversor de tensAo DC-DC, montado, PARA MONTAGEM EM SUPERFÍCIE SMD SGM61430XPS8G/TR/ SOIC-8</v>
          </cell>
        </row>
        <row r="3276">
          <cell r="B3276">
            <v>2050903611</v>
          </cell>
          <cell r="D3276">
            <v>20691655</v>
          </cell>
          <cell r="E3276">
            <v>85423939</v>
          </cell>
          <cell r="F3276">
            <v>85423939</v>
          </cell>
          <cell r="H3276" t="str">
            <v>Circuito integrado eletronico tipo conversor de tensAo AC-DC, montado, PARA MONTAGEM EM SUPERFÍCIE SMD AC-DC SOIC-8</v>
          </cell>
        </row>
        <row r="3277">
          <cell r="B3277">
            <v>2051501041</v>
          </cell>
          <cell r="D3277">
            <v>20602300</v>
          </cell>
          <cell r="E3277">
            <v>85423390</v>
          </cell>
          <cell r="F3277" t="str">
            <v>Need to update benefit</v>
          </cell>
          <cell r="H3277" t="str">
            <v>Circuito integrado eletronico tipo amplificador operacional, montado, para montagem em superficie SMD 3.3-36V；1200uV；2.5MHz；120dB；105dB；2；SOIC-8</v>
          </cell>
        </row>
        <row r="3278">
          <cell r="B3278">
            <v>2050102831</v>
          </cell>
          <cell r="D3278">
            <v>20602002</v>
          </cell>
          <cell r="E3278">
            <v>85423120</v>
          </cell>
          <cell r="F3278">
            <v>85423120</v>
          </cell>
          <cell r="H3278" t="str">
            <v>Circuito Integrado eletronico microcontrolador, montado, proprio para montagem em superfície (SMD) 256kB 512kB 2.6～3.6V SQFP14×14-100 (ref. 2050102831)</v>
          </cell>
        </row>
        <row r="3279">
          <cell r="B3279">
            <v>2020501811</v>
          </cell>
          <cell r="D3279">
            <v>20660416</v>
          </cell>
          <cell r="E3279">
            <v>85322590</v>
          </cell>
          <cell r="F3279">
            <v>85322590</v>
          </cell>
          <cell r="H3279" t="str">
            <v>CAPACITOR (CONDENSADOR ELeTRICO FIXO) COM DIELeTRICO DE FILME DE POLIESTER 15.0uF 10por cento 1100VDC 42.5*24*50/37.5*12.7mm PTH (ref.2020501811)</v>
          </cell>
        </row>
        <row r="3280">
          <cell r="B3280">
            <v>2031100620</v>
          </cell>
          <cell r="D3280">
            <v>20650143</v>
          </cell>
          <cell r="E3280">
            <v>85045090</v>
          </cell>
          <cell r="F3280" t="str">
            <v>Need to update benefit</v>
          </cell>
          <cell r="H3280" t="str">
            <v>Bobina de auto-inducao (indutor )de fio enrolado de alta potencia 4.8mH para montagem por insercao (PTH), de frequencia de 1HZ, intensidade de corrente de 40A, resistencia de 2.0mΩ, dimensoes 58mm de comprimento, 34mm de largura e 59mm de altura.</v>
          </cell>
        </row>
        <row r="3281">
          <cell r="B3281">
            <v>2020501821</v>
          </cell>
          <cell r="D3281">
            <v>20660417</v>
          </cell>
          <cell r="E3281">
            <v>85322590</v>
          </cell>
          <cell r="F3281">
            <v>85322590</v>
          </cell>
          <cell r="H3281" t="str">
            <v>CAPACITOR (CONDENSADOR ELeTRICO FIXO) COM DIELeTRICO DE FILME DE POLIESTER 8.0uF 10por cento 380VAC 650VDC 42.5*26*42/37.5mm PTH (ref.2020501821)</v>
          </cell>
        </row>
        <row r="3282">
          <cell r="B3282">
            <v>2031100710</v>
          </cell>
          <cell r="D3282">
            <v>20650145</v>
          </cell>
          <cell r="E3282">
            <v>85045010</v>
          </cell>
          <cell r="F3282" t="str">
            <v>Need to update benefit</v>
          </cell>
          <cell r="H3282" t="str">
            <v>Bobina de auto-inducao (indutor) de 0μH, para montagem por insercao (PTH), de frequencia de 32kHz, tolerancia de 10%, intensidade de corrente de 40A, &lt;10mΩ de resistencia, de dimensoes de 3 mm de comprimento, 3 mm de largura e 12.5 mm de altura (2031100710) PTH</v>
          </cell>
        </row>
        <row r="3283">
          <cell r="B3283">
            <v>2040901421</v>
          </cell>
          <cell r="D3283">
            <v>20600611</v>
          </cell>
          <cell r="E3283">
            <v>85364900</v>
          </cell>
          <cell r="F3283" t="str">
            <v>Need to update benefit</v>
          </cell>
          <cell r="H3283" t="str">
            <v>MINI RELe MONOESTAVEL AZSR143-1AE-12D(103) PTH (ref.2040901421)</v>
          </cell>
        </row>
        <row r="3284">
          <cell r="B3284">
            <v>2040901401</v>
          </cell>
          <cell r="D3284">
            <v>20600610</v>
          </cell>
          <cell r="E3284">
            <v>85364900</v>
          </cell>
          <cell r="F3284" t="str">
            <v>Need to update benefit</v>
          </cell>
          <cell r="H3284" t="str">
            <v>MINI RELe MONOESTAVEL 3A 30VDC 4A 12VDC 15*7.5*9.5mM PTH (ref.2040901401)</v>
          </cell>
        </row>
        <row r="3285">
          <cell r="B3285">
            <v>2041500220</v>
          </cell>
          <cell r="D3285">
            <v>20602102</v>
          </cell>
          <cell r="E3285">
            <v>85423939</v>
          </cell>
          <cell r="F3285">
            <v>85423939</v>
          </cell>
          <cell r="H3285" t="str">
            <v>Circuito integrado eletronico tipo sensor de Efeito Hall, para deteccAo de campos magneticos, montado, proprio para montagem em superfície SMD 50A 4.75～5.25V 400kHz 22.9*15.9mm (ref.2041500220)</v>
          </cell>
        </row>
        <row r="3286">
          <cell r="B3286">
            <v>2041101790</v>
          </cell>
          <cell r="D3286">
            <v>20640728</v>
          </cell>
          <cell r="E3286">
            <v>85414121</v>
          </cell>
          <cell r="F3286">
            <v>85414121</v>
          </cell>
          <cell r="H3286" t="str">
            <v>Diodos emissores de luz (LED) proprios para montagem em superfície SMD  3.3V 30.0mA 450MCD 0805D (ref.2041101790)</v>
          </cell>
        </row>
        <row r="3287">
          <cell r="B3287">
            <v>2041100321</v>
          </cell>
          <cell r="D3287">
            <v>20640726</v>
          </cell>
          <cell r="E3287">
            <v>85414121</v>
          </cell>
          <cell r="F3287">
            <v>85414121</v>
          </cell>
          <cell r="H3287" t="str">
            <v>Diodos emissores de luz (LED) proprios para montagem em superfície SMD 2.0V 30.0mA 35MCD 0805D (ref.2041100321)</v>
          </cell>
        </row>
        <row r="3288">
          <cell r="B3288">
            <v>2041100231</v>
          </cell>
          <cell r="D3288">
            <v>20640725</v>
          </cell>
          <cell r="E3288">
            <v>85414121</v>
          </cell>
          <cell r="F3288">
            <v>85414121</v>
          </cell>
          <cell r="H3288" t="str">
            <v>Diodos emissores de luz (LED) proprios para montagem em superfície SMD 2.7～3.15V 20.0mA 45～180MCD 0603D (ref.2041100231)</v>
          </cell>
        </row>
        <row r="3289">
          <cell r="B3289">
            <v>2041101780</v>
          </cell>
          <cell r="D3289">
            <v>20640727</v>
          </cell>
          <cell r="E3289">
            <v>85414121</v>
          </cell>
          <cell r="F3289">
            <v>85414121</v>
          </cell>
          <cell r="H3289" t="str">
            <v>Diodos emissores de luz (LED) proprios para montagem em superfície SMD  2.7～3.1V 20.0mA 45～112MCD  0805D (ref.2041101780)</v>
          </cell>
        </row>
        <row r="3290">
          <cell r="B3290">
            <v>2052500310</v>
          </cell>
          <cell r="D3290">
            <v>20691658</v>
          </cell>
          <cell r="E3290">
            <v>85423939</v>
          </cell>
          <cell r="F3290">
            <v>85423939</v>
          </cell>
          <cell r="H3290" t="str">
            <v>Circuito integrado eletronico tipo conversor de tensAo DC-DC, montado, PARA MONTAGEM EM SUPERFÍCIE SMD 4.5~17V 4.2A 650kHz SOT23-6 (ref.2052500310)</v>
          </cell>
        </row>
        <row r="3291">
          <cell r="B3291">
            <v>2020105110</v>
          </cell>
          <cell r="D3291">
            <v>20672578</v>
          </cell>
          <cell r="E3291">
            <v>85322310</v>
          </cell>
          <cell r="F3291" t="str">
            <v>Not applicable</v>
          </cell>
          <cell r="G3291">
            <v>85322310</v>
          </cell>
          <cell r="H3291" t="str">
            <v>CAPACITOR (CONDENSDOR ELeTRICO FIXO) COM DIELeTRICO DE CERAMICA DE UMA So CAMADA  PRoPRIO PARA MONTAGEM EM SUPERFÍCIE SMD 2.2μF 10por cento 16V X7R 0805 (ref.2020105110)</v>
          </cell>
        </row>
        <row r="3292">
          <cell r="B3292">
            <v>2010104790</v>
          </cell>
          <cell r="D3292">
            <v>20620220</v>
          </cell>
          <cell r="E3292">
            <v>85332120</v>
          </cell>
          <cell r="F3292">
            <v>85332120</v>
          </cell>
          <cell r="H3292" t="str">
            <v>RESISTOR (RESISTeNCIA ELeTRICA FIXA) PRoPRIO PARA MONTAGEM EM SUPERFÍCIE SMD 15Ω 1por cento 100PPM POTeNCIA DE 1/4W 1206 (ref.2010104790)</v>
          </cell>
        </row>
        <row r="3293">
          <cell r="B3293">
            <v>2010101260</v>
          </cell>
          <cell r="D3293">
            <v>20620209</v>
          </cell>
          <cell r="E3293">
            <v>85332120</v>
          </cell>
          <cell r="F3293">
            <v>85332120</v>
          </cell>
          <cell r="H3293" t="str">
            <v>RESISTOR (RESISTeNCIA ELeTRICA FIXA) PRoPRIO PARA MONTAGEM EM SUPERFÍCIE SMD 3.9kΩ 5por cento 100PPM POTeNCIA DE 1/10W 0603 (ref.2010101260)</v>
          </cell>
        </row>
        <row r="3294">
          <cell r="B3294">
            <v>2052500330</v>
          </cell>
          <cell r="D3294">
            <v>20691659</v>
          </cell>
          <cell r="E3294">
            <v>85423939</v>
          </cell>
          <cell r="F3294">
            <v>85423939</v>
          </cell>
          <cell r="H3294" t="str">
            <v>Circuito integrado eletronico tipo conversor de tensAo DC-DC, montado, DC-DC PARA MONTAGEM EM SUPERFÍCIE SMD 4.5~28V 3.4A 410kHz TSOT23-6 (ref.2052500330)</v>
          </cell>
        </row>
        <row r="3295">
          <cell r="B3295">
            <v>2052500150</v>
          </cell>
          <cell r="D3295">
            <v>20691657</v>
          </cell>
          <cell r="E3295">
            <v>85423939</v>
          </cell>
          <cell r="F3295">
            <v>85423939</v>
          </cell>
          <cell r="H3295" t="str">
            <v>Circuito integrado eletronico tipo conversor de tensAo DC-DC, montado, PARA MONTAGEM EM SUPERFÍCIE SMD 2.5～5.5V 1A 1.6MHz TSOT23-5 (ref.2052500150)</v>
          </cell>
        </row>
        <row r="3296">
          <cell r="B3296">
            <v>2060301291</v>
          </cell>
          <cell r="D3296">
            <v>20680301</v>
          </cell>
          <cell r="E3296">
            <v>85411029</v>
          </cell>
          <cell r="F3296">
            <v>85411029</v>
          </cell>
          <cell r="H3296" t="str">
            <v>DISPOSITIVO SEMICONDUTOR TIPO DIODO TVS, MONTADO, PRoPRIO PARA MONTAGEM EM SUPERFÍCIE SMD, DE CORRENTE 63A 600.0W 5.0W 9.6V SMB</v>
          </cell>
        </row>
        <row r="3297">
          <cell r="B3297">
            <v>2030102401</v>
          </cell>
          <cell r="D3297">
            <v>20650139</v>
          </cell>
          <cell r="E3297">
            <v>85045010</v>
          </cell>
          <cell r="F3297" t="str">
            <v>Need to update benefit</v>
          </cell>
          <cell r="H3297" t="str">
            <v>Bobina de auto-inducao (indutor) 22µH para montagem em superfície (SMD), de frequencia de 100kHZ, tolerancia de 20%, intensidade de corrente de 2.40A, resistencia de 74mΩ, dimensoes 8mm de comprimento, 8mm de largura e 4.2mm de altura.</v>
          </cell>
        </row>
        <row r="3298">
          <cell r="B3298">
            <v>2060501141</v>
          </cell>
          <cell r="D3298">
            <v>20630815</v>
          </cell>
          <cell r="E3298">
            <v>85411021</v>
          </cell>
          <cell r="F3298">
            <v>85411021</v>
          </cell>
          <cell r="H3298" t="str">
            <v>DISPOSITIVO SEMICONDUTOR TIPO DIODO ZENER, MONTADO, PRoPRIO PARA MONTAGEM EM SUPERFÍCIE SMD 18V 5por cento 1W MLL41 (ref.2060501141)</v>
          </cell>
        </row>
        <row r="3299">
          <cell r="B3299">
            <v>2031100840</v>
          </cell>
          <cell r="D3299">
            <v>20650146</v>
          </cell>
          <cell r="E3299">
            <v>85045090</v>
          </cell>
          <cell r="F3299" t="str">
            <v>Need to update benefit</v>
          </cell>
          <cell r="H3299" t="str">
            <v>Bobina de auto-inducao de fio enrolado de alta potencia (indutor) 600μH para montagem por insercao (PTH), tolerancia de 10%, de frequencia de 32kHZ, intensidade de corrente de 40A, resistencia de  23mΩ, dimensoes 446mm de comprimento, 106mm de largura e 87mm de altura.</v>
          </cell>
        </row>
        <row r="3300">
          <cell r="B3300">
            <v>2020104740</v>
          </cell>
          <cell r="D3300">
            <v>20672593</v>
          </cell>
          <cell r="E3300">
            <v>85322410</v>
          </cell>
          <cell r="F3300" t="str">
            <v>Not applicable</v>
          </cell>
          <cell r="G3300">
            <v>85322410</v>
          </cell>
          <cell r="H3300" t="str">
            <v>Capacitor (CONDENSADOR ELeTRICO FIXO) Com dieletrico de cerAmica, de camadas multiplas, proprios para montagem em superfície SMD; CapacitAncia 3.3nF; TensAo nominal 50Vdc; TolerAncia 10por cento; Encapsulamento 0402</v>
          </cell>
        </row>
        <row r="3301">
          <cell r="B3301">
            <v>2051901440</v>
          </cell>
          <cell r="D3301">
            <v>20601900</v>
          </cell>
          <cell r="E3301">
            <v>85423120</v>
          </cell>
          <cell r="F3301">
            <v>85423120</v>
          </cell>
          <cell r="H3301" t="str">
            <v>Circuitos integrados eletronicos tipo chip comunicacAo RF, montados, proprios para montagem em superfície (SMD - Surface Mounted Device) QFN28, modelo de microprocessador de QFN6X6-28; frequencia  de clock (MHz) 137~960MHz; 256b RAM; 1.8~3.7V; 120mA</v>
          </cell>
        </row>
        <row r="3302">
          <cell r="B3302">
            <v>2090104380</v>
          </cell>
          <cell r="D3302">
            <v>20661961</v>
          </cell>
          <cell r="E3302">
            <v>85369090</v>
          </cell>
          <cell r="F3302">
            <v>85369090</v>
          </cell>
          <cell r="H3302" t="str">
            <v>Conector header femea para conexAo circuito eletrico com tensAo aproximada entre 0V e 20V, espacamento 2,54mm  para montagem PTH 2x5&amp;2</v>
          </cell>
        </row>
        <row r="3303">
          <cell r="B3303">
            <v>2090105560</v>
          </cell>
          <cell r="D3303">
            <v>20661962</v>
          </cell>
          <cell r="E3303">
            <v>85369090</v>
          </cell>
          <cell r="F3303">
            <v>85369090</v>
          </cell>
          <cell r="H3303" t="str">
            <v>Conector header femea para conexAo circuito eletrico com tensAo aproximada entre 0V e 20V, espacamento 2,54mm para montagem PTH 1x2&amp;2</v>
          </cell>
        </row>
        <row r="3304">
          <cell r="B3304">
            <v>2090105660</v>
          </cell>
          <cell r="D3304">
            <v>20661963</v>
          </cell>
          <cell r="E3304">
            <v>85369090</v>
          </cell>
          <cell r="F3304">
            <v>85369090</v>
          </cell>
          <cell r="H3304" t="str">
            <v>Conector header femea para conexAo circuito eletrico com tensAo aproximada entre 0V e 20V, espacamento 2,54mm com montagem PTH 1x2&amp;1</v>
          </cell>
        </row>
        <row r="3305">
          <cell r="B3305">
            <v>2140103350</v>
          </cell>
          <cell r="D3305">
            <v>20643005</v>
          </cell>
          <cell r="E3305">
            <v>85177190</v>
          </cell>
          <cell r="F3305">
            <v>85177190</v>
          </cell>
          <cell r="H3305" t="str">
            <v>Antena de comunicacAo do tipo mola, com ganho de 1.5dBi; frequencia de 868-915MHz; Φ5*29.56mm; 50 ohms; parte para uso no medidor de energia Zeus NG.</v>
          </cell>
        </row>
        <row r="3306">
          <cell r="B3306">
            <v>2150157790</v>
          </cell>
          <cell r="D3306">
            <v>20661766</v>
          </cell>
          <cell r="E3306">
            <v>85340033</v>
          </cell>
          <cell r="F3306" t="str">
            <v>Not applicable</v>
          </cell>
          <cell r="G3306">
            <v>85340033</v>
          </cell>
          <cell r="H3306" t="str">
            <v>PLACA DE CIRCUITO IMPRESSO, DE NATUREZA DO MATERIAL BASE RIGIDO, COMPOSICAO DA PLACA DE ISOLANTE DE RESINA EPOXIDA E TECIDO DE FIBRA DE VIDRO, ESTRUTURA DE DUPLA FACE E INTERLIGACAO ENTRE FACES POR FUROS METALIZADOS; DIMENSOES 204MM X 145MM X 1.6MM/30 NAO-ROH</v>
          </cell>
        </row>
        <row r="3307">
          <cell r="B3307">
            <v>2150165820</v>
          </cell>
          <cell r="D3307">
            <v>20661767</v>
          </cell>
          <cell r="E3307">
            <v>85340033</v>
          </cell>
          <cell r="F3307" t="str">
            <v>Not applicable</v>
          </cell>
          <cell r="G3307">
            <v>85340033</v>
          </cell>
          <cell r="H3307" t="str">
            <v>PLACA DE CIRCUITO IMPRESSO, DE NATUREZA DO MATERIAL BASE RÍGIDO, COMPOSIcAO DA PLACA DE ISOLANTE DE RESINA EPoXIDA E TECIDO DE FIBRA DE VIDRO, ESTRUTURA DE DUPLA FACE E INTERLIGAcAO ENTRE FACES POR FUROS METALIZADOS; dimensoes 247.0mm x 236.0mm x 1.6mm/4 nAo-RoHS</v>
          </cell>
        </row>
        <row r="3308">
          <cell r="B3308">
            <v>2150165830</v>
          </cell>
          <cell r="D3308">
            <v>20661768</v>
          </cell>
          <cell r="E3308">
            <v>85340033</v>
          </cell>
          <cell r="F3308" t="str">
            <v>Not applicable</v>
          </cell>
          <cell r="G3308">
            <v>85340033</v>
          </cell>
          <cell r="H3308" t="str">
            <v xml:space="preserve">PLACA DE CIRCUITO IMPRESSO, DE NATUREZA DO MATERIAL BASE RÍGIDO, COMPOSIcAO DA PLACA DE ISOLANTE DE RESINA EPoXIDA E TECIDO DE FIBRA DE VIDRO, ESTRUTURA DE DUPLA FACE E INTERLIGAcAO ENTRE FACES POR FUROS METALIZADOS; dimensoes 310.33mm x 167.13mm x 1.6mm/2 nAo-RoHS </v>
          </cell>
        </row>
        <row r="3309">
          <cell r="B3309">
            <v>2150165850</v>
          </cell>
          <cell r="D3309">
            <v>20661769</v>
          </cell>
          <cell r="E3309">
            <v>85340033</v>
          </cell>
          <cell r="F3309" t="str">
            <v>Not applicable</v>
          </cell>
          <cell r="G3309">
            <v>85340033</v>
          </cell>
          <cell r="H3309" t="str">
            <v>PLACA DE CIRCUITO IMPRESSO, DE NATUREZA DO MATERIAL BASE RÍGIDO, COMPOSIcAO DA PLACA DE ISOLANTE DE RESINA EPoXIDA E TECIDO DE FIBRA DE VIDRO, ESTRUTURA DE DUPLA FACE E INTERLIGAcAO ENTRE FACES POR FUROS METALIZADOS; dimensoes 247.0mm x 235.0mm x 1.6mm/4 nAo-RoHS</v>
          </cell>
        </row>
        <row r="3310">
          <cell r="B3310">
            <v>5051600600</v>
          </cell>
          <cell r="D3310">
            <v>20600802</v>
          </cell>
          <cell r="E3310">
            <v>85364100</v>
          </cell>
          <cell r="F3310">
            <v>85364100</v>
          </cell>
          <cell r="G3310">
            <v>85364100</v>
          </cell>
          <cell r="H3310" t="str">
            <v>RELe DE TENSAO 12V, FORMA CONSTRUTIVO ELETROMECANICO TRIFaSICO,COM BLINDAGEM, COM TRANSFORMADOR DE CORRENTE ACOPLADO EM CADA FASE, ALIMENTAcAO DE 12VDC, TENSAO DE CHAVEAMENTO DE 250 VAC E CORRENTE ELeTRICA DE ATe 120A POR FASE DE PESO APROXIMADO 490 A 500 gramas</v>
          </cell>
        </row>
        <row r="3311">
          <cell r="B3311">
            <v>3990033540</v>
          </cell>
          <cell r="D3311" t="str">
            <v>pending</v>
          </cell>
          <cell r="E3311">
            <v>85444900</v>
          </cell>
          <cell r="F3311" t="str">
            <v>Not applicable</v>
          </cell>
          <cell r="H3311" t="str">
            <v>CABO CONDUTOR ELETRICO DE CARREGAMENTO VEICULAR MUNIDO DE PEcA DE CONEXAO VEICULAR TIPO2/TIPO2, PARA APLICAcAO EM TENSAO DE 380V, CORRENTE DE 32A, 5 METROS DE COMPRIMENTO.</v>
          </cell>
        </row>
        <row r="3312">
          <cell r="B3312">
            <v>3990034170</v>
          </cell>
          <cell r="D3312" t="str">
            <v>pending</v>
          </cell>
          <cell r="E3312">
            <v>73181500</v>
          </cell>
          <cell r="F3312" t="str">
            <v>Not applicable</v>
          </cell>
          <cell r="G3312">
            <v>73181500</v>
          </cell>
          <cell r="H3312" t="str">
            <v>Parafuso tipo combinado dimensAo M3x16mm, artigo roscado, de materia-prima base em Aco baixo carbono (1022), de processo de fabricacAo por usinagem e acabamento superficial zinco amarelo, Cabeca cilíndrica com fenda cruzada e diAmetro de 7mm;</v>
          </cell>
        </row>
        <row r="3313">
          <cell r="B3313">
            <v>4040300630</v>
          </cell>
          <cell r="D3313" t="str">
            <v>pending</v>
          </cell>
          <cell r="E3313">
            <v>48219000</v>
          </cell>
          <cell r="F3313" t="str">
            <v>Not applicable</v>
          </cell>
          <cell r="H3313" t="str">
            <v xml:space="preserve">Etiquetas de papel, adesivas, nAo impressas, de cor cinza </v>
          </cell>
        </row>
        <row r="3314">
          <cell r="B3314">
            <v>5210200889</v>
          </cell>
          <cell r="C3314">
            <v>5210200889</v>
          </cell>
          <cell r="E3314">
            <v>90289090</v>
          </cell>
          <cell r="F3314" t="str">
            <v>Not applicable</v>
          </cell>
          <cell r="G3314">
            <v>90289090</v>
          </cell>
          <cell r="H3314" t="str">
            <v>TUBO (CARCACA) DE LATAO A BASE DE COBREZINCO, COM RETIFICADOR DE FLUXO, Q3 10M3H, MONTADO, INCLUI 1 PAR DE TRANSDUTORES, 1 PLACA DE PRESSAO METALICA, 4 PARAFUSOS M4X8 E 2 ANEIS DE VEDACAO, PARA USO EM HIDROMETROS (CONTADORES DE LIQUIDOS) RESIDENCIAIS COM SECAO DE TRANSVERSAL DE 25mm E COMPRIMENTO DE 260mm.</v>
          </cell>
        </row>
        <row r="3315">
          <cell r="B3315">
            <v>5210200819</v>
          </cell>
          <cell r="C3315">
            <v>5210200819</v>
          </cell>
          <cell r="E3315">
            <v>39269090</v>
          </cell>
          <cell r="G3315">
            <v>39269090</v>
          </cell>
          <cell r="H3315" t="str">
            <v>TUBO (CARCACA) DE PLASTICO COMPOSITE, NAO ALETADO NEM RANHURADO, PARA USO EM HIDROMETROS (CONTADORES DE LÍQUIDOS) RESIDENCIAIS COM SECAO DE TRANSVERSAL DE 15mm E COMPRIMENTO DE 165mm.</v>
          </cell>
        </row>
        <row r="3316">
          <cell r="B3316">
            <v>5210200610</v>
          </cell>
          <cell r="C3316">
            <v>5210200610</v>
          </cell>
          <cell r="E3316">
            <v>90289090</v>
          </cell>
          <cell r="F3316" t="str">
            <v>Need to update benefit</v>
          </cell>
          <cell r="G3316">
            <v>90289090</v>
          </cell>
          <cell r="H3316" t="str">
            <v>TUBO DE COBRE (CARCACA) A BASE DE COBREZINCO (LATAO), COM RETIFICADOR DE FLUXO, MONTADO, PARA USO EM HIDROMETROS (CONTADORES DE LIQUIDOS) RESIDENCIAIS COM SECAO DE TRANSVERSAL DE 20mm E COMPRIMENTO DE 190mm. (REF.5210200610)</v>
          </cell>
        </row>
        <row r="3317">
          <cell r="B3317">
            <v>5210200330</v>
          </cell>
          <cell r="D3317">
            <v>40242351</v>
          </cell>
          <cell r="E3317">
            <v>90289090</v>
          </cell>
          <cell r="F3317" t="str">
            <v>Need to update benefit</v>
          </cell>
          <cell r="G3317">
            <v>90289090</v>
          </cell>
          <cell r="H3317" t="str">
            <v>TUBO DE COBRE (CARCACA) A BASE DE COBREZINCO (LATAO), MONTADO, PARA USO EM HIDROMETROS (CONTADORES DE LIQUIDOS) RESIDENCIAIS COM SECAO DE TRANSVERSAL DE 15mm E COMPRIMENTO DE 165mm.</v>
          </cell>
        </row>
        <row r="3318">
          <cell r="B3318">
            <v>4040201430</v>
          </cell>
          <cell r="D3318">
            <v>20547020</v>
          </cell>
          <cell r="E3318">
            <v>90289090</v>
          </cell>
          <cell r="F3318" t="str">
            <v>Need to update benefit</v>
          </cell>
          <cell r="H3318" t="str">
            <v>TUBO FLEXÍVEL DE ACO INOXIDAVEL DE DIAMETRO 10MM PARA PROTECAO DE CABOS DESTINADOS A COMUNICACAO DE MEDIDORES DE AGUA (CONTADORES DE LIQUIDOS). OUTRAS PARTES E ACESSORIOS PARA CONTADORES DE LIQUIDOS.</v>
          </cell>
        </row>
        <row r="3319">
          <cell r="B3319">
            <v>4032500690</v>
          </cell>
          <cell r="D3319">
            <v>102802</v>
          </cell>
          <cell r="E3319">
            <v>90319010</v>
          </cell>
          <cell r="F3319" t="str">
            <v>Not applicable</v>
          </cell>
          <cell r="G3319">
            <v>90319010</v>
          </cell>
          <cell r="H3319" t="str">
            <v>DISPOSITIVO PARA TESTE FUNCIONAL (FCT) DE PLACAS ELETRONICAS, PARTE PARA USO EM BANCADA DE ENSAIO DE TESTES DE CONTADORES (4032500690).</v>
          </cell>
        </row>
        <row r="3320">
          <cell r="B3320">
            <v>4032500370</v>
          </cell>
          <cell r="D3320">
            <v>103111</v>
          </cell>
          <cell r="E3320">
            <v>70200090</v>
          </cell>
          <cell r="F3320" t="str">
            <v>Not applicable</v>
          </cell>
          <cell r="G3320">
            <v>70200090</v>
          </cell>
          <cell r="H3320" t="str">
            <v>BANDEJA DE FIBRA DE VIDRO PARA USO EM FORNO DE SOLDAGEM DE COMPONENTES ELETRONICOS PARA MEDIDORES DE AGUA RESIDENCIAL (4032500370)</v>
          </cell>
        </row>
        <row r="3321">
          <cell r="B3321">
            <v>4032500550</v>
          </cell>
          <cell r="D3321">
            <v>103112</v>
          </cell>
          <cell r="E3321">
            <v>70200090</v>
          </cell>
          <cell r="F3321" t="str">
            <v>Not applicable</v>
          </cell>
          <cell r="G3321">
            <v>70200090</v>
          </cell>
          <cell r="H3321" t="str">
            <v>TAMPA DE BANDEJA DE FIBRA DE VIDRO PARA USO EM FORNO DE SOLDAGEM DE COMPONENTES ELETRONICOS (4032500550)</v>
          </cell>
        </row>
        <row r="3322">
          <cell r="B3322">
            <v>3142800010</v>
          </cell>
          <cell r="D3322">
            <v>20603000</v>
          </cell>
          <cell r="E3322">
            <v>90289090</v>
          </cell>
          <cell r="H3322" t="str">
            <v>TRANSDUTOR PIEZOELETRICO 2 MHZ PARTE PARA MONTAGEM EM HIDROMETROS (CONTADORES DE LÍQUIDO) RESIDENCIAIS (DN15; DN20; DN25) PARA MEDICAO DE VAZAO.</v>
          </cell>
        </row>
        <row r="3323">
          <cell r="B3323">
            <v>2020303580</v>
          </cell>
          <cell r="D3323">
            <v>20660668</v>
          </cell>
          <cell r="E3323">
            <v>85322200</v>
          </cell>
          <cell r="F3323">
            <v>85322200</v>
          </cell>
          <cell r="G3323">
            <v>85322200</v>
          </cell>
          <cell r="H3323" t="str">
            <v>Capacitor (CONDENSADOR ELeTRICO FIXO)  eletrolítico de alumínio para montagem PTH; CapacitAncia 10uF; TensAo nominal 400Vdc; TolerAncia 20por cento; Terminal radial; DiAmetro 5mm; Comprimento 16mm</v>
          </cell>
        </row>
        <row r="3324">
          <cell r="B3324">
            <v>5111201110</v>
          </cell>
          <cell r="D3324">
            <v>40290961</v>
          </cell>
          <cell r="E3324">
            <v>73259910</v>
          </cell>
          <cell r="F3324">
            <v>73259910</v>
          </cell>
          <cell r="G3324">
            <v>73259910</v>
          </cell>
          <cell r="H3324" t="str">
            <v>Gabinete metalico (P60) aco inox(SUS201, instalado com bateria 12AH, dimensoes 300 * 300 * 250 mm) (5111201110)</v>
          </cell>
        </row>
        <row r="3325">
          <cell r="B3325" t="str">
            <v>2120306930L</v>
          </cell>
          <cell r="D3325">
            <v>103224</v>
          </cell>
          <cell r="E3325">
            <v>85241100</v>
          </cell>
          <cell r="G3325">
            <v>85241100</v>
          </cell>
          <cell r="H3325" t="str">
            <v>MoDULO DE VISUALIZAcAO DE TELA (eCRA) PLANA (DISPLAY) DE CRISTAL LÍQUIDO (LCD) SEM CONTROLADOR (DRIVERS) NEM CIRCUITOS DE CONTROLE  3HTN;49.5*16.2mm 3.4V 6*12;26mm PTH  para apresentacAo de Codigo, valor e unidade de Energia e demais grandezas exibidas, apresentacAo de símbolos indicadores de tarifa corrente, quadrande de energia, Bateria Fraca, LCD - Modo Alternativo, Horario de VerAo, Alarmes 105C</v>
          </cell>
        </row>
        <row r="3326">
          <cell r="B3326" t="str">
            <v>HXAP1000R31002</v>
          </cell>
          <cell r="D3326">
            <v>20611215</v>
          </cell>
          <cell r="E3326">
            <v>85176241</v>
          </cell>
          <cell r="G3326">
            <v>85176241</v>
          </cell>
          <cell r="H3326" t="str">
            <v>Roteadores de borda, para comunicacAo de dados, compatíveis com o padrAo WiSUN e IEEE802.15.4g, capazes de operar na faixa ISM de 902 a 928 MHz em redes de topologia "Mesh" ou "Estrela" com espalhamento espectral por salto em frequencia (FHSS), enderecamento IPv6 e potencia de transmissAo de ate +30 dBm,  possuindo interface de comunicacAo fast ethernet, possuindo ainda, alimentacAo "full-range" 85 ~ 336 VAC</v>
          </cell>
        </row>
        <row r="3327">
          <cell r="B3327" t="str">
            <v>MJN53R31404</v>
          </cell>
          <cell r="D3327">
            <v>20611220</v>
          </cell>
          <cell r="E3327">
            <v>85176272</v>
          </cell>
          <cell r="H3327" t="str">
            <v>Modulos de comunicacAo bidirecional de dados sem fio (recepcAo, conversAo e transmissAo), digitais, emissores de radio frequencia com receptor incorporado, capazes de operar na faixa ISM de frequencias 902 a 928 MHz, com taxa de transmissAo de ate 150 Kbps, para medidores (contadores) inteligentes de energia eletrica</v>
          </cell>
        </row>
        <row r="3328">
          <cell r="B3328" t="str">
            <v>BLF-B48150</v>
          </cell>
          <cell r="D3328">
            <v>20692035</v>
          </cell>
          <cell r="E3328">
            <v>85076000</v>
          </cell>
          <cell r="F3328" t="str">
            <v>Not applicable</v>
          </cell>
          <cell r="G3328">
            <v>85076000</v>
          </cell>
          <cell r="H3328" t="str">
            <v>Modulos de acumuladores eletricos de íons de lítio, com sistemas de monitoramento de baterias (BMS), para aplicacAo em sistemas de armazenamento de energia, estacionarios ou tracionarios, apresentados em involucro ou gabinete unico, com tensAo nominal de 48V - de forma retangular, marca Livoltek, modelo BLF-B48150, ano de fabricacAo YYYY, numeros de serie de XXXXX a YYYYY, de volume exterior aproximado de 30.688,06cm³, com classe de protecAo IP20 e capacidade de 6.48kWh. Maxima corrente de carregamento e descarregamento de 100A e 6000 ciclos de vida util (BLF-B48150)</v>
          </cell>
        </row>
        <row r="3329">
          <cell r="B3329" t="str">
            <v xml:space="preserve">
7020704200</v>
          </cell>
          <cell r="D3329">
            <v>89778</v>
          </cell>
          <cell r="E3329">
            <v>84798999</v>
          </cell>
          <cell r="F3329" t="str">
            <v>Not applicable</v>
          </cell>
          <cell r="H3329" t="str">
            <v>Maquinas de parafusamento automatico programaveis, controladas por PLC (Controles Logicos Programaveis), com modulos de parafusamento automatico de quatro eixos, com capacidade para duplo parafusamento m6 rachurados e cruzados para medidores 3P, com alimentacAo por bandeja vibratoria, com sensor de torque para deteccAo de defeitos, com sistema de controle manual, com cabecotes de troca rapida</v>
          </cell>
        </row>
        <row r="3330">
          <cell r="B3330">
            <v>7020704210</v>
          </cell>
          <cell r="D3330">
            <v>89778</v>
          </cell>
          <cell r="E3330">
            <v>84798999</v>
          </cell>
          <cell r="F3330" t="str">
            <v>Not applicable</v>
          </cell>
          <cell r="H3330" t="str">
            <v>Maquinas de parafusamento automatico programaveis, controladas por PLC (Controles Logicos Programaveis), com modulos de parafusamento automatico de quatro eixos, com capacidade para duplo parafusamento m6 rachurados e cruzados para medidores 1P, com alimentacAo por bandeja vibratoria, com sensor de torque para deteccAo de defeitos, com sistema de controle manual, com cabecotes de troca rapida</v>
          </cell>
        </row>
        <row r="3331">
          <cell r="B3331">
            <v>4032500450</v>
          </cell>
          <cell r="C3331">
            <v>4032500450</v>
          </cell>
          <cell r="D3331" t="str">
            <v>NA</v>
          </cell>
          <cell r="E3331">
            <v>70199000</v>
          </cell>
          <cell r="F3331" t="str">
            <v>Not applicable</v>
          </cell>
          <cell r="H3331" t="str">
            <v>Bandeja de fibra de vidro para soldagem de componentes eletronicos para medidores (contadores)(ref. 4032500450)</v>
          </cell>
        </row>
        <row r="3332">
          <cell r="B3332">
            <v>4020600060</v>
          </cell>
          <cell r="C3332">
            <v>4020600060</v>
          </cell>
          <cell r="D3332" t="str">
            <v>NA</v>
          </cell>
          <cell r="E3332">
            <v>85176299</v>
          </cell>
          <cell r="F3332" t="str">
            <v>Not applicable</v>
          </cell>
          <cell r="H3332" t="str">
            <v>Conversor de comunicacAo serial RS232/RS485, conversor para recepcAo e transmissAo de dados, para comunicacAo de redes por fio (ref. 4020600060)</v>
          </cell>
        </row>
        <row r="3333">
          <cell r="B3333">
            <v>4020110360</v>
          </cell>
          <cell r="C3333">
            <v>4020110360</v>
          </cell>
          <cell r="D3333" t="str">
            <v>NA</v>
          </cell>
          <cell r="E3333">
            <v>85444200</v>
          </cell>
          <cell r="F3333" t="str">
            <v>Not applicable</v>
          </cell>
          <cell r="H3333" t="str">
            <v>Cabo USB, condutor eletrico, isolado para uso eletrico, munido de conexoes USB/USB, para aplicacAo em tensAo de ate 380V (ref. 4020110360)</v>
          </cell>
        </row>
        <row r="3334">
          <cell r="B3334">
            <v>4030401440</v>
          </cell>
          <cell r="C3334">
            <v>4030401440</v>
          </cell>
          <cell r="D3334" t="str">
            <v>NA</v>
          </cell>
          <cell r="E3334">
            <v>84719019</v>
          </cell>
          <cell r="F3334" t="str">
            <v>Not applicable</v>
          </cell>
          <cell r="H3334" t="str">
            <v>Gravadora manual de dados de firmware para medidores ( contadores) (programadora de firmware)  da serie Fudan Micro FM33 (ref. 4030401440)</v>
          </cell>
        </row>
        <row r="3335">
          <cell r="B3335">
            <v>4020610590</v>
          </cell>
          <cell r="C3335">
            <v>4020610590</v>
          </cell>
          <cell r="D3335" t="str">
            <v>NA</v>
          </cell>
          <cell r="E3335">
            <v>85044021</v>
          </cell>
          <cell r="F3335" t="str">
            <v>Not applicable</v>
          </cell>
          <cell r="H3335" t="str">
            <v>Conversor estatico, retificador, exceto carregadores de acumuladores, de cristal (semicondutor), fonte chaveada, TensAo de alimentacAo monofasico. Entrada : 115-230VAC, TensAo de saída: +5VDC 4,0A, +15VDC 1,5A, -15VDC 0,5A (ref. 4020610590)</v>
          </cell>
        </row>
        <row r="3336">
          <cell r="B3336">
            <v>4032500630</v>
          </cell>
          <cell r="D3336">
            <v>102809</v>
          </cell>
          <cell r="E3336">
            <v>90318099</v>
          </cell>
          <cell r="F3336" t="str">
            <v>Not applicable</v>
          </cell>
          <cell r="G3336">
            <v>90318099</v>
          </cell>
          <cell r="H3336" t="str">
            <v>Dispositivo de teste de inicializacAo e comunicacAo de contadores (ref. 4032500630)</v>
          </cell>
        </row>
        <row r="3337">
          <cell r="B3337">
            <v>4032500440</v>
          </cell>
          <cell r="D3337" t="str">
            <v>PENDING</v>
          </cell>
          <cell r="E3337">
            <v>70199000</v>
          </cell>
          <cell r="H3337" t="str">
            <v>Bandeja de fibra de vidro para soldagem de componentes eletronicos para medidores ( Contadores)</v>
          </cell>
        </row>
        <row r="3338">
          <cell r="B3338">
            <v>4030412350</v>
          </cell>
          <cell r="D3338" t="str">
            <v>PENDING</v>
          </cell>
          <cell r="E3338">
            <v>85369090</v>
          </cell>
          <cell r="F3338" t="str">
            <v>Not applicable</v>
          </cell>
          <cell r="H3338" t="str">
            <v>Soquete para conexAo de circuito eletrico de tensAo ate 320V - para programacAo de firmware em medidores de energia eletrica</v>
          </cell>
        </row>
        <row r="3339">
          <cell r="B3339">
            <v>4032500430</v>
          </cell>
          <cell r="D3339" t="str">
            <v>PENDING</v>
          </cell>
          <cell r="E3339">
            <v>70199000</v>
          </cell>
          <cell r="H3339" t="str">
            <v>Bandeja de fibra de vidro para soldagem de componentes eletronicos para medidores (Contadores) (ref.: 4032500430)</v>
          </cell>
        </row>
        <row r="3340">
          <cell r="B3340">
            <v>7020602620</v>
          </cell>
          <cell r="D3340" t="str">
            <v>PENDING</v>
          </cell>
          <cell r="E3340">
            <v>90312090</v>
          </cell>
          <cell r="H3340" t="str">
            <v>Bancada de ensaio para teste funcional de modulos de medicAo trifasico, com 5 posicoes, acionamento pneumatico, cabecote para comunicacAo e acoplamento ativo, computador industrial e suporte para monitor, utilizado para ligar e comunicar o medidor.</v>
          </cell>
        </row>
        <row r="3341">
          <cell r="B3341">
            <v>4032500650</v>
          </cell>
          <cell r="D3341" t="str">
            <v>PENDING</v>
          </cell>
          <cell r="E3341">
            <v>90318099</v>
          </cell>
          <cell r="H3341" t="str">
            <v>Dispositivo de teste de inicializacAo e comunicacAo de medidores ( contadores) eletricos</v>
          </cell>
        </row>
        <row r="3342">
          <cell r="B3342">
            <v>7020602630</v>
          </cell>
          <cell r="D3342" t="str">
            <v>PENDING</v>
          </cell>
          <cell r="E3342">
            <v>90318099</v>
          </cell>
          <cell r="H3342" t="str">
            <v>Dispositivo de teste de inicializacAo e comunicacAo de medidores (contadores) eletricos</v>
          </cell>
        </row>
        <row r="3343">
          <cell r="B3343">
            <v>7020602640</v>
          </cell>
          <cell r="D3343" t="str">
            <v>PENDING</v>
          </cell>
          <cell r="E3343">
            <v>90312090</v>
          </cell>
          <cell r="H3343" t="str">
            <v>Bancada de ensaio para verificacAo de parAmetros de modulos de medicAo polifasicos, com 24 posicoes</v>
          </cell>
        </row>
        <row r="3344">
          <cell r="B3344">
            <v>4032501730</v>
          </cell>
          <cell r="D3344" t="str">
            <v>PENDING</v>
          </cell>
          <cell r="E3344">
            <v>90319010</v>
          </cell>
          <cell r="H3344" t="str">
            <v>Base para bancadas de verificacAo e calibracAo de medidores eletricos, parte para uso em bancadas de ensaios nos contadores.</v>
          </cell>
        </row>
        <row r="3345">
          <cell r="B3345" t="str">
            <v>565AC40116</v>
          </cell>
          <cell r="D3345" t="str">
            <v>565AC40116</v>
          </cell>
          <cell r="E3345">
            <v>90282010</v>
          </cell>
          <cell r="F3345" t="str">
            <v>Not applicable</v>
          </cell>
          <cell r="G3345">
            <v>90282010</v>
          </cell>
          <cell r="H3345" t="str">
            <v>Hidrometro ultrassonico  (contador de líquidos) industrial com carcaca de ferro fundido, diAmetro nominal de 50mm, comprimento 200 mm, vazAo de 40,0 m3/h; R500 com saída de pulso, com peso líquido unitario aproximado entre 10,0 kg e 15,0 kg.</v>
          </cell>
        </row>
        <row r="3346">
          <cell r="B3346" t="str">
            <v>565BC50516</v>
          </cell>
          <cell r="D3346" t="str">
            <v>565BC50516</v>
          </cell>
          <cell r="E3346">
            <v>90282010</v>
          </cell>
          <cell r="F3346" t="str">
            <v>Not applicable</v>
          </cell>
          <cell r="G3346">
            <v>90282010</v>
          </cell>
          <cell r="H3346" t="str">
            <v>Hidrometro ultrassonico (contador de líquidos)  industrial com carcaca de aco inox, diAmetro nominal de 80mm, comprimento 225 mm, vazAo de 63 m3/h, R500, com saída de pulso/modbus, com peso líquido unitario aproximado entre 15,0 kg e 20,0 kg.</v>
          </cell>
        </row>
        <row r="3347">
          <cell r="B3347" t="str">
            <v>565CC60116</v>
          </cell>
          <cell r="D3347" t="str">
            <v>565CC60116</v>
          </cell>
          <cell r="E3347">
            <v>90282010</v>
          </cell>
          <cell r="F3347" t="str">
            <v>Not applicable</v>
          </cell>
          <cell r="G3347">
            <v>90282010</v>
          </cell>
          <cell r="H3347" t="str">
            <v>Hidrometro ultrassonico  (contador de líquidos)  industrial com carcaca de ferro fundido, diAmetro nominal de 100mm, comprimento 250 mm, vazAo de 100 m3/h, R500 com saída de pulso/modbus, com peso líquido unitario aproximado entre 20,0 kg e 30,0 kg.</v>
          </cell>
        </row>
        <row r="3348">
          <cell r="B3348" t="str">
            <v>5633B20134</v>
          </cell>
          <cell r="C3348"/>
          <cell r="D3348" t="str">
            <v>5633B20134</v>
          </cell>
          <cell r="E3348">
            <v>90282010</v>
          </cell>
          <cell r="F3348" t="str">
            <v>Not applicable</v>
          </cell>
          <cell r="G3348">
            <v>90282010</v>
          </cell>
          <cell r="H3348" t="str">
            <v>Hidrometro ultrassonico (contador de líquidos) residencial com carcaca de latAo, diAmetro nominal de 15mm, comprimento 165 mm, vazAo de 2,5 m3/h, R400 e saída pulsada,  com peso líquido unitario aproximado entre 0,5 kg e 2,0 kg.</v>
          </cell>
        </row>
        <row r="3349">
          <cell r="B3349" t="str">
            <v>5634B30134</v>
          </cell>
          <cell r="C3349"/>
          <cell r="D3349" t="str">
            <v>5634B30134</v>
          </cell>
          <cell r="E3349">
            <v>90282010</v>
          </cell>
          <cell r="F3349" t="str">
            <v>Not applicable</v>
          </cell>
          <cell r="G3349">
            <v>90282010</v>
          </cell>
          <cell r="H3349" t="str">
            <v>Hidrometro ultrassonico (contador de líquidos) residencial com carcaca de latAo, diAmetro nominal de 20mm, comprimento 190 mm, vazAo de 4 m3/h, R400 e saída pulsada,  com peso líquido unitario aproximado entre 0,5 kg e 2,0 kg.</v>
          </cell>
        </row>
        <row r="3350">
          <cell r="B3350">
            <v>5636870116</v>
          </cell>
          <cell r="C3350">
            <v>5636870116</v>
          </cell>
          <cell r="D3350">
            <v>5636870116</v>
          </cell>
          <cell r="E3350">
            <v>90282010</v>
          </cell>
          <cell r="F3350">
            <v>90282010</v>
          </cell>
          <cell r="G3350">
            <v>90282010</v>
          </cell>
          <cell r="H3350" t="str">
            <v>HIDROMETRO ULTRASSONICO (CONTADOR DE LÍQUIDOS) RESIDENCIAL COM CARCACA DE LATAO, DIAMETRO NOMINAL DE 25MM, COMPRIMENTO 260 MM, VAZAO DE 10 M3/H, R250 E SAÍDA PULSADA,  COM PESO LÍQUIDO UNITARIO APROXIMADO ENTRE 0,5 KG E 2,0 KG.</v>
          </cell>
        </row>
        <row r="3351">
          <cell r="B3351" t="str">
            <v>5635C70130</v>
          </cell>
          <cell r="C3351"/>
          <cell r="D3351" t="str">
            <v>5635C70130</v>
          </cell>
          <cell r="E3351">
            <v>90282010</v>
          </cell>
          <cell r="F3351" t="str">
            <v>Not applicable</v>
          </cell>
          <cell r="G3351">
            <v>90282010</v>
          </cell>
          <cell r="H3351" t="str">
            <v>Hidrometro ultrassonico (contador de líquidos) residencial com carcaca de latAo, diAmetro nominal de 25mm, comprimento 260 mm, vazAo de 6,3 m3/h, R400 e saída pulsada,  com peso líquido unitario aproximado entre 0,5 kg e 2,0 kg.</v>
          </cell>
        </row>
        <row r="3352">
          <cell r="B3352" t="str">
            <v>5634B30113</v>
          </cell>
          <cell r="C3352"/>
          <cell r="D3352" t="str">
            <v>5634B30113</v>
          </cell>
          <cell r="E3352">
            <v>90282010</v>
          </cell>
          <cell r="F3352" t="str">
            <v>Not applicable</v>
          </cell>
          <cell r="G3352">
            <v>90282010</v>
          </cell>
          <cell r="H3352" t="str">
            <v>Hidrometro ultrassonico (contador de líquidos) residencial com carcaca de latAo, diAmetro nominal de 20mm, comprimento 190 mm, vazAo de 2,5 m3/h, R400 e saída pulsada,  com peso líquido unitario aproximado entre 0,5 kg e 2,0 kg.</v>
          </cell>
        </row>
        <row r="3353">
          <cell r="B3353" t="str">
            <v>5659B40134</v>
          </cell>
          <cell r="C3353"/>
          <cell r="D3353" t="str">
            <v>5659B40134</v>
          </cell>
          <cell r="E3353">
            <v>90282010</v>
          </cell>
          <cell r="F3353" t="str">
            <v>Not applicable</v>
          </cell>
          <cell r="G3353">
            <v>90282010</v>
          </cell>
          <cell r="H3353" t="str">
            <v>Hidrometro ultrassonico  (contador de líquidos)  industrial com carcaca de ferro fundido, diAmetro nominal de 50mm, comprimento 200 mm, vazAo de 25 m3/h, R400 com saída de pulso/modbus, com peso líquido unitario aproximado entre 10,0 kg e 15,0 kg.</v>
          </cell>
        </row>
        <row r="3354">
          <cell r="B3354" t="str">
            <v>565BB50134</v>
          </cell>
          <cell r="C3354"/>
          <cell r="D3354" t="str">
            <v>565BB50134</v>
          </cell>
          <cell r="E3354">
            <v>90282010</v>
          </cell>
          <cell r="F3354" t="str">
            <v>Not applicable</v>
          </cell>
          <cell r="G3354">
            <v>90282010</v>
          </cell>
          <cell r="H3354" t="str">
            <v>Hidrometro ultrassonico  (contador de líquidos)  industrial com carcaca de ferro fundido, diAmetro nominal de 80mm, comprimento 300 mm, vazAo de 63 m3/h, R400 com saída de pulso/modbus, com peso líquido unitario aproximado entre 15,0 kg e 20,0 kg.</v>
          </cell>
        </row>
        <row r="3355">
          <cell r="B3355" t="str">
            <v>565CB60134</v>
          </cell>
          <cell r="C3355"/>
          <cell r="D3355" t="str">
            <v>565CB60134</v>
          </cell>
          <cell r="E3355">
            <v>90282010</v>
          </cell>
          <cell r="F3355" t="str">
            <v>Not applicable</v>
          </cell>
          <cell r="G3355">
            <v>90282010</v>
          </cell>
          <cell r="H3355" t="str">
            <v>Hidrometro ultrassonico  (contador de líquidos)  industrial com carcaca de ferro fundido, diAmetro nominal de 100mm, comprimento 250 mm, vazAo de 100 m3/h, R400 com saída de pulso/modbus, com peso líquido unitario aproximado entre 20,0 kg e 30,0 kg.</v>
          </cell>
        </row>
        <row r="3356">
          <cell r="B3356" t="str">
            <v>5659C40116</v>
          </cell>
          <cell r="C3356"/>
          <cell r="D3356" t="str">
            <v>5659C40116</v>
          </cell>
          <cell r="E3356">
            <v>90282010</v>
          </cell>
          <cell r="F3356" t="str">
            <v>Not applicable</v>
          </cell>
          <cell r="G3356">
            <v>90282010</v>
          </cell>
          <cell r="H3356" t="str">
            <v>Hidrometro ultrassonico  (contador de líquidos)  industrial com carcaca de ferro fundido, diAmetro nominal de 50mm, comprimento 200 mm, vazAo de 25 m3/h, R400 com saída de pulso/modbus, com peso líquido unitario aproximado entre 10,0 kg e 15,0 kg.</v>
          </cell>
        </row>
        <row r="3357">
          <cell r="B3357" t="str">
            <v>565BC50116</v>
          </cell>
          <cell r="C3357"/>
          <cell r="D3357" t="str">
            <v>565BC50116</v>
          </cell>
          <cell r="E3357">
            <v>90282010</v>
          </cell>
          <cell r="F3357" t="str">
            <v>Not applicable</v>
          </cell>
          <cell r="G3357">
            <v>90282010</v>
          </cell>
          <cell r="H3357" t="str">
            <v>Hidrometro ultrassonico  (contador de líquidos)  industrial com carcaca de ferro fundido, diAmetro nominal de 80mm, comprimento 225 mm, vazAo de 63 m3/h, R500 com saída de pulso/modbus, com peso líquido unitario aproximado entre 15,0 kg e 20,0 kg.</v>
          </cell>
        </row>
        <row r="3358">
          <cell r="B3358" t="str">
            <v>565CC60516</v>
          </cell>
          <cell r="C3358"/>
          <cell r="D3358" t="str">
            <v>565CC60516</v>
          </cell>
          <cell r="E3358">
            <v>90282010</v>
          </cell>
          <cell r="F3358" t="str">
            <v>Not applicable</v>
          </cell>
          <cell r="G3358">
            <v>90282010</v>
          </cell>
          <cell r="H3358" t="str">
            <v>Hidrometro ultrassonico  (contador de líquidos)  industrial com carcaca de ferro fundido, diAmetro nominal de 100mm, comprimento 250 mm, vazAo de 100 m3/h, R500 com saída de pulso/modbus, com peso líquido unitario aproximado entre 20,0 kg e 30,0 kg.</v>
          </cell>
        </row>
        <row r="3359">
          <cell r="B3359" t="str">
            <v>565DC90516</v>
          </cell>
          <cell r="C3359"/>
          <cell r="D3359" t="str">
            <v>565DC90516</v>
          </cell>
          <cell r="E3359">
            <v>90282010</v>
          </cell>
          <cell r="F3359" t="str">
            <v>Not applicable</v>
          </cell>
          <cell r="G3359">
            <v>90282010</v>
          </cell>
          <cell r="H3359" t="str">
            <v>Hidrometro ultrassonico  (contador de líquidos) industrial com carcaca de ferro fundido, diAmetro nominal de 150mm, comprimento 300 mm, vazAo de 250,0 m3/h; R500 com saída de pulso, com peso líquido unitario aproximado entre 10,0 kg e 20,0 kg. (ZLW-DN150).</v>
          </cell>
        </row>
        <row r="3360">
          <cell r="B3360" t="str">
            <v>565BC50102</v>
          </cell>
          <cell r="C3360"/>
          <cell r="D3360" t="str">
            <v>565BC50102</v>
          </cell>
          <cell r="E3360">
            <v>90282010</v>
          </cell>
          <cell r="F3360" t="str">
            <v>Not applicable</v>
          </cell>
          <cell r="G3360">
            <v>90282010</v>
          </cell>
          <cell r="H3360" t="str">
            <v>Hidrometro ultrassonico  (contador de líquidos)  industrial com carcaca de ferro fundido, diAmetro nominal de 80mm, comprimento 225 mm, vazAo de 63 m3/h, R400 com saída de pulso/modbus, com peso líquido unitario aproximado entre 15,0 kg e 20,0 kg.</v>
          </cell>
        </row>
        <row r="3361">
          <cell r="B3361" t="str">
            <v>565CC60102</v>
          </cell>
          <cell r="C3361"/>
          <cell r="D3361" t="str">
            <v>565CC60102</v>
          </cell>
          <cell r="E3361">
            <v>90282010</v>
          </cell>
          <cell r="F3361" t="str">
            <v>Not applicable</v>
          </cell>
          <cell r="G3361">
            <v>90282010</v>
          </cell>
          <cell r="H3361" t="str">
            <v>Hidrometro ultrassonico  (contador de líquidos)  industrial com carcaca de ferro fundido, diAmetro nominal de 100mm, comprimento 250 mm, vazAo de 100 m3/h, R400 com saída de pulso/modbus, com peso líquido unitario aproximado entre 20,0 kg e 30,0 kg.</v>
          </cell>
        </row>
        <row r="3362">
          <cell r="B3362" t="str">
            <v>5659B40117</v>
          </cell>
          <cell r="C3362"/>
          <cell r="D3362" t="str">
            <v>5659B40117</v>
          </cell>
          <cell r="E3362">
            <v>90282010</v>
          </cell>
          <cell r="F3362" t="str">
            <v>Not applicable</v>
          </cell>
          <cell r="G3362">
            <v>90282010</v>
          </cell>
          <cell r="H3362" t="str">
            <v>Hidrometro ultrassonico  (contador de líquidos)  industrial com carcaca de ferro fundido, diAmetro nominal de 50mm, comprimento 200 mm, vazAo de 40 m3/h, R400 com saída de pulso/modbus, com peso líquido unitario aproximado entre 10,0 kg e 15,0 kg.</v>
          </cell>
        </row>
        <row r="3363">
          <cell r="B3363" t="str">
            <v>5659B40100</v>
          </cell>
          <cell r="C3363"/>
          <cell r="D3363" t="str">
            <v>5659B40100</v>
          </cell>
          <cell r="E3363">
            <v>90282010</v>
          </cell>
          <cell r="F3363" t="str">
            <v>Not applicable</v>
          </cell>
          <cell r="G3363">
            <v>90282010</v>
          </cell>
          <cell r="H3363" t="str">
            <v>Hidrometro ultrassonico  (contador de líquidos)  industrial com carcaca de ferro fundido, diAmetro nominal de 50mm, comprimento 200 mm, vazAo de 40 m3/h, R400 com saída de pulso/modbus, com peso líquido unitario aproximado entre 10,0 kg e 15,0 kg.</v>
          </cell>
        </row>
        <row r="3364">
          <cell r="B3364" t="str">
            <v>5635C70117</v>
          </cell>
          <cell r="C3364"/>
          <cell r="D3364" t="str">
            <v>5635C70117</v>
          </cell>
          <cell r="E3364">
            <v>90282010</v>
          </cell>
          <cell r="F3364" t="str">
            <v>Not applicable</v>
          </cell>
          <cell r="G3364">
            <v>90282010</v>
          </cell>
          <cell r="H3364" t="str">
            <v>Hidrometro ultrassonico (contador de líquidos) residencial com carcaca de latAo, diAmetro nominal de 25mm, comprimento 260 mm, vazAo de 6,3 m3/h, R400 e saída pulsada,  com peso líquido unitario aproximado entre 0,5 kg e 2,0 kg.</v>
          </cell>
        </row>
        <row r="3365">
          <cell r="B3365" t="str">
            <v>5636B70134</v>
          </cell>
          <cell r="C3365" t="str">
            <v>5636B70134</v>
          </cell>
          <cell r="D3365" t="str">
            <v>5636B70134</v>
          </cell>
          <cell r="E3365">
            <v>90282010</v>
          </cell>
          <cell r="F3365">
            <v>90282010</v>
          </cell>
          <cell r="G3365">
            <v>90282010</v>
          </cell>
          <cell r="H3365" t="str">
            <v>HIDROMETRO ULTRASSONICO (CONTADOR DE LÍQUIDOS) RESIDENCIAL COM CARCACA DE LATAO, DIAMETRO NOMINAL DE 25MM, COMPRIMENTO 260 MM, VAZAO DE 10 M3/H, R400 E SAÍDA PULSADA,  COM PESO LÍQUIDO UNITARIO APROXIMADO ENTRE 0,5 KG E 2,0 KG. (ZLW25-10).</v>
          </cell>
        </row>
        <row r="3366">
          <cell r="B3366" t="str">
            <v>565BB50102</v>
          </cell>
          <cell r="C3366"/>
          <cell r="D3366" t="str">
            <v>565BB50102</v>
          </cell>
          <cell r="E3366">
            <v>90282010</v>
          </cell>
          <cell r="F3366" t="str">
            <v>Not applicable</v>
          </cell>
          <cell r="G3366">
            <v>90282010</v>
          </cell>
          <cell r="H3366" t="str">
            <v>Hidrômetro ultrassônico (contador de líquidos)  industrial com carcaça de ferro fundido, diâmetro nominal de 80mm, comprimento 225 mm, vazão de 63 m3/h, R400, com saída de pulso/modbus, com peso líquido unitário aproximado entre 15,0 kg e 20,0 kg.</v>
          </cell>
        </row>
        <row r="3367">
          <cell r="B3367">
            <v>3990038320</v>
          </cell>
          <cell r="D3367">
            <v>10914119</v>
          </cell>
          <cell r="E3367">
            <v>39074090</v>
          </cell>
          <cell r="F3367">
            <v>39074090</v>
          </cell>
          <cell r="G3367">
            <v>39074090</v>
          </cell>
          <cell r="H3367" t="str">
            <v>Policarbonato em formas primarias em grAnulos de cor: preto, virgem sem fibra de
vidro  (3990038320)</v>
          </cell>
        </row>
        <row r="3368">
          <cell r="B3368">
            <v>2150167590</v>
          </cell>
          <cell r="D3368">
            <v>20661770</v>
          </cell>
          <cell r="E3368">
            <v>85340033</v>
          </cell>
          <cell r="F3368" t="str">
            <v>Not applicable</v>
          </cell>
          <cell r="G3368">
            <v>85340033</v>
          </cell>
          <cell r="H3368" t="str">
            <v>PLACA DE CIRCUITO IMPRESSO, DE NATUREZA DO MATERIAL BASE RÍGIDO, COMPOSIcAO DA PLACA DE ISOLANTE DE RESINA EPoXIDA E TECIDO DE FIBRA DE VIDRO, ESTRUTURA DE DUPLA FACE E INTERLIGAcAO ENTRE FACES POR FUROS METALIZADOS; dimensoes 89,28mm x 299,95mm</v>
          </cell>
        </row>
        <row r="3369">
          <cell r="B3369" t="str">
            <v>5634B30100</v>
          </cell>
          <cell r="D3369" t="str">
            <v>5634B30100</v>
          </cell>
          <cell r="E3369">
            <v>90282010</v>
          </cell>
          <cell r="F3369" t="str">
            <v>Not applicable</v>
          </cell>
          <cell r="G3369">
            <v>90282010</v>
          </cell>
          <cell r="H3369" t="str">
            <v>Hidrometro ultrassonico (contador de líquidos) residencial com carcaca de latAo, diAmetro nominal de 20 mm, comprimento 190 mm, vazAo de 4,0 m3/h, R400 e saída pulsada,  com peso líquido unitario aproximado entre 0,5 kg e 2,0 kg.</v>
          </cell>
        </row>
        <row r="3370">
          <cell r="B3370" t="str">
            <v>5634B30116</v>
          </cell>
          <cell r="D3370" t="str">
            <v>5634B30116</v>
          </cell>
          <cell r="E3370">
            <v>90282010</v>
          </cell>
          <cell r="F3370" t="str">
            <v>Not applicable</v>
          </cell>
          <cell r="G3370">
            <v>90282010</v>
          </cell>
          <cell r="H3370" t="str">
            <v>Hidrometro ultrassonico (contador de líquidos) residencial com carcaca de latAo, diAmetro nominal de 20 mm, comprimento 190 mm, vazAo de 4,0 m3/h, R400 e saída pulsada,  com peso líquido unitario aproximado entre 0,5 kg e 2,0 kg.</v>
          </cell>
        </row>
        <row r="3371">
          <cell r="B3371" t="str">
            <v>565AB80100</v>
          </cell>
          <cell r="D3371" t="str">
            <v>565AB80100</v>
          </cell>
          <cell r="E3371">
            <v>90282010</v>
          </cell>
          <cell r="F3371" t="str">
            <v>Not applicable</v>
          </cell>
          <cell r="G3371">
            <v>90282010</v>
          </cell>
          <cell r="H3371" t="str">
            <v>Hidrometro ultrassonico  (contador de líquidos)  industrial com carcaca de ferro fundido, diAmetro nominal de 50mm, comprimento 270 mm, vazAo de 40 m3/h, R400 com saída de pulso/modbus, com peso líquido unitario aproximado entre 10,0 kg e 15,0 kg.</v>
          </cell>
        </row>
        <row r="3372">
          <cell r="B3372" t="str">
            <v>565BB90100</v>
          </cell>
          <cell r="D3372" t="str">
            <v>565BB90100</v>
          </cell>
          <cell r="E3372">
            <v>90282010</v>
          </cell>
          <cell r="F3372" t="str">
            <v>Not applicable</v>
          </cell>
          <cell r="G3372">
            <v>90282010</v>
          </cell>
          <cell r="H3372" t="str">
            <v>Hidrometro ultrassonico  (contador de líquidos)  industrial com carcaca de ferro fundido, diAmetro nominal de 80mm, comprimento 300 mm, vazAo de 63 m3/h, R400 com saída de pulso/modbus, com peso líquido unitario aproximado entre 15,0 kg e 20,0 kg.</v>
          </cell>
        </row>
        <row r="3373">
          <cell r="B3373" t="str">
            <v>565BC50100</v>
          </cell>
          <cell r="D3373" t="str">
            <v>565BC50100</v>
          </cell>
          <cell r="E3373">
            <v>90282010</v>
          </cell>
          <cell r="F3373" t="str">
            <v>Not applicable</v>
          </cell>
          <cell r="G3373">
            <v>90282010</v>
          </cell>
          <cell r="H3373" t="str">
            <v>Hidrometro ultrassonico  (contador de líquidos)  industrial com carcaca de ferro fundido, diAmetro nominal de 80mm, comprimento 225 mm, vazAo de 63 m3/h, R500 com saída de pulso/modbus, com peso líquido unitario aproximado entre 15,0 kg e 20,0 kg.</v>
          </cell>
        </row>
        <row r="3374">
          <cell r="B3374" t="str">
            <v>565CC60100</v>
          </cell>
          <cell r="D3374" t="str">
            <v>565CC60100</v>
          </cell>
          <cell r="E3374">
            <v>90282010</v>
          </cell>
          <cell r="F3374" t="str">
            <v>Not applicable</v>
          </cell>
          <cell r="G3374">
            <v>90282010</v>
          </cell>
          <cell r="H3374" t="str">
            <v>Hidrometro ultrassonico  (contador de líquidos)  industrial com carcaca de ferro fundido, diAmetro nominal de 100mm, comprimento 250 mm, vazAo de 100 m3/h, R500 com saída de pulso/modbus, com peso líquido unitario aproximado entre 20,0 kg e 30,0 kg.</v>
          </cell>
        </row>
        <row r="3375">
          <cell r="B3375" t="str">
            <v>565CBB0100</v>
          </cell>
          <cell r="D3375" t="str">
            <v>565CBB0100</v>
          </cell>
          <cell r="E3375">
            <v>90282010</v>
          </cell>
          <cell r="F3375" t="str">
            <v>Not applicable</v>
          </cell>
          <cell r="G3375">
            <v>90282010</v>
          </cell>
          <cell r="H3375" t="str">
            <v>Hidrometro ultrassonico  (contador de líquidos)  industrial com carcaca de ferro fundido, diAmetro nominal de 100mm, comprimento 360 mm, vazAo de 100 m3/h, R400 com saída de pulso/modbus, com peso líquido unitario aproximado entre 20,0 kg e 30,0 kg.</v>
          </cell>
        </row>
        <row r="3376">
          <cell r="B3376" t="str">
            <v>565DC90500</v>
          </cell>
          <cell r="D3376" t="str">
            <v>565DC90500</v>
          </cell>
          <cell r="E3376">
            <v>90282010</v>
          </cell>
          <cell r="F3376" t="str">
            <v>Not applicable</v>
          </cell>
          <cell r="G3376">
            <v>90282010</v>
          </cell>
          <cell r="H3376" t="str">
            <v>HIDROMETRO ULTRASSONICO  (CONTADOR DE LIQUIDOS) INDUSTRIAL COM CARCACA DE FERRO FUNDIDO, DIAMETRO NOMINAL DE 150MM, COMPRIMENTO 300 MM, VAZAO DE 250,0 M3/H; R500 COM SAIDA DE PULSO, COM PESO LIQUIDO UNITARIO APROXIMADO ENTRE 10,0 KG E 20,0 KG. (ZLW-DN150).</v>
          </cell>
        </row>
        <row r="3377">
          <cell r="B3377" t="str">
            <v>565GCD0600</v>
          </cell>
          <cell r="C3377" t="str">
            <v>565GCD0600</v>
          </cell>
          <cell r="D3377" t="str">
            <v>565GCD0600</v>
          </cell>
          <cell r="E3377">
            <v>90282020</v>
          </cell>
          <cell r="F3377">
            <v>90282020</v>
          </cell>
          <cell r="G3377">
            <v>90282020</v>
          </cell>
          <cell r="H3377" t="str">
            <v>HIDROMETRO ULTRASSONICO  (CONTADOR DE LÍQUIDOS) INDUSTRIAL COM CARCACA DE ACO, DIAMETRO NOMINAL DE 300MM, COMPRIMENTO 500 MM, VAZAO DE 1000 M3/H COM SAÍDA DE PULSO, COM PESO LÍQUIDO UNITARIO APROXIMADO ENTRE 85,0 KG E 90,0 KG.</v>
          </cell>
        </row>
        <row r="3378">
          <cell r="B3378">
            <v>3040501440</v>
          </cell>
          <cell r="D3378">
            <v>40277300</v>
          </cell>
          <cell r="E3378">
            <v>85369090</v>
          </cell>
          <cell r="F3378">
            <v>85369090</v>
          </cell>
          <cell r="H3378" t="str">
            <v>Terminal de comunicacAo, para conexAo de circuito eletrico com tensAo de ate 240V, em LatAo H62 com tratamento estanhado, dimensoes 16,8x8,3x4,1mm</v>
          </cell>
        </row>
        <row r="3379">
          <cell r="B3379">
            <v>3040502530</v>
          </cell>
          <cell r="D3379">
            <v>40277301</v>
          </cell>
          <cell r="E3379">
            <v>85369090</v>
          </cell>
          <cell r="F3379">
            <v>85369090</v>
          </cell>
          <cell r="H3379" t="str">
            <v>Terminal de comunicacAo, para conexAo de circuito eletrico com tensAo de ate 240V, em LatAo HPb59-1 com tratamento estanhado, dimensoes 20,9x5,1x4,1mm</v>
          </cell>
        </row>
        <row r="3380">
          <cell r="B3380">
            <v>2030100112</v>
          </cell>
          <cell r="D3380">
            <v>20650148</v>
          </cell>
          <cell r="E3380">
            <v>85045010</v>
          </cell>
          <cell r="F3380" t="str">
            <v>Need to update benefit</v>
          </cell>
          <cell r="H3380" t="str">
            <v>Bobina de autoinducAo (indutor) de chip, de largura 0,5 mm e comprimento 1 mm, e altura 0,3 mm, para montagem em superfície SMD, indutAncia 7,5nH, tolerAncia de 5por cento, 0,24 Ohms de resistencia, corrente maxima 100mA, encapsulamento 0402.</v>
          </cell>
        </row>
        <row r="3381">
          <cell r="B3381">
            <v>2020101360</v>
          </cell>
          <cell r="D3381">
            <v>20672595</v>
          </cell>
          <cell r="E3381">
            <v>85322410</v>
          </cell>
          <cell r="F3381" t="str">
            <v>Not applicable</v>
          </cell>
          <cell r="G3381">
            <v>85322410</v>
          </cell>
          <cell r="H3381" t="str">
            <v>Capacitor (condensador eletrico fixo) Com dieletrico de cerAmica, de camadas multiplas, proprios para montagem em superfície SMD; CapacitAncia 1.5 pF; TensAo nominal 50Vdc; TolerAncia 15por cento; Encapsulamento 0402</v>
          </cell>
        </row>
        <row r="3382">
          <cell r="B3382">
            <v>7020500770</v>
          </cell>
          <cell r="D3382">
            <v>91804</v>
          </cell>
          <cell r="E3382">
            <v>85151900</v>
          </cell>
          <cell r="F3382" t="str">
            <v>Not applicable</v>
          </cell>
          <cell r="H3382" t="str">
            <v>EX 004 MAQUINAS AUTOMATICAS PARA SOLDADURA FRACA POR BANHO DE ESTANHO, COMERCIALMENTE DENOMINADA MAQUINA SOLDA ONDA, CONTROLADA POR COMANDO LOGICO PROGRAMAVEL (CLP), OPERADAS POR DISPLAY LCD/TECLADO/MOUSE, ANGULO TRANSPORTADOR INTERNO AJUSTAVEL 3 A 6 GRAUS, LARGURA MAXIMA DA PLACA P.C.I. 450MM, DIRECAO DO FLUXO DA PLACA ESQUERDA PARA DIREITA, VELOCIDADE DO TRANSPORTADOR 0,2 A 1,8M/MIN, POTENCIA AQUECIMENTO 20KW, COMPRIMENTO AQUECIDO 1.800MM, SISTEMA DE REFRIGERACAO DA SOLDA A AR, GABINETE TRABALHO FECHADO, TENSAO DE ALIMENTACAO 380V, PROPRIAS PARA A SOLDAGEM DE PLACAS DE CIRCUITO IMPRESSO (P.C.I.) PELO PROCESSO DE ONDA DE ESTANHO LIQUIDO; MODELO AAAA, MARCA BBBB, NUMERO DE SERIE XXXX E ANO DE FABRICACAO YYYY.</v>
          </cell>
        </row>
        <row r="3383">
          <cell r="B3383">
            <v>7020400090</v>
          </cell>
          <cell r="D3383">
            <v>103444</v>
          </cell>
          <cell r="E3383">
            <v>84283300</v>
          </cell>
          <cell r="F3383" t="str">
            <v>Not applicable</v>
          </cell>
          <cell r="H3383" t="str">
            <v>Maquina alimentadora de linha de montagem de componentes eletronicos, de acAo contínua por elevacAo e transporte horizontal, de correia, para transporte de placas semi-montadas atraves da linha de montagem (REF.7020400090)</v>
          </cell>
        </row>
        <row r="3384">
          <cell r="B3384">
            <v>3033100200</v>
          </cell>
          <cell r="D3384">
            <v>40279300</v>
          </cell>
          <cell r="E3384">
            <v>73079100</v>
          </cell>
          <cell r="F3384" t="str">
            <v>Need to update benefit</v>
          </cell>
          <cell r="G3384">
            <v>73079100</v>
          </cell>
          <cell r="H3384" t="str">
            <v>FLANGE DE FERRO FUNDIDO NA COR PRETA, ACESSORIO PARA TUBO DE MEDIDORES DE AGUA (CONTADORES DE LÍQUIDOS) DE DIAMETRO NOMINAL DE 50MM</v>
          </cell>
        </row>
        <row r="3385">
          <cell r="B3385">
            <v>3033100240</v>
          </cell>
          <cell r="D3385">
            <v>40279400</v>
          </cell>
          <cell r="E3385">
            <v>73079100</v>
          </cell>
          <cell r="F3385" t="str">
            <v>Need to update benefit</v>
          </cell>
          <cell r="G3385">
            <v>73079100</v>
          </cell>
          <cell r="H3385" t="str">
            <v>FLANGE DE FERRO FUNDIDO NA COR PRETA, ACESSORIO PARA TUBO DE MEDIDORES DE AGUA (CONTADORES DE LÍQUIDOS) DE DIAMETRO NOMINAL DE 80MM.</v>
          </cell>
        </row>
        <row r="3386">
          <cell r="B3386">
            <v>3033100230</v>
          </cell>
          <cell r="C3386">
            <v>3033100230</v>
          </cell>
          <cell r="D3386">
            <v>40279500</v>
          </cell>
          <cell r="E3386">
            <v>73079100</v>
          </cell>
          <cell r="F3386" t="str">
            <v>Need to update benefit</v>
          </cell>
          <cell r="G3386">
            <v>73079100</v>
          </cell>
          <cell r="H3386" t="str">
            <v>FLANGE DE FERRO FUNDIDO NA COR PRETA, ACESSORIO PARA TUBO DE MEDIDORES DE AGUA (CONTADORES DE LÍQUIDOS) DE DIAMETRO NOMINAL DE 100MM</v>
          </cell>
        </row>
        <row r="3387">
          <cell r="B3387">
            <v>3033100210</v>
          </cell>
          <cell r="D3387">
            <v>40279600</v>
          </cell>
          <cell r="E3387">
            <v>73079100</v>
          </cell>
          <cell r="F3387" t="str">
            <v>Need to update benefit</v>
          </cell>
          <cell r="G3387">
            <v>73079100</v>
          </cell>
          <cell r="H3387" t="str">
            <v>FLANGE DE FERRO FUNDIDO NA COR PRETA, ACESSORIO PARA TUBO DE MEDIDORES DE AGUA (CONTADORES DE LÍQUIDOS) DE DIAMETRO NOMINAL DE 150MM</v>
          </cell>
        </row>
        <row r="3388">
          <cell r="B3388">
            <v>3033100250</v>
          </cell>
          <cell r="D3388">
            <v>40279700</v>
          </cell>
          <cell r="E3388">
            <v>73079100</v>
          </cell>
          <cell r="F3388" t="str">
            <v>Need to update benefit</v>
          </cell>
          <cell r="G3388">
            <v>73079100</v>
          </cell>
          <cell r="H3388" t="str">
            <v>FLANGE DE FERRO FUNDIDO NA COR PRETA, ACESSORIO PARA TUBO DE MEDIDORES DE AGUA (CONTADORES DE LÍQUIDOS) DE DIAMETRO NOMINAL DE 200MM.</v>
          </cell>
        </row>
        <row r="3389">
          <cell r="B3389" t="str">
            <v>565ECA0500</v>
          </cell>
          <cell r="D3389" t="str">
            <v>565ECA0500</v>
          </cell>
          <cell r="E3389">
            <v>90282010</v>
          </cell>
          <cell r="F3389" t="str">
            <v>Not applicable</v>
          </cell>
          <cell r="G3389">
            <v>90282010</v>
          </cell>
          <cell r="H3389" t="str">
            <v>Hidrometro ultrassonico  (contador de líquidos)  industrial com carcaca de ferro fundido, diAmetro nominal de 200mm, comprimento 350 mm, vazAo de 400 m3/h, R500 com saída de pulso/4-20mA  (ZLW-DN200), com peso líquido unitario aproximado entre 20,0 kg e 45,0 kg.</v>
          </cell>
        </row>
        <row r="3390">
          <cell r="B3390">
            <v>4020205750</v>
          </cell>
          <cell r="D3390">
            <v>103539</v>
          </cell>
          <cell r="E3390">
            <v>85159000</v>
          </cell>
          <cell r="F3390" t="str">
            <v>Not applicable</v>
          </cell>
          <cell r="H3390" t="str">
            <v>Conversor de energia (Transdutor Ultrassonico), parte para uso em maquina de soldagem de componentes eletronicos, por calor  (ref. 4020205750)</v>
          </cell>
        </row>
        <row r="3391">
          <cell r="B3391" t="str">
            <v>MJN53R31201-JR</v>
          </cell>
          <cell r="D3391">
            <v>20601215</v>
          </cell>
          <cell r="E3391">
            <v>85176272</v>
          </cell>
          <cell r="F3391">
            <v>85176272</v>
          </cell>
          <cell r="H3391" t="str">
            <v>Modulos de comunicacAo bidirecional de dados sem fio (recepcAo, conversAo e transmissAo), digitais, emissores de radio frequencia com receptor incorporado, capazes de operar na faixa ISM de frequencias 902 a 928 MHz em redes de topologia "Mesh" ou "Estrela" com espalhamento espectral por salto em frequencia (FHSS), enderecamento IPv6 e potencia de transmissAo de ate +30 dBm e taxa de transmissAo de ate 150 Kbps, disponível com antena interna, para medidores inteligentes de energia eletrica</v>
          </cell>
        </row>
        <row r="3392">
          <cell r="B3392" t="str">
            <v>5636B70213</v>
          </cell>
          <cell r="D3392" t="str">
            <v>5636B70213</v>
          </cell>
          <cell r="E3392">
            <v>90282010</v>
          </cell>
          <cell r="F3392" t="str">
            <v>Not applicable</v>
          </cell>
          <cell r="G3392">
            <v>90282010</v>
          </cell>
          <cell r="H3392" t="str">
            <v>Hidrometro ultrassonico (contador de líquidos) residencial com carcaca de latAo, diAmetro nominal de 25 mm, comprimento 260 mm, R400, vazAo de 10 m3/h e saída pulsada,  com peso líquido unitario aproximado entre 0,5 kg e 2,0 kg.</v>
          </cell>
        </row>
        <row r="3393">
          <cell r="B3393">
            <v>5210200340</v>
          </cell>
          <cell r="D3393">
            <v>40242352</v>
          </cell>
          <cell r="E3393">
            <v>90289090</v>
          </cell>
          <cell r="F3393" t="str">
            <v>Need to update benefit</v>
          </cell>
          <cell r="G3393">
            <v>90289090</v>
          </cell>
          <cell r="H3393" t="str">
            <v>TUBO DE COBRE (CARCACA) A BASE DE COBREZINCO (LATAO), MONTADO, PARA USO EM HIDROMETROS (CONTADORES DE LIQUIDOS) RESIDENCIAIS COM SECAO DE TRANSVERSAL DE 20mm E COMPRIMENTO DE 190mm.</v>
          </cell>
        </row>
        <row r="3394">
          <cell r="B3394">
            <v>5210100900</v>
          </cell>
          <cell r="D3394">
            <v>5210100900</v>
          </cell>
          <cell r="E3394">
            <v>90289090</v>
          </cell>
          <cell r="F3394" t="str">
            <v>Need to update benefit</v>
          </cell>
          <cell r="G3394">
            <v>90289090</v>
          </cell>
          <cell r="H3394" t="str">
            <v>TRANSDUTOR PIEZOELeTRICO 2 MHz PARTE PARA MONTAGEM EM HIDRoMETROS (CONTADORES DE LÍQUIDOS) RESIDENCIAIS DN25 V3 PARA MEDIcAO DE VAZAO.</v>
          </cell>
        </row>
        <row r="3395">
          <cell r="B3395">
            <v>3028400079</v>
          </cell>
          <cell r="D3395">
            <v>3028400079</v>
          </cell>
          <cell r="E3395">
            <v>40169300</v>
          </cell>
          <cell r="F3395" t="str">
            <v>Need to update benefit</v>
          </cell>
          <cell r="G3395">
            <v>40169300</v>
          </cell>
          <cell r="H3395" t="str">
            <v>GAXETA DE VEDAcAO DE MATERIAL DE BORRACHA VULCANIZADA NAO ENDURECIDA, PARA HIDRoMETROS (CONTADORES DE LIQUIDOS) RESIDENCIAIS DN25 V3.</v>
          </cell>
        </row>
        <row r="3396">
          <cell r="B3396">
            <v>3023904159</v>
          </cell>
          <cell r="D3396">
            <v>3023904159</v>
          </cell>
          <cell r="E3396">
            <v>90289090</v>
          </cell>
          <cell r="F3396" t="str">
            <v>Need to update benefit</v>
          </cell>
          <cell r="G3396">
            <v>90289090</v>
          </cell>
          <cell r="H3396" t="str">
            <v>TAMPA DE LACRE DE MATERIAL PLASTICO PARA SECAO DE TUBO DE MEDIDORES DE AGUA (CONTADORES DE LIQUIDOS).</v>
          </cell>
        </row>
        <row r="3397">
          <cell r="B3397">
            <v>3080901850</v>
          </cell>
          <cell r="D3397">
            <v>3080901850</v>
          </cell>
          <cell r="E3397">
            <v>40169300</v>
          </cell>
          <cell r="F3397" t="str">
            <v>Need to update benefit</v>
          </cell>
          <cell r="G3397">
            <v>40169300</v>
          </cell>
          <cell r="H3397" t="str">
            <v>GAXETA DE VEDAcAO DE MATERIAL DE BORRACHA VULCANIZADA NAO ENDURECIDA, PARA HIDRoMETROS (CONTADORES DE LIQUIDOS)  RESIDENCIAIS DN25 V3.             </v>
          </cell>
        </row>
        <row r="3398">
          <cell r="B3398">
            <v>4020113180</v>
          </cell>
          <cell r="D3398" t="str">
            <v>pending</v>
          </cell>
          <cell r="E3398">
            <v>85414111</v>
          </cell>
          <cell r="H3398" t="str">
            <v>Diodo emissor de luz (LED) nAo montado, do tipo PTH, tensAo de alimentacAo DC12V (ref. 4020113180)</v>
          </cell>
        </row>
        <row r="3399">
          <cell r="B3399">
            <v>4032500920</v>
          </cell>
          <cell r="D3399" t="str">
            <v>pending</v>
          </cell>
          <cell r="E3399">
            <v>70199000</v>
          </cell>
          <cell r="H3399" t="str">
            <v>Bandeja de fibra de vidro para maquina de insercAo de componentes eletronicos para contadores (ref.4032500920)</v>
          </cell>
        </row>
        <row r="3400">
          <cell r="B3400">
            <v>4030412240</v>
          </cell>
          <cell r="D3400" t="str">
            <v>NA</v>
          </cell>
          <cell r="E3400">
            <v>84719019</v>
          </cell>
          <cell r="F3400" t="str">
            <v>Not applicable</v>
          </cell>
          <cell r="H3400" t="str">
            <v>Gravadora manual de dados de firmware para contadores (ref. 4030412240)</v>
          </cell>
        </row>
        <row r="3401">
          <cell r="B3401" t="str">
            <v>GADGET.R630</v>
          </cell>
          <cell r="E3401">
            <v>85439090</v>
          </cell>
          <cell r="F3401" t="str">
            <v>Not applicable</v>
          </cell>
          <cell r="G3401">
            <v>85439090</v>
          </cell>
          <cell r="H3401" t="str">
            <v>Placa de circuito impresso, montada com componentes eletronicos, parte de solucao de teste de modulo de comunicacao para medidores de energia (contadores eletricos)</v>
          </cell>
        </row>
        <row r="3402">
          <cell r="B3402" t="str">
            <v>MNGE72R11003</v>
          </cell>
          <cell r="C3402" t="str">
            <v>MNGE72R11003</v>
          </cell>
          <cell r="D3402" t="str">
            <v>NA</v>
          </cell>
          <cell r="E3402">
            <v>85176272</v>
          </cell>
          <cell r="F3402">
            <v>85176272</v>
          </cell>
          <cell r="G3402">
            <v>85176272</v>
          </cell>
          <cell r="H3402" t="str">
            <v>Modulo de comunicacAo de dados sem fio (recepcAo, conversAo e transmissAo) MNGE72.R110, digitais, emissores de radio frequencia com receptor incorporado, para medidores inteligentes de energia eletrica modelo Zeus-NG com tecnologia NB1, NB2 e CAT-M1, operando nas faixas de frequencia de 850/900/1900/2100 MHz e 850/900/1800/1900 MHz, contendo slot para SIM cards 2FF e supercapacitores para funcAo de "Last Gasp" e LEDs para indicacAo de comunicacAo com a rede e com os medidores de energia, com taxa de transmissAo de ate 1,119 Mbit/s</v>
          </cell>
        </row>
        <row r="3403">
          <cell r="B3403">
            <v>7020703950</v>
          </cell>
          <cell r="C3403">
            <v>7020703950</v>
          </cell>
          <cell r="D3403">
            <v>103426</v>
          </cell>
          <cell r="E3403">
            <v>84283300</v>
          </cell>
          <cell r="F3403" t="str">
            <v>Not applicable</v>
          </cell>
          <cell r="G3403">
            <v>84283300</v>
          </cell>
          <cell r="H3403" t="str">
            <v>LINHA DE MONTAGEM MEDIDORES DE AGUA - COM ESTEIRA DE CORREIA AUTOMATICA COM VELOCIDADE CONTROLAVEL, DE ACAO CONTINUA, PARA USO EM OPERACAO DE MONTAGEM DE COMPONENTES EM EQUIPAMENTOS ELETRONICOS :10 METROS + 21 METROS, DIVIDIDOS EM DUAS SECOES, A SECAO FRONTAL E DE 10 METROS (4 METROS DE CAMADA DUPLA LADOS DUPLOS + 6 METROS DE CAMADA UNICA SEM BORDA), A SECAO TRASEIRA E DE 21 METROS (7 METROS DE CAMADA UNICA SEM BORDA + 14 METROS DUPLA CAMADA BILATERAL) LARGURA DA CORREIA 400MM, ALTURA 760MM, COM LAMPADA FLUORESCENTE, COM CAIXA DE MADEIRA.</v>
          </cell>
        </row>
        <row r="3404">
          <cell r="B3404">
            <v>4010401210</v>
          </cell>
          <cell r="C3404">
            <v>4010401210</v>
          </cell>
          <cell r="D3404">
            <v>103427</v>
          </cell>
          <cell r="E3404">
            <v>94032090</v>
          </cell>
          <cell r="F3404" t="str">
            <v>Not applicable</v>
          </cell>
          <cell r="G3404">
            <v>94032090</v>
          </cell>
          <cell r="H3404" t="str">
            <v>MOVEL DE METAL EM ACO INOXIDAVEL, COM PRATELEIRAS PARA USO GERAL, COM RODAS. VEICULO DE ROTATIVIDADE.</v>
          </cell>
        </row>
        <row r="3405">
          <cell r="B3405">
            <v>4030605040</v>
          </cell>
          <cell r="C3405">
            <v>4030605040</v>
          </cell>
          <cell r="D3405">
            <v>103428</v>
          </cell>
          <cell r="E3405">
            <v>94032090</v>
          </cell>
          <cell r="F3405" t="str">
            <v>Not applicable</v>
          </cell>
          <cell r="G3405">
            <v>94032090</v>
          </cell>
          <cell r="H3405" t="str">
            <v>MESA DE TRABALHO DE METAL, DE ELETRICIDADE ESTATICA, PARA USO GERAL (1,5 METROS DE COMPRIMENTO, 0,8 DE LARGURA E 0,9 DE ALTURA).</v>
          </cell>
        </row>
        <row r="3406">
          <cell r="B3406">
            <v>4020111030</v>
          </cell>
          <cell r="C3406">
            <v>4020111030</v>
          </cell>
          <cell r="D3406">
            <v>50726</v>
          </cell>
          <cell r="E3406">
            <v>84672992</v>
          </cell>
          <cell r="F3406" t="str">
            <v>Not applicable</v>
          </cell>
          <cell r="G3406">
            <v>84672992</v>
          </cell>
          <cell r="H3406" t="str">
            <v>PARAFUSADEIRA COM MOTOR ELETRICO INCORPORADO, RETA, DE USO MANUAL.</v>
          </cell>
        </row>
        <row r="3407">
          <cell r="B3407">
            <v>4010204970</v>
          </cell>
          <cell r="C3407">
            <v>4010204970</v>
          </cell>
          <cell r="D3407">
            <v>103429</v>
          </cell>
          <cell r="E3407">
            <v>85152900</v>
          </cell>
          <cell r="F3407" t="str">
            <v>Not applicable</v>
          </cell>
          <cell r="G3407">
            <v>85152900</v>
          </cell>
          <cell r="H3407" t="str">
            <v>ESTACAO DE SOLDA COM PISTOLA DE SOLDA PARA SOLDAGEM DE COMPONENTES ELETRONICOS, COM REGULADOR MANUAL - QUICK 203.</v>
          </cell>
        </row>
        <row r="3408">
          <cell r="B3408">
            <v>7080380100</v>
          </cell>
          <cell r="C3408">
            <v>7080380100</v>
          </cell>
          <cell r="D3408">
            <v>103430</v>
          </cell>
          <cell r="E3408">
            <v>84213990</v>
          </cell>
          <cell r="F3408" t="str">
            <v>Not applicable</v>
          </cell>
          <cell r="G3408">
            <v>84213990</v>
          </cell>
          <cell r="H3408" t="str">
            <v>SISTEMA DE FILTRAGEM UNICA DE DUPLA POSICAO, ESTACAO SISTEMA DE PURIFICACAO DE FUMACA, DE SOLDA, COM MOTOR INCORPORADO, COM 5 FILTROS DE ALGODAO, MARCA QUICK6602.</v>
          </cell>
        </row>
        <row r="3409">
          <cell r="B3409">
            <v>4010302150</v>
          </cell>
          <cell r="C3409">
            <v>4010302150</v>
          </cell>
          <cell r="D3409">
            <v>103431</v>
          </cell>
          <cell r="E3409">
            <v>90303200</v>
          </cell>
          <cell r="F3409" t="str">
            <v>Not applicable</v>
          </cell>
          <cell r="G3409">
            <v>90303200</v>
          </cell>
          <cell r="H3409" t="str">
            <v>MULTIMETRO DIGITAL, TENSAO DC DIGITAL DE ALTA PRECISAO DE SEIS DIGITOS E MEIO E AMPERIMETRO MILIVOLTS MILIAMPERES COMUNICACAO SERIAL YIHENG ME010.</v>
          </cell>
        </row>
        <row r="3410">
          <cell r="B3410" t="str">
            <v>5636B70116</v>
          </cell>
          <cell r="C3410" t="str">
            <v>5636B70116</v>
          </cell>
          <cell r="E3410">
            <v>90282010</v>
          </cell>
          <cell r="F3410" t="str">
            <v>Not applicable</v>
          </cell>
          <cell r="G3410">
            <v>90282010</v>
          </cell>
          <cell r="H3410" t="str">
            <v>HIDROMETRO ULTRASSONICO (CONTADOR DE LIQUIDOS) RESIDENCIAL COM CARCACA DE LATAO, DIAMETRO NOMINAL DE 25MM, COMPRIMENTO 260 MM, VAZAO DE 10 M3/H; R400 E SAÍDA PULSADA ( ZLW25-10), COM PESO LÍQUIDO UNITARIO APROXIMADO ENTRE 0,5 KG E 2,0 KG.</v>
          </cell>
        </row>
        <row r="3411">
          <cell r="B3411">
            <v>2120306540</v>
          </cell>
          <cell r="C3411">
            <v>2120306540</v>
          </cell>
          <cell r="E3411">
            <v>85241100</v>
          </cell>
          <cell r="G3411">
            <v>85241100</v>
          </cell>
          <cell r="H3411" t="str">
            <v>Modulo de visualizacao de tela (ecra) plana (Mostrador), de cristal líquido, sem controlador (driver) nem circuito de controle, para medidores eletronicos de energia eletrica utilizados em processo de  montagem  por insercao (PTH), com tensao de operacao 3,4V e dimensoes 52.5 x 23.2 mm</v>
          </cell>
        </row>
        <row r="3412">
          <cell r="B3412">
            <v>2150155190</v>
          </cell>
          <cell r="C3412">
            <v>2150155190</v>
          </cell>
          <cell r="E3412">
            <v>85340033</v>
          </cell>
          <cell r="F3412" t="str">
            <v>Not applicable</v>
          </cell>
          <cell r="G3412">
            <v>85340033</v>
          </cell>
          <cell r="H3412" t="str">
            <v>PLACA DE CIRCUITO IMPRESSO, DE NATUREZA DO MATERIAL BASE RIGIDO, COMPOSICAO DA PLACA DE ISOLANTE DE RESINA EPÓXIDA E TECIDO DE FIBRA DE VIDRO, ESTRUTURA DE DUPLA FACE E INTERLIGACAO ENTRE FACES POR FUROS METALIZADOS; dimensoes 185.1mm x 107.16mm x 1.6mm/3 nao-RoH</v>
          </cell>
        </row>
        <row r="3413">
          <cell r="B3413">
            <v>2020101490</v>
          </cell>
          <cell r="E3413">
            <v>85322410</v>
          </cell>
          <cell r="F3413" t="str">
            <v>Not applicable</v>
          </cell>
          <cell r="G3413">
            <v>85322410</v>
          </cell>
          <cell r="H3413" t="str">
            <v>Capacitor (condensador elétrico fixo) Com dielétrico de cerâmica, de camadas múltiplas, próprios para montagem em superfície SMD; Capacitância 1.5 pF; Tensão nominal 50Vdc; Tolerância 15%; Encapsulamento 0402</v>
          </cell>
        </row>
        <row r="3414">
          <cell r="B3414">
            <v>2150160980</v>
          </cell>
          <cell r="C3414">
            <v>2150160980</v>
          </cell>
          <cell r="E3414">
            <v>85340033</v>
          </cell>
          <cell r="F3414" t="str">
            <v>Not applicable</v>
          </cell>
          <cell r="G3414">
            <v>85340033</v>
          </cell>
          <cell r="H3414" t="str">
            <v>PLACA DE CIRCUITO IMPRESSO, DE NATUREZA DO MATERIAL BASE RÍGIDO, COMPOSIÇÃO DA PLACA DE ISOLANTE DE RESINA EPÓXIDA E TECIDO DE FIBRA DE VIDRO, ESTRUTURA DE DUPLA FACE E INTERLIGAÇÃO ENTRE FACES POR FUROS METALIZADOS; dimensões 310,32mm x 167,128mm</v>
          </cell>
        </row>
        <row r="3415">
          <cell r="B3415">
            <v>3142900090</v>
          </cell>
          <cell r="C3415">
            <v>3142900090</v>
          </cell>
          <cell r="D3415">
            <v>40279002</v>
          </cell>
          <cell r="E3415">
            <v>74153900</v>
          </cell>
          <cell r="F3415" t="str">
            <v>Need to update benefit</v>
          </cell>
          <cell r="G3415">
            <v>74153900</v>
          </cell>
          <cell r="H3415" t="str">
            <v>ACOPLAMENTO ROSCADO DE COBRE PARA HIDROMETRO, A BASE DE COBREZINCO (LATAO), PARA USO EM HIDROMETROS (CONTADORES DE LIQUIDOS) RESIDENCIAIS, COM SECAO DE TRANSVERSAL DE 25mm.</v>
          </cell>
        </row>
        <row r="3416">
          <cell r="B3416">
            <v>3142900110</v>
          </cell>
          <cell r="C3416">
            <v>3142900110</v>
          </cell>
          <cell r="D3416">
            <v>40279000</v>
          </cell>
          <cell r="E3416">
            <v>74153900</v>
          </cell>
          <cell r="F3416" t="str">
            <v>Need to update benefit</v>
          </cell>
          <cell r="G3416">
            <v>74153900</v>
          </cell>
          <cell r="H3416" t="str">
            <v>ACOPLAMENTO ROSCADO DE COBRE PARA HIDROMETRO, A BASE DE COBRE ZINCO (LATAO), PARA USO EM HIDROMETROS (CONTADORES DE LIQUIDOS) RESIDENCIAIS, COM SECAO DE TRANSVERSAL DE 15mm E COMPRIMENTO DE 165mm.</v>
          </cell>
        </row>
        <row r="3417">
          <cell r="B3417">
            <v>3142900080</v>
          </cell>
          <cell r="C3417">
            <v>3142900080</v>
          </cell>
          <cell r="D3417">
            <v>40279001</v>
          </cell>
          <cell r="E3417">
            <v>74153900</v>
          </cell>
          <cell r="F3417" t="str">
            <v>Need to update benefit</v>
          </cell>
          <cell r="G3417">
            <v>74153900</v>
          </cell>
          <cell r="H3417" t="str">
            <v>ACOPLAMENTO ROSCADO DE COBRE PARA HIDROMETRO, A BASE DE COBREZINCO (LATAO), PARA USO EM HIDROMETROS (CONTADORES DE LIQUIDOS) RESIDENCIAIS, COM SECAO DE TRANSVERSAL DE 20mm.</v>
          </cell>
        </row>
        <row r="3418">
          <cell r="B3418">
            <v>3013603050</v>
          </cell>
          <cell r="E3418">
            <v>85043111</v>
          </cell>
          <cell r="H3418" t="str">
            <v>Transformador ELETRICO de corrente bipartido de potencia 2,5VA(0,0025kVA), para frequencia de 60 Hz, relação de transformacao 500/5 classe 0.5 com derivacao p/ medicao de tensao, comprimento 4M.</v>
          </cell>
        </row>
        <row r="3419">
          <cell r="B3419">
            <v>2030100631</v>
          </cell>
          <cell r="C3419">
            <v>2030100631</v>
          </cell>
          <cell r="D3419">
            <v>20691954</v>
          </cell>
          <cell r="E3419">
            <v>85045010</v>
          </cell>
          <cell r="F3419" t="str">
            <v>Need to update benefit</v>
          </cell>
          <cell r="G3419">
            <v>85045000</v>
          </cell>
          <cell r="H3419" t="str">
            <v>Bobina de autoinducao (indutor) 4.7µH, de largura 3mm e comprimento 3mm, e altura 1.5mm,  para montagem em superfície (SMD), de frequencia de 1MHz, intensidade de corrente de 1.36A, 0.17Ω.</v>
          </cell>
        </row>
        <row r="3420">
          <cell r="B3420">
            <v>2030100291</v>
          </cell>
          <cell r="E3420">
            <v>85045010</v>
          </cell>
          <cell r="H3420" t="str">
            <v>Bobina de autoinducao (indutor) de chip, de largura 0,5 mm e comprimento 1 mm, e altura 0,3 mm, para montagem em superfície SMD, indutancia 10nH, tolerancia de 5%, 0.26 Ohms de resistencia, corrente máxima 300mA, encapsulamento 0402.</v>
          </cell>
        </row>
        <row r="3421">
          <cell r="B3421">
            <v>2030100831</v>
          </cell>
          <cell r="E3421">
            <v>85045010</v>
          </cell>
          <cell r="H3421" t="str">
            <v>Bobina de autoinducao (indutor) de chip, de largura 0,5 mm e comprimento 1 mm, e altura 0,3 mm, para montagem em superfície SMD, indutancia 5.6nH,  tolerancia de 5%, 0.083 Ohms de resistencia, corrente máxima 760mA, encapsulamento 0402.</v>
          </cell>
        </row>
        <row r="3422">
          <cell r="B3422">
            <v>2030100841</v>
          </cell>
          <cell r="E3422">
            <v>85045010</v>
          </cell>
          <cell r="H3422" t="str">
            <v>Bobina de autoinducao (indutor) de chip, de largura 0,5 mm e comprimento 1 mm, e altura 0,3 mm, para montagem em superfície SMD, indutancia 1.5nH, tolerancia de 5%, 0.1 Ohms de resistencia, corrente máxima 400mA, encapsulamento 0402.</v>
          </cell>
        </row>
        <row r="3423">
          <cell r="B3423">
            <v>2030100851</v>
          </cell>
          <cell r="E3423">
            <v>85045010</v>
          </cell>
          <cell r="H3423" t="str">
            <v>Bobina de autoinducao (indutor) de chip, de largura 0,5 mm e comprimento 1 mm, e altura 0,3 mm, para montagem em superfície SMD, indutancia 33nH, tolerancia de 5%, 0.4 Ohms de resistencia, corrente máxima 400mA, encapsulamento 0402.</v>
          </cell>
        </row>
        <row r="3424">
          <cell r="B3424">
            <v>2020101390</v>
          </cell>
          <cell r="C3424">
            <v>2020101390</v>
          </cell>
          <cell r="E3424">
            <v>85322310</v>
          </cell>
          <cell r="F3424" t="str">
            <v>Not applicable</v>
          </cell>
          <cell r="G3424">
            <v>85322310</v>
          </cell>
          <cell r="H3424" t="str">
            <v>CAPACITOR (CONDENSDOR ELeTRICO FIXO) COM DIELeTRICO DE CERAMICA DE UMA So CAMADA , proprios para montagem em superficie SMD; Capacitancia 6.8 pF; 0.25 pF; Tensao nominal 50Vdc; Encapsulamento 0402</v>
          </cell>
        </row>
        <row r="3425">
          <cell r="B3425">
            <v>2020101590</v>
          </cell>
          <cell r="C3425">
            <v>2020101590</v>
          </cell>
          <cell r="E3425">
            <v>85322310</v>
          </cell>
          <cell r="F3425" t="str">
            <v>Not applicable</v>
          </cell>
          <cell r="G3425">
            <v>85322310</v>
          </cell>
          <cell r="H3425" t="str">
            <v>CAPACITOR (CONDENSDOR ELeTRICO FIXO) COM DIELeTRICO DE CERAMICA DE UMA So CAMADA  , proprios para montagem em superficie SMD; pacitancia 8.2 pF; 0.25 pF; Tensao nominal 50Vdc; Encapsulamento 0402</v>
          </cell>
        </row>
        <row r="3426">
          <cell r="B3426">
            <v>2020101430</v>
          </cell>
          <cell r="C3426">
            <v>2020101430</v>
          </cell>
          <cell r="E3426">
            <v>85322410</v>
          </cell>
          <cell r="F3426" t="str">
            <v>Not applicable</v>
          </cell>
          <cell r="G3426">
            <v>85322410</v>
          </cell>
          <cell r="H3426" t="str">
            <v>Capacitor (CONDENSADOR ELeTRICO FIXO) Com dieletrico de cerAmica, de camadas multiplas, proprios para montagem em superfície SMD; Capacitancia 18pF; Tensao nominal 50Vdc; Tolerancia 5%; Encapsulamento 0402</v>
          </cell>
        </row>
        <row r="3427">
          <cell r="B3427">
            <v>2110300281</v>
          </cell>
          <cell r="C3427">
            <v>2110300281</v>
          </cell>
          <cell r="E3427">
            <v>85416010</v>
          </cell>
          <cell r="H3427" t="str">
            <v>Cristal piezeletrico  montados de quartzo, de frequencia igual a 32 MHz; Capacitancia 12pF; dimensoes 3,2 x 2,5 x 0,8mm.</v>
          </cell>
        </row>
        <row r="3428">
          <cell r="B3428">
            <v>5210200350</v>
          </cell>
          <cell r="D3428">
            <v>40242353</v>
          </cell>
          <cell r="E3428">
            <v>90289090</v>
          </cell>
          <cell r="F3428" t="str">
            <v>Need to update benefit</v>
          </cell>
          <cell r="G3428">
            <v>90289090</v>
          </cell>
          <cell r="H3428" t="str">
            <v>TUBO DE COBRE (CARCACA) A BASE DE COBREZINCO (LATAO), MONTADO, PARA USO EM HIDROMETROS RESIDENCIAIS COM SECAO DE TRANSVERSAL DE 25mm E COMPRIMENTO DE 260mm.</v>
          </cell>
        </row>
        <row r="3429">
          <cell r="B3429">
            <v>6005000670</v>
          </cell>
          <cell r="C3429">
            <v>6005000670</v>
          </cell>
          <cell r="D3429">
            <v>20601000</v>
          </cell>
          <cell r="E3429">
            <v>90289090</v>
          </cell>
          <cell r="F3429" t="str">
            <v>Need to update benefit</v>
          </cell>
          <cell r="G3429">
            <v>90289090</v>
          </cell>
          <cell r="H3429" t="str">
            <v>Transdutor Piezoeletrico 2 MHz parte para montagem em hidrometros (contadores de liquidos) residenciais (DN15; DN20; DN25) para medicao de vazao.</v>
          </cell>
        </row>
        <row r="3430">
          <cell r="B3430">
            <v>2150160560</v>
          </cell>
          <cell r="C3430">
            <v>2150160560</v>
          </cell>
          <cell r="E3430">
            <v>85340033</v>
          </cell>
          <cell r="F3430" t="str">
            <v>Not applicable</v>
          </cell>
          <cell r="G3430">
            <v>85340033</v>
          </cell>
          <cell r="H3430" t="str">
            <v>PLACA DE CIRCUITO IMPRESSO, DE NATUREZA DO MATERIAL BASE RIGIDO, COMPOSICAO DA PLACA DE ISOLANTE DE RESINA EPOXIDA E TECIDO DE FIBRA DE VIDRO, ESTRUTURA DE DUPLA FACE E INTERLIGACAO ENTRE FACES POR FUROS METALIZADOS; dimensoes 320mm x 216,6mm</v>
          </cell>
        </row>
        <row r="3431">
          <cell r="B3431">
            <v>3030105810</v>
          </cell>
          <cell r="C3431">
            <v>3030105810</v>
          </cell>
          <cell r="E3431">
            <v>73181500</v>
          </cell>
          <cell r="G3431">
            <v>73181500</v>
          </cell>
          <cell r="H3431" t="str">
            <v>Parafuso de cabeça cilíndrica, com rosca completa e fenda cruzada, de materia-prima base aço baixo carbono; de processo de fabricacao forjado e usinado; tamanho M3x5 mm, com acabamento superficial em aco zincado branco.</v>
          </cell>
        </row>
        <row r="3432">
          <cell r="B3432">
            <v>2050501751</v>
          </cell>
          <cell r="C3432">
            <v>2050501751</v>
          </cell>
          <cell r="E3432">
            <v>85423221</v>
          </cell>
          <cell r="H3432" t="str">
            <v>Circuito Integrado (CI) Eletronicos de memoria EEPROM montados, próprias para montagem em superfície SMD, dos tipos RAM estatica com tempo de acesso rápido e de tensao de 1.7Mbit~5.5V, capacidade de memória 256Kb, comunicacao I2C, encapsulamento SOP8 (150mil).</v>
          </cell>
        </row>
        <row r="3433">
          <cell r="B3433">
            <v>2120303360</v>
          </cell>
          <cell r="C3433">
            <v>2120303360</v>
          </cell>
          <cell r="E3433">
            <v>85241100</v>
          </cell>
          <cell r="H3433" t="str">
            <v>Modulo de visualizacao de tela (ecra) plana (Mostrador), de cristal líquido, sem controlador (driver) nem circuito de controle, para medidores eletronicos de energia eletrica utilizados em processo de  montagem  por insercao (PTH), com tensao de operacao 3V, com dimensoes de display de 6 mm de comprimento e 18 mm de largura. Com dimensoes gerais de 65 mm de comprimento, 30 mm de largura, 32.2 mm de altura e espessura de 2 mm.</v>
          </cell>
        </row>
        <row r="3434">
          <cell r="B3434">
            <v>2130101610</v>
          </cell>
          <cell r="C3434">
            <v>2130101610</v>
          </cell>
          <cell r="E3434">
            <v>85414111</v>
          </cell>
          <cell r="H3434" t="str">
            <v>Diodos emissores de luz (LED) nAo montado para funcao backlight, de tensao de operacao 3V white, de modulo com 71.7mm de comprimento, 32.4mm de largura e 26.4 de altura, com pino de 29.5mm, para montagem por insercao PTH.</v>
          </cell>
        </row>
        <row r="3435">
          <cell r="B3435">
            <v>3023302880</v>
          </cell>
          <cell r="C3435">
            <v>3023302880</v>
          </cell>
          <cell r="D3435">
            <v>3023302880</v>
          </cell>
          <cell r="E3435">
            <v>40169300</v>
          </cell>
          <cell r="F3435" t="str">
            <v>Need to update benefit</v>
          </cell>
          <cell r="G3435">
            <v>40169300</v>
          </cell>
          <cell r="H3435" t="str">
            <v>GAXETA DE VEDACAO DE MATERIAL BORRACHA VULCANIZADA NAO ENDURECIDA PARA PROTECAO DE LEDS DE HIDROMETROS (CONTADORES DE LIQUIDOS) INDUSTRIAIS, COR PRETA, DIAMETRO EXTERNO DE 7MM, DIAMETRO INTERNO DE 5MM, DISTANCIA ENTRE CENTROS DE 6,5MM E ALTURA DE 10MM.</v>
          </cell>
        </row>
        <row r="3436">
          <cell r="B3436">
            <v>3023903529</v>
          </cell>
          <cell r="C3436">
            <v>3023903529</v>
          </cell>
          <cell r="E3436">
            <v>90289090</v>
          </cell>
          <cell r="F3436" t="str">
            <v>Need to update benefit</v>
          </cell>
          <cell r="G3436">
            <v>90289090</v>
          </cell>
          <cell r="H3436" t="str">
            <v>VEDACAO DE PLASTICO DE MATERIAL POLICARBONATO PARA PROTECAO DE CABECA DE PARAFUSO ALLEN DE HIDROMETROS (CONTADORES DE LIQUIDOS) INDUSTRIAIS</v>
          </cell>
        </row>
        <row r="3437">
          <cell r="B3437">
            <v>3100123440</v>
          </cell>
          <cell r="C3437">
            <v>3100123440</v>
          </cell>
          <cell r="E3437">
            <v>76061190</v>
          </cell>
          <cell r="F3437" t="str">
            <v>Need to update benefit</v>
          </cell>
          <cell r="G3437">
            <v>76061190</v>
          </cell>
          <cell r="H3437" t="str">
            <v>PLAQUETA DE ALUMINIO DE DIMENSOES 69,5X13,5 E ESPESSURA DE 0,5MM PARA GRAVACAO DE CODIGOS DE BARRAS - SEM IMPRESSAO, PARA MEDIDORES DE AGUA (CONTADORES DE LIQUIDOS).</v>
          </cell>
        </row>
        <row r="3438">
          <cell r="B3438">
            <v>3031900251</v>
          </cell>
          <cell r="C3438">
            <v>3031900251</v>
          </cell>
          <cell r="E3438">
            <v>76161000</v>
          </cell>
          <cell r="F3438">
            <v>76161000</v>
          </cell>
          <cell r="G3438">
            <v>76161000</v>
          </cell>
          <cell r="H3438" t="str">
            <v>REBITE DE ALUMINIO PARA FIXACAO DE PLAQUETA METALICA PARA MEDIDORES DE AGUA (CONTADORES DE LIQUIDOS).</v>
          </cell>
        </row>
        <row r="3439">
          <cell r="B3439">
            <v>4010401830</v>
          </cell>
          <cell r="E3439">
            <v>39231090</v>
          </cell>
          <cell r="H3439" t="str">
            <v>Caixa de material de plastico, antiestatica (ESD), para acomodacAo e transporte de componentes eletronicos</v>
          </cell>
        </row>
        <row r="3440">
          <cell r="B3440" t="str">
            <v>HXWSG100R21104-ALL</v>
          </cell>
          <cell r="C3440" t="str">
            <v>HXWSG100R21104-ALL</v>
          </cell>
          <cell r="E3440">
            <v>85176294</v>
          </cell>
          <cell r="G3440">
            <v>85176294</v>
          </cell>
          <cell r="H3440" t="str">
            <v>Sub-roteadores de radio frequencia, para comunicacao de dados, compativeis com o padrao WiSUN e IEEE802.15.4g, capazes de operar na faixa ISM de 902 a 928 MHz em redes de topologia "Mesh" ou "Estrela" com espalhamento espectral por salto em frequencia (FHSS), endereçamento IPv6 e potencia de transmissao de até +30 dBm,  possuindo ainda, alimentacao "full-range" 80 ~ 300 VAC.</v>
          </cell>
        </row>
        <row r="3441">
          <cell r="B3441" t="str">
            <v>HXAP1000R31006-ALL</v>
          </cell>
          <cell r="C3441" t="str">
            <v>HXAP1000R31006-ALL</v>
          </cell>
          <cell r="E3441">
            <v>85176241</v>
          </cell>
          <cell r="G3441">
            <v>85176241</v>
          </cell>
          <cell r="H3441" t="str">
            <v>Roteadores de borda, para comunicacao de dados, compativeis com o padrao WiSUN e IEEE802.15.4g, capazes de operar na faixa ISM de 902 a 928MHz em redes de topologia "Mesh" ou "Estrela" com espalhamento espectral por salto em frequencia (FHSS) e/ou OFDM, endereçamento IPv6 e potencia de transmissao de até +30dBm, com interface de comunicacao "fast ethernet" e alimentacao "full-range" de 85 a 336VAC, com suporte à tecnologia de comunicacao celular 5G</v>
          </cell>
        </row>
        <row r="3442">
          <cell r="B3442">
            <v>3023902939</v>
          </cell>
          <cell r="E3442">
            <v>90289010</v>
          </cell>
          <cell r="H3442" t="str">
            <v>Tampa Plastica de Vedacao "Snap Seal",  parte para montagem de medidores de energia (Contadores de Eletricidade) HXE12DL (3023902939)</v>
          </cell>
        </row>
        <row r="3443">
          <cell r="B3443" t="str">
            <v>MJN53R31404-COMM</v>
          </cell>
          <cell r="C3443" t="str">
            <v>MJN53R31404-COMM</v>
          </cell>
          <cell r="E3443">
            <v>85176272</v>
          </cell>
          <cell r="G3443">
            <v>85176272</v>
          </cell>
          <cell r="H3443" t="str">
            <v>Módulos de comunicacao bidirecional de dados sem fio (recepcao, conversao e transmissao), digitais, emissores de rádio frequencia com receptor incorporado, capazes de operar na faixa ISM de frequencias 902 a 928 MHz, com taxa de transmissao de até 150 Kbps, para medidores (contadores) inteligentes de energia elétrica</v>
          </cell>
        </row>
        <row r="3444">
          <cell r="B3444" t="str">
            <v>MJN53R31404-COMM.PKI</v>
          </cell>
          <cell r="C3444" t="str">
            <v>MJN53R31404-COMM.PKI</v>
          </cell>
          <cell r="E3444">
            <v>85176272</v>
          </cell>
          <cell r="G3444">
            <v>85176272</v>
          </cell>
          <cell r="H3444" t="str">
            <v>Módulos de comunicacao bidirecional de dados sem fio (recepcao, conversao e transmissao), digitais, emissores de rádio frequencia com receptor incorporado, capazes de operar na faixa ISM de frequencias 902 a 928 MHz, com taxa de transmissao de até 150 Kbps, para medidores (contadores) inteligentes de energia elétrica, com suporte à PKI.</v>
          </cell>
        </row>
        <row r="3445">
          <cell r="B3445">
            <v>2010111740</v>
          </cell>
          <cell r="C3445">
            <v>2010111740</v>
          </cell>
          <cell r="D3445">
            <v>2010111740</v>
          </cell>
          <cell r="E3445">
            <v>85332120</v>
          </cell>
          <cell r="H3445" t="str">
            <v>Resistor (RESITENCIA ELETRICA FIXA) proprio para montagem em superficie (SMD), encapsulamento 1206, resistencia 1 Ohm,  tolerancia 1%,  potencia 0.25 (1/4)W.</v>
          </cell>
        </row>
        <row r="3446">
          <cell r="B3446">
            <v>2030900941</v>
          </cell>
          <cell r="C3446">
            <v>2030900941</v>
          </cell>
          <cell r="E3446">
            <v>85045010</v>
          </cell>
          <cell r="H3446" t="str">
            <v>Bobina de auto-inducao (indutor) de fio enrolado, para montagem em superfície SMD, tolerância de 25%, 120 Ohms a 100MHz de resistência, corrente máxima 3A, encapsulamento 1608, certificacao RoHS, dimensoes 1.6mm de comprimento, 0.8mm de largura e 0.6mm de altura.</v>
          </cell>
        </row>
        <row r="3447">
          <cell r="B3447">
            <v>2050102950</v>
          </cell>
          <cell r="C3447">
            <v>2050102950</v>
          </cell>
          <cell r="E3447">
            <v>85423120</v>
          </cell>
          <cell r="H3447" t="str">
            <v>CIRCUITO INTEGRADO (CI) ELETRONICO CONTROLADOR, montado, proprio para montagem em superfície (SMD) LQFP100, memoria Flash 256KB.Tensao de operacao 1.71V~1.995V, modelo de microprocessador de 32 bits, DE FREQUENCIA DE CLOCK 200MHz, encapsulamento LQFP100 (22050102950)</v>
          </cell>
        </row>
        <row r="3448">
          <cell r="B3448">
            <v>2020101440</v>
          </cell>
          <cell r="C3448">
            <v>2020101440</v>
          </cell>
          <cell r="E3448">
            <v>85322410</v>
          </cell>
          <cell r="F3448" t="str">
            <v>Not applicable</v>
          </cell>
          <cell r="G3448">
            <v>85322410</v>
          </cell>
          <cell r="H3448" t="str">
            <v>Capacitor (CONDENSADOR ELETRICO FIXO) Com dielEtrico de ceramica, de camadas multiplas, proprios para montagem em superficie SMD; Capacitância 47.0nF; Tensao nominal 25.0Vdc; Tolerancia 10%; Encapsulamento 0402</v>
          </cell>
        </row>
        <row r="3449">
          <cell r="B3449">
            <v>2110301450</v>
          </cell>
          <cell r="C3449">
            <v>2110301450</v>
          </cell>
          <cell r="E3449">
            <v>85416010</v>
          </cell>
          <cell r="H3449" t="str">
            <v>Cristal piezeletrico montados de quartzo, de frequencia igual a 12 MHz; Capacitancia 12pF; dimensoes 3,2 x 2,5 x 0,7mm.</v>
          </cell>
        </row>
        <row r="3450">
          <cell r="B3450">
            <v>2150166490</v>
          </cell>
          <cell r="C3450">
            <v>2150166490</v>
          </cell>
          <cell r="E3450">
            <v>85340033</v>
          </cell>
          <cell r="F3450" t="str">
            <v>Not applicable</v>
          </cell>
          <cell r="G3450">
            <v>85340033</v>
          </cell>
          <cell r="H3450" t="str">
            <v xml:space="preserve">PLACA DE CIRCUITO IMPRESSO DE DUPLA FACE INTERLIGADAS POR FUROS METALIZADOS, RÍGIDA, COM ISOLANTE DE RESINA EPÓXIDA E TECIDO DE FIBRA DE VIDRO; dimensoes 144.0mm de comprimento x 94.0mm de largura x 1.6mm de altura/2 nao-RoHS </v>
          </cell>
        </row>
        <row r="3451">
          <cell r="B3451">
            <v>2060700151</v>
          </cell>
          <cell r="C3451">
            <v>2060700151</v>
          </cell>
          <cell r="E3451">
            <v>85412120</v>
          </cell>
          <cell r="H3451" t="str">
            <v>DISPOSITIVO SEMICONDUTOR TIPO TRANSISTOR mosfet NMOS, MONTADO, PRoPRIO PARA MONTAGEM EM SUPERFÍCIE SMD  Tensão de drenagem 60V, corrente de drenagem 0.115A, resistência de 7 Ohms; encapsulamento SOT-23 (2060700151).</v>
          </cell>
        </row>
        <row r="3452">
          <cell r="B3452" t="str">
            <v>59A88111211</v>
          </cell>
          <cell r="C3452" t="str">
            <v>59A88111211</v>
          </cell>
          <cell r="E3452">
            <v>90282010</v>
          </cell>
          <cell r="G3452">
            <v>90282010</v>
          </cell>
          <cell r="H3452" t="str">
            <v>Hidrometro eletromagnetico industrial com carcaça de aço inox, diâmetro nominal de 150mm, comprimento 300 mm, vazao de 160 m3/h, R400, com saida de pulso/modbus.</v>
          </cell>
        </row>
        <row r="3453">
          <cell r="B3453">
            <v>59683113222</v>
          </cell>
          <cell r="C3453">
            <v>59683113222</v>
          </cell>
          <cell r="E3453">
            <v>90282010</v>
          </cell>
          <cell r="G3453">
            <v>90282010</v>
          </cell>
          <cell r="H3453" t="str">
            <v>HIDROMETRO (CONTADOR DE LIQUIDO) VAZAO ELETROMAGNETICO INDUSTRIAL COM CARCAÇA DE AÇO INOX, DIAMETRO NOMINAL DE 50MM, COMPRIMENTO 200 MM, ELETRODO: STANDART; CONEXAO FLANGE ANSI B16.5 # 150 lbs RF; COMUNICACAO: HART HC; HART + ANALOGICA 4-20 MA, REMOTO E PULSO (HXW510-DN50).</v>
          </cell>
        </row>
        <row r="3454">
          <cell r="B3454">
            <v>3080901940</v>
          </cell>
          <cell r="C3454">
            <v>3080901940</v>
          </cell>
          <cell r="D3454">
            <v>3023302880</v>
          </cell>
          <cell r="E3454">
            <v>40169300</v>
          </cell>
          <cell r="F3454" t="str">
            <v>Need to update benefit</v>
          </cell>
          <cell r="G3454">
            <v>40169300</v>
          </cell>
          <cell r="H3454" t="str">
            <v>GAXETA DE VEDACAO DE MATERIAL DE BORRACHA VULCANIZADA NAO ENDURECIDA DE SILICONE PARA HIDROMETROS (CONTADORES DE LIQUIDOS) INDUSTRIAIS DN40.</v>
          </cell>
        </row>
        <row r="3455">
          <cell r="B3455">
            <v>3142100520</v>
          </cell>
          <cell r="C3455">
            <v>3142100520</v>
          </cell>
          <cell r="E3455">
            <v>90289090</v>
          </cell>
          <cell r="F3455" t="str">
            <v>Need to update benefit</v>
          </cell>
          <cell r="G3455">
            <v>90289090</v>
          </cell>
          <cell r="H3455" t="str">
            <v>TUBO (CARCACA) EM LATAO A BASE DE COBREZINCO, TOTALMENTE MONTADO, DESTINADO AO USO EM HIDROMETROS (CONTADORES DE LIQUIDOS) RESIDENCIAIS. POSSUI SECAO TRANSVERSAL NOMINAL DE 40 MM E COMPRIMENTO TOTAL DE 300 MM.</v>
          </cell>
        </row>
        <row r="3456">
          <cell r="B3456">
            <v>3041901490</v>
          </cell>
          <cell r="C3456">
            <v>3041901490</v>
          </cell>
          <cell r="E3456">
            <v>90289090</v>
          </cell>
          <cell r="F3456" t="str">
            <v>Need to update benefit</v>
          </cell>
          <cell r="G3456">
            <v>90289090</v>
          </cell>
          <cell r="H3456" t="str">
            <v>PLACA DE PRESSAO INOX PARA MONTAGEM EM HIDROMETRO (CONTADORES DE LIQUIDOS) DISTRITAL DN40.</v>
          </cell>
        </row>
        <row r="3457">
          <cell r="B3457">
            <v>9140194002</v>
          </cell>
          <cell r="C3457">
            <v>9140194002</v>
          </cell>
          <cell r="E3457">
            <v>90289010</v>
          </cell>
          <cell r="F3457" t="str">
            <v>Not applicable</v>
          </cell>
          <cell r="G3457">
            <v>90289010</v>
          </cell>
          <cell r="H3457" t="str">
            <v>Placa de circuito impresso montada com componentes eletronicos (PCBA), parte para montagem em medidores de energia eletrica (contadores de eletricidade) trifasicos digitais - PCBA Zeus 8023-2,5-NG - 3P4W; RS232; 0.5%; S/Corrente Neutro; RF-15V; SU; PO ABNT</v>
          </cell>
        </row>
        <row r="3458">
          <cell r="B3458">
            <v>9140195002</v>
          </cell>
          <cell r="C3458">
            <v>9140195002</v>
          </cell>
          <cell r="E3458">
            <v>90289010</v>
          </cell>
          <cell r="F3458" t="str">
            <v>Not applicable</v>
          </cell>
          <cell r="G3458">
            <v>90289010</v>
          </cell>
          <cell r="H3458" t="str">
            <v>Placa de circuito impresso montada com componentes eletronicos (PCBA), parte para montagem em medidores de energia eletrica (contadores de eletricidade) trifasicos digitais - Medidor Zeus 8023-200-NG - 3P4W; RS232; 0.5%; S/Corrente Neutro; RF-15V; SU; PO ABNT</v>
          </cell>
        </row>
        <row r="3459">
          <cell r="B3459">
            <v>3010315140</v>
          </cell>
          <cell r="E3459">
            <v>85364100</v>
          </cell>
          <cell r="G3459">
            <v>85364100</v>
          </cell>
          <cell r="H3459" t="str">
            <v>Rele de corrente maxima de comutaçao 100A,Tensao de 12V, Derivacao de cobre manganes 120μΩ, Nao magnetico; FORMA CONSTRUTIVO ELETROMECANICO bifasica, PESO APROXIMADO 66 a 67g (3010315140).</v>
          </cell>
        </row>
        <row r="3460">
          <cell r="B3460">
            <v>2150164240</v>
          </cell>
          <cell r="E3460">
            <v>85340033</v>
          </cell>
          <cell r="F3460" t="str">
            <v>Not applicable</v>
          </cell>
          <cell r="G3460">
            <v>85340033</v>
          </cell>
          <cell r="H3460" t="str">
            <v>PLACA DE CIRCUITO IMPRESSO, DE NATUREZA DO MATERIAL BASE RIGIDO, COMPOSICAO DA PLACA DE ISOLANTE DE RESINA EPOXIDA E TECIDO DE FIBRA DE VIDRO, ESTRUTURA DE DUPLA FACE E INTERLIGACAO ENTRE FACES POR FUROS METALIZADOS; dimensões 273.0mm de comprimento x 160.9 mm de largura e 1.6mm de altura/2 não-RoHs (2150164240).</v>
          </cell>
        </row>
        <row r="3461">
          <cell r="B3461">
            <v>2052700080</v>
          </cell>
          <cell r="E3461">
            <v>85423939</v>
          </cell>
          <cell r="H3461" t="str">
            <v>Circuito integrado eletronico tipo regulador de tensAo Low Drop-out, montado, proprio para montagem em superficie;  
Tensao de saida ajustavel 4,6~18; Tensao de saida 3.6V ​; Encapsulamento SOT89; Corrente nominal de saida 120mA, Capacitancia 1.2μA (2052700080).</v>
          </cell>
        </row>
        <row r="3462">
          <cell r="B3462">
            <v>2050102781</v>
          </cell>
          <cell r="E3462">
            <v>85423120</v>
          </cell>
          <cell r="H3462" t="str">
            <v>Circuito Integrado (CI) eletronico microcontrolador, modelo de microprocessador de 32 bits, montado, proprio para montagem em superfície (SMD) LQFP64, com Frequencia de clock de até 29,4912MHz, memoria Flash 192KB e memoria SRAM 30kB.Tensao de operacao 2,8V~5,5V (2050101081).</v>
          </cell>
        </row>
        <row r="3463">
          <cell r="B3463">
            <v>2010101030</v>
          </cell>
          <cell r="E3463">
            <v>85332120</v>
          </cell>
          <cell r="H3463" t="str">
            <v>Resisto (RESISTeNCIA ELeTRICA FIXA) próprio para montagem em superfície (SMD),encapsulamento 0603, resistência de 15 ohms, tolerância 5%, potência(1/8)W</v>
          </cell>
        </row>
        <row r="3464">
          <cell r="B3464">
            <v>2010104740</v>
          </cell>
          <cell r="E3464">
            <v>85332120</v>
          </cell>
          <cell r="H3464" t="str">
            <v>Resistor (RESISTeNCIA ELeTRICA FIXA) proprio para montagem em superfície (SMD),encapsulamento 1206, resistencia de 24.9k ohms, tolerancia 1%, potencia (1/4)W</v>
          </cell>
        </row>
        <row r="3465">
          <cell r="B3465">
            <v>2010106040</v>
          </cell>
          <cell r="E3465">
            <v>85332120</v>
          </cell>
          <cell r="H3465" t="str">
            <v>Resistor (RESISTeNCIA ELeTRICA FIXA) próprio para montagem em superfície (SMD),encapsulamento 0402, resistência de 6.8k ohms, tolerância 1%, potência (1/16)W</v>
          </cell>
        </row>
        <row r="3466">
          <cell r="B3466">
            <v>2020104940</v>
          </cell>
          <cell r="C3466">
            <v>2020104940</v>
          </cell>
          <cell r="E3466">
            <v>85322410</v>
          </cell>
          <cell r="F3466" t="str">
            <v>Not applicable</v>
          </cell>
          <cell r="G3466">
            <v>85322410</v>
          </cell>
          <cell r="H3466" t="str">
            <v>Capacitor (CONDENSADOR ELÉTRICO FIXO) Com dieletrico de ceramica, de camadas multiplas, proprios para montagem em superficie SMD; Capacitancia 100.0nF; Tensao nominal 6V; Tolerancia 10%; Encapsulamento 0402</v>
          </cell>
        </row>
        <row r="3467">
          <cell r="B3467">
            <v>2020105710</v>
          </cell>
          <cell r="C3467">
            <v>2020105710</v>
          </cell>
          <cell r="E3467">
            <v>85322410</v>
          </cell>
          <cell r="F3467" t="str">
            <v>Not applicable</v>
          </cell>
          <cell r="G3467">
            <v>85322410</v>
          </cell>
          <cell r="H3467" t="str">
            <v xml:space="preserve">Capacitor (CONDENSADOR ELÉTRICO FIXO) Com dieletrico de ceramica, de camadas multiplas, proprios para montagem em superficie SMD; Capacitancia 470.0nF; Tensao nominal 25.0V; Tolerancia 10%; Encapsulamento 0603 </v>
          </cell>
        </row>
        <row r="3468">
          <cell r="B3468">
            <v>2041100513</v>
          </cell>
          <cell r="E3468">
            <v>85414111</v>
          </cell>
          <cell r="H3468" t="str">
            <v>Diodo emissor de luz (LED) nAo montado para funcao  pulso, de tensao reversa 5V; tensao de operacao 1.7～2.4V; Corrente maxima 25.0mA；Itensidade de luminosidade 57MCD, Encapsulamento 0603D-W; RoHs;  1.6 mm de comprimento x 0.6mm de largura e 0.5mm de altura, para montagem em superficie SMD.</v>
          </cell>
        </row>
        <row r="3469">
          <cell r="B3469">
            <v>2052500490</v>
          </cell>
          <cell r="E3469">
            <v>85423939</v>
          </cell>
          <cell r="H3469" t="str">
            <v>Circuito integrado eletronico tipo regulador de tensAo Low Drop-out, montado, proprio para montagem em superficie; 
Tensao de saida ajustavel 5~42V; Encapsulamento SOT23-6; Corrente nominal de saida 0.8V~20V, frequencia de comutaçao 15KHz</v>
          </cell>
        </row>
        <row r="3470">
          <cell r="B3470">
            <v>2052700400</v>
          </cell>
          <cell r="E3470">
            <v>85423939</v>
          </cell>
          <cell r="H3470" t="str">
            <v>Circuito integrado supervisor de tensao de alta precisao para montagem SMD; Encapsulamento SOT89; tensao de operaçao  5.3V~18V,
Corrente nominal de saida 120mA </v>
          </cell>
        </row>
        <row r="3471">
          <cell r="B3471">
            <v>2061500240</v>
          </cell>
          <cell r="D3471">
            <v>2061500240</v>
          </cell>
          <cell r="E3471">
            <v>85411022</v>
          </cell>
          <cell r="H3471" t="str">
            <v>DISPOSITIVO SEMICONDUTOR TIPO DIODO schottky montado, proprio para montagem em superficie SMD; tensao reversa 100V; Tensao direta 0.85V; Corrente reversa 0.1mA, de intensidade de corrente 1A; Encapsulamento SMA</v>
          </cell>
        </row>
        <row r="3472">
          <cell r="B3472">
            <v>2090106780</v>
          </cell>
          <cell r="E3472">
            <v>85369040</v>
          </cell>
          <cell r="H3472" t="str">
            <v>Conector macho para circuito impresso; com tensAo aproximada entre  0V e 20V,  2x9 pinos, dimensoes 22.86mm de comprimento x 5 mm de largura x 43.9mm de altura/ 2.54mm distancia entre pinos para montagem por inserção PTH.</v>
          </cell>
        </row>
        <row r="3473">
          <cell r="B3473">
            <v>2090106840</v>
          </cell>
          <cell r="E3473">
            <v>85369040</v>
          </cell>
          <cell r="H3473" t="str">
            <v>Conector  femea para circuito impresso;  com tensAo aproximada entre  0V e 20V; 2x9 pinos; dimensoes 23.36mm de comprimento x 5 mm de largura x 5mm de altura/ 2.54mm distancia entre pinos para montagem por inserção PTH.</v>
          </cell>
        </row>
        <row r="3474">
          <cell r="B3474">
            <v>2100301691</v>
          </cell>
          <cell r="E3474">
            <v>85043219</v>
          </cell>
          <cell r="H3474" t="str">
            <v>TRANSFORMADOR ELETRICO DE ALTA FREQUENCIA DE POTENCIA de 1.5 kVac, Frequencia de 100KHz; JK-EE1365T; 150µH;  2.0μH 1 dimensoes 15mm comprimento x 15mm largura x 14 mm de altura, RoHS para montagem por insercao (PTH)</v>
          </cell>
        </row>
        <row r="3475">
          <cell r="B3475">
            <v>2150160260</v>
          </cell>
          <cell r="E3475">
            <v>85340033</v>
          </cell>
          <cell r="F3475" t="str">
            <v>Not applicable</v>
          </cell>
          <cell r="G3475">
            <v>85340033</v>
          </cell>
          <cell r="H3475" t="str">
            <v>PLACA DE CIRCUITO IMPRESSO, DE NATUREZA DO MATERIAL BASE RIGIDO, COMPOSICAO DA PLACA DE ISOLANTE DE RESINA EPOXIDA E TECIDO DE FIBRA DE VIDRO, ESTRUTURA DE DUPLA FACE E INTERLIGACAO ENTRE FACES POR FUROS METALIZADOS; dimensões 184.78 mm de comprimento x 158.5 mm de largura e 1.6mm de altura/2 não-RoHs (2150160260).</v>
          </cell>
        </row>
        <row r="3476">
          <cell r="B3476">
            <v>3010315150</v>
          </cell>
          <cell r="E3476">
            <v>85364100</v>
          </cell>
          <cell r="G3476">
            <v>85364100</v>
          </cell>
          <cell r="H3476" t="str">
            <v>Rele de corrente maxima de comutaçao 100A, FORMA CONSTRUTIVO ELETROMECANICO bifasica, Tensao de 12V, Derivacao de cobre manganes 120 micro ohms, Nao magnetico, PESO APROXIMADO 66 a 67 gramas (3010315150).</v>
          </cell>
        </row>
        <row r="3477">
          <cell r="B3477">
            <v>2090106790</v>
          </cell>
          <cell r="E3477">
            <v>85369040</v>
          </cell>
          <cell r="H3477" t="str">
            <v>Conector femea para circuito impresso; com tensao aproximada entre 0V e 20V, 2x6 pinos; dimensoes 15.74 mm de comprimento x 5 mm de largura x 5 mm de altura/ 2.54mm distancia para montagem por insercao PTH; RoHS.</v>
          </cell>
        </row>
        <row r="3478">
          <cell r="B3478">
            <v>2090106800</v>
          </cell>
          <cell r="E3478">
            <v>85369040</v>
          </cell>
          <cell r="H3478" t="str">
            <v>Conector macho para circuito impresso; com tensao aproximada entre 0V e 20V, 2x6 pinos; dimensoes 15.24 mm de comprimento x 5 mm de largura x 48.9 mm de altura/ 2.54mm distancia entre pinos para montagem por insercao PTH; RoHS.</v>
          </cell>
        </row>
        <row r="3479">
          <cell r="B3479">
            <v>2150160250</v>
          </cell>
          <cell r="E3479">
            <v>85340033</v>
          </cell>
          <cell r="F3479" t="str">
            <v>Not applicable</v>
          </cell>
          <cell r="G3479">
            <v>85340033</v>
          </cell>
          <cell r="H3479" t="str">
            <v>PLACA DE CIRCUITO IMPRESSO, DE NATUREZA DO MATERIAL BASE RIGIDO, COMPOSICAO DA PLACA DE ISOLANTE DE RESINA EPOXIDA E TECIDO DE FIBRA DE VIDRO, ESTRUTURA DE DUPLA FACE E INTERLIGACAO ENTRE FACES POR FUROS METALIZADOS; dimensoes 252.97 mm de comprimento x 158.5 mm de largura e 1.6mm de altura/2 nao-RoHs.</v>
          </cell>
        </row>
        <row r="3480">
          <cell r="B3480">
            <v>3142900010</v>
          </cell>
          <cell r="C3480">
            <v>3142900010</v>
          </cell>
          <cell r="E3480">
            <v>74153900</v>
          </cell>
          <cell r="F3480" t="str">
            <v>Need to update benefit</v>
          </cell>
          <cell r="G3480">
            <v>74153900</v>
          </cell>
          <cell r="H3480" t="str">
            <v>ACOPLAMENTO ROSCADO DE COBRE PARA HIDROMETRO, A BASE DE COBREZINCO (LATAO), PARA USO EM HIDROMETROS (CONTADORES DE LIQUIDOS) RESIDENCIAIS, COM SECAO DE TRANSVERSAL DE 40mm E COMPRIMENTO DE 300MM.</v>
          </cell>
        </row>
        <row r="3481">
          <cell r="B3481">
            <v>3142100700</v>
          </cell>
          <cell r="C3481">
            <v>3142100700</v>
          </cell>
          <cell r="E3481">
            <v>90289090</v>
          </cell>
          <cell r="F3481" t="str">
            <v>Need to update benefit</v>
          </cell>
          <cell r="G3481">
            <v>90289090</v>
          </cell>
          <cell r="H3481" t="str">
            <v>TUBO DE COBRE (CARCACA) A BASE DE COBREZINCO (LATAO), MONTADO, PARA USO EM HIDROMETROS (CONTADORES DE LIQUIDOS) RESIDENCIAIS COM SECAO DE TRANSVERSAL DE 15mm E COMPRIMENTO DE 165mm.</v>
          </cell>
        </row>
        <row r="3482">
          <cell r="B3482">
            <v>3142100380</v>
          </cell>
          <cell r="C3482">
            <v>3142100380</v>
          </cell>
          <cell r="E3482">
            <v>90289090</v>
          </cell>
          <cell r="F3482" t="str">
            <v>Need to update benefit</v>
          </cell>
          <cell r="G3482">
            <v>90289090</v>
          </cell>
          <cell r="H3482" t="str">
            <v>TUBO DE COBRE (CARCACA) A BASE DE COBREZINCO (LATAO), MONTADO, PARA USO EM HIDROMETROS (CONTADORES DE LIQUIDOS) RESIDENCIAIS COM SECAO DE TRANSVERSAL DE 20mm E COMPRIMENTO DE 190mm.</v>
          </cell>
        </row>
        <row r="3483">
          <cell r="B3483">
            <v>3142100200</v>
          </cell>
          <cell r="C3483">
            <v>3142100200</v>
          </cell>
          <cell r="E3483">
            <v>90289090</v>
          </cell>
          <cell r="F3483" t="str">
            <v>Need to update benefit</v>
          </cell>
          <cell r="G3483">
            <v>90289090</v>
          </cell>
          <cell r="H3483" t="str">
            <v>TUBO DE COBRE (CARCACA) A BASE DE COBREZINCO (LATAO), MONTADO, PARA USO EM HIDROMETROS (CONTADORES DE LIQUIDOS) RESIDENCIAIS COM SECAO DE TRANSVERSAL DE 25mm E COMPRIMENTO DE 260mm.</v>
          </cell>
        </row>
        <row r="3484">
          <cell r="B3484">
            <v>3041901370</v>
          </cell>
          <cell r="C3484">
            <v>3041901370</v>
          </cell>
          <cell r="E3484">
            <v>90289090</v>
          </cell>
          <cell r="F3484" t="str">
            <v>Need to update benefit</v>
          </cell>
          <cell r="G3484">
            <v>90289090</v>
          </cell>
          <cell r="H3484" t="str">
            <v>PLACA DE PRESSAO INOX, PARTE PARA MONTAGEM EM HIDROMETROS (CONTADORES DE LIQUIDOS) RESIDENCIAL DN25</v>
          </cell>
        </row>
        <row r="3485">
          <cell r="B3485">
            <v>2081300020</v>
          </cell>
          <cell r="C3485">
            <v>2081300020</v>
          </cell>
          <cell r="E3485">
            <v>85176277</v>
          </cell>
          <cell r="F3485">
            <v>85176277</v>
          </cell>
          <cell r="G3485">
            <v>85176277</v>
          </cell>
          <cell r="H3485" t="str">
            <v>Modulos de comunicacao de dados sem fio, para transmissao e recepcao, digitais, emissores de radio frequencia com receptor incorporado, compativeis com o padrao IEEE802.11, wifi 802.11b/g/n/n, com frequencia de operacao na faixa de 2.4GHz～2.4835GHz, de taxa de transmissao de ate 150 Mbit/s para montagem em placa de circuito impresso em tecnologia SMT (Surface Mount Technology), com tensao de alimentacao 3.1～3.5V, 13mm de comprimento x 13.5mm de largura e 1.46mm de altura, RoHS (2081300020) SMT</v>
          </cell>
        </row>
        <row r="3486">
          <cell r="B3486">
            <v>2052500320</v>
          </cell>
          <cell r="C3486">
            <v>2052500320</v>
          </cell>
          <cell r="E3486">
            <v>85423939</v>
          </cell>
          <cell r="F3486">
            <v>85423939</v>
          </cell>
          <cell r="G3486">
            <v>85423939</v>
          </cell>
          <cell r="H3486" t="str">
            <v>Circuito integrado eletronico do tipo regulador de tensao, montado, proprio para montagem em superficie SMD; Tensao de saida ajustavel 0.8~12V; Encapsulamento SOT-23-6; Corrente nominal de saida 4.4A, RoHS (2052500320) SMT</v>
          </cell>
        </row>
        <row r="3487">
          <cell r="B3487">
            <v>2020101270</v>
          </cell>
          <cell r="C3487">
            <v>2020101270</v>
          </cell>
          <cell r="E3487">
            <v>85322410</v>
          </cell>
          <cell r="F3487" t="str">
            <v>Not applicable</v>
          </cell>
          <cell r="G3487">
            <v>85322410</v>
          </cell>
          <cell r="H3487" t="str">
            <v>Capacitor (CONDENSADOR ELeTRICO FIXO) com dieletrico de ceramica, de camadas múltiplas, proprios para montagem em superficie SMD; Capacitancia 150.0pF; Tensao nominal 50.0V; Tolerancia 5%; Encapsulamento 0402, RoHS (2020101270) SMT</v>
          </cell>
        </row>
        <row r="3488">
          <cell r="B3488">
            <v>2062300020</v>
          </cell>
          <cell r="C3488">
            <v>2062300020</v>
          </cell>
          <cell r="E3488">
            <v>85334011</v>
          </cell>
          <cell r="F3488">
            <v>85334011</v>
          </cell>
          <cell r="G3488">
            <v>85334011</v>
          </cell>
          <cell r="H3488" t="str">
            <v>TERMISTOR (RESISTeNCIA ELeTRICA VARIaVEL NAO LINEAR SEMICONDUTORA) PTC (coeficiente de temperatura positivo), com massa entre 25 e 35 g, proprio para montagem em superficie SMD, de capacidade de dissipacao de 0.6W; Tensao de 15V; corrente de 0.5A; resistencia de 4,2 ohms; encapsulamento 1206, RoHS (2062300020)</v>
          </cell>
        </row>
        <row r="3489">
          <cell r="B3489">
            <v>2052700480</v>
          </cell>
          <cell r="C3489">
            <v>2052700480</v>
          </cell>
          <cell r="E3489">
            <v>85423939</v>
          </cell>
          <cell r="F3489">
            <v>85423939</v>
          </cell>
          <cell r="G3489">
            <v>85423939</v>
          </cell>
          <cell r="H3489" t="str">
            <v>Circuito integrado eletronico regulador de tensao Low Drop-out montado,  proprio para montagem em superficie SMD; Tensao de saida ajustavel 2.5～20V; Encapsulamento SOT23-5; Corrente nominal de saida 300mA, RoHS (2052700480) SMT</v>
          </cell>
        </row>
        <row r="3490">
          <cell r="B3490">
            <v>2061500260</v>
          </cell>
          <cell r="C3490">
            <v>2061500260</v>
          </cell>
          <cell r="D3490">
            <v>2061500260</v>
          </cell>
          <cell r="E3490">
            <v>85411022</v>
          </cell>
          <cell r="F3490">
            <v>85411022</v>
          </cell>
          <cell r="G3490">
            <v>85411022</v>
          </cell>
          <cell r="H3490" t="str">
            <v>DISPOSITIVO SEMICONDUTOR TIPO DIODO  schottky montado, proprio para montagem em superficie SMD; tensao reversa 30V; de intensidade de corrente direta 0,2A; Tensao direta 0,4V; Tensao de saida ajustavel 2.5～20V; Tolerancia 1%, Corrente reversa 2uA; Encapsulamento SOT-23-5, RoHS (2061500260) SMT</v>
          </cell>
        </row>
        <row r="3491">
          <cell r="B3491">
            <v>2051300171</v>
          </cell>
          <cell r="C3491">
            <v>2051300171</v>
          </cell>
          <cell r="E3491">
            <v>85423939</v>
          </cell>
          <cell r="F3491">
            <v>85423939</v>
          </cell>
          <cell r="G3491">
            <v>85423939</v>
          </cell>
          <cell r="H3491" t="str">
            <v>Circuito integrado eletronico tipo chip logico, montado, proprios para montagem em superficie SMD; Encapsulamento TSSOP-PW; tensao de operacao  2V～6V,Corrente nominal de saida ±4 mA , RoHS, (2051300171)</v>
          </cell>
        </row>
        <row r="3492">
          <cell r="B3492">
            <v>2110301430</v>
          </cell>
          <cell r="C3492">
            <v>2110301430</v>
          </cell>
          <cell r="E3492">
            <v>85416010</v>
          </cell>
          <cell r="F3492">
            <v>85416010</v>
          </cell>
          <cell r="G3492">
            <v>85416010</v>
          </cell>
          <cell r="H3492" t="str">
            <v xml:space="preserve">Cristal piezeletrico  montados de quartzo, de frequencia igual a 12MHz; Capacitancia 15pF; dimensoes 3,2mm de comprimento, 2,5 de largura e  0,8mm de comprimento; RoHS (2110301430) SMT           </v>
          </cell>
        </row>
        <row r="3493">
          <cell r="B3493">
            <v>2150510390</v>
          </cell>
          <cell r="C3493">
            <v>2150510390</v>
          </cell>
          <cell r="E3493">
            <v>85340033</v>
          </cell>
          <cell r="F3493" t="str">
            <v>Not applicable</v>
          </cell>
          <cell r="G3493">
            <v>85340033</v>
          </cell>
          <cell r="H3493" t="str">
            <v>PLACA DE CIRCUITO IMPRESSO, DE NATUREZA DO MATERIAL BASE RiGIDO, COMPOSIcaO DA PLACA DE ISOLANTE DE RESINA EPoXIDA E TECIDO DE FIBRA DE VIDRO, ESTRUTURA DE DUPLA FACE E INTERLIGAcaO ENTRE FACES POR FUROS METALIZADOS; dimensoes 288.0mm x 164.14mm x 1.6mm/4 nao-RoHs (2150510390)</v>
          </cell>
        </row>
        <row r="3494">
          <cell r="B3494">
            <v>2010104980</v>
          </cell>
          <cell r="C3494">
            <v>2010104980</v>
          </cell>
          <cell r="E3494">
            <v>85332120</v>
          </cell>
          <cell r="F3494">
            <v>85332120</v>
          </cell>
          <cell r="G3494">
            <v>85332120</v>
          </cell>
          <cell r="H3494" t="str">
            <v>Resistor (RESISTeNCIA ELeTRICA FIXA) proprio para montagem em superficie (SMD), encapsulamento 0402, resistencia 5.1 Ohms,  tolerancia 5%,  potencia  0,0625 (1/16) W, RoHS (2010105590) SMT</v>
          </cell>
        </row>
        <row r="3495">
          <cell r="B3495">
            <v>2010105590</v>
          </cell>
          <cell r="C3495">
            <v>2010105590</v>
          </cell>
          <cell r="E3495">
            <v>85332120</v>
          </cell>
          <cell r="F3495">
            <v>85332120</v>
          </cell>
          <cell r="G3495">
            <v>85332120</v>
          </cell>
          <cell r="H3495" t="str">
            <v>Resistor (RESISTeNCIA ELeTRICA FIXA) proprio para montagem em superficie (SMD), encapsulamento 0402, resistencia 5.1 Ohms,  tolerancia 5%,  potencia 0,0625 (1/16) W, RoHS (2010105590) SMT</v>
          </cell>
        </row>
        <row r="3496">
          <cell r="B3496">
            <v>2053900020</v>
          </cell>
          <cell r="C3496">
            <v>2053900020</v>
          </cell>
          <cell r="E3496">
            <v>85423221</v>
          </cell>
          <cell r="F3496">
            <v>85423221</v>
          </cell>
          <cell r="G3496">
            <v>85423221</v>
          </cell>
          <cell r="H3496" t="str">
            <v>Circuito integrado (CI) eletronico de memoria flash montado, proprio para montagem em superficie SMD; Capacidade de memoria 2M bytes; encapsulamento 8pin SOP 48-mil, RoHS (2053900020)</v>
          </cell>
        </row>
        <row r="3497">
          <cell r="B3497">
            <v>2030102731</v>
          </cell>
          <cell r="C3497">
            <v>2030102731</v>
          </cell>
          <cell r="E3497">
            <v>85045010</v>
          </cell>
          <cell r="F3497" t="str">
            <v>Need to update benefit</v>
          </cell>
          <cell r="G3497">
            <v>85045010</v>
          </cell>
          <cell r="H3497" t="str">
            <v xml:space="preserve">Bobina de auto-inducao (indutor fixo) de 3.3μH, fio enrolado, para montagem em superficie SMD, tolerancia de 20%, 40m Ohms a 100kHz de resistencia, corrente maxima 3.3A, certificacao RoHS, dimensoes 4.0mm de comprimento, 4.0mm de largura e 3.0mm de altura (2030102731) SMT  </v>
          </cell>
        </row>
        <row r="3498">
          <cell r="B3498">
            <v>2010106010</v>
          </cell>
          <cell r="C3498">
            <v>2010106010</v>
          </cell>
          <cell r="E3498">
            <v>85332120</v>
          </cell>
          <cell r="F3498">
            <v>85332120</v>
          </cell>
          <cell r="G3498">
            <v>85332120</v>
          </cell>
          <cell r="H3498" t="str">
            <v xml:space="preserve">Resistor (RESISTeNCIA ELeTRICA FIXA) proprio para montagem em superficie (SMD), encapsulamento 0402, resistencia 51k ohms,  tolerancia 1%,  potencia 0,1 (1/16)W; RoHS  (2010106010) SMT               </v>
          </cell>
        </row>
        <row r="3499">
          <cell r="B3499">
            <v>2020105080</v>
          </cell>
          <cell r="C3499">
            <v>2020105080</v>
          </cell>
          <cell r="E3499">
            <v>85322410</v>
          </cell>
          <cell r="F3499" t="str">
            <v>Not applicable</v>
          </cell>
          <cell r="G3499">
            <v>85322410</v>
          </cell>
          <cell r="H3499" t="str">
            <v>Capacitor (CONDENSADOR ELeTRICO FIXO) Com dieletrico de ceramica, de camadas múltiplas, proprios para montagem em superficie SMD; Capacitancia 10.0μF; Tensao nominal 10.0V; Tolerancia 20%; Encapsulamento 0402; RoHS (2020105080) SMT</v>
          </cell>
        </row>
        <row r="3500">
          <cell r="B3500">
            <v>2010108600</v>
          </cell>
          <cell r="C3500">
            <v>2010108600</v>
          </cell>
          <cell r="E3500">
            <v>85332120</v>
          </cell>
          <cell r="F3500">
            <v>85332120</v>
          </cell>
          <cell r="G3500">
            <v>85332120</v>
          </cell>
          <cell r="H3500" t="str">
            <v xml:space="preserve">Resistor (RESISTeNCIA ELeTRICA FIXA) proprio para montagem em superficie (SMD), encapsulamento 0402, resistencia 22k ohms,  tolerancia 1%,  potencia 0,0625 (1/16)W; RoHS  (2010108600) SMT    </v>
          </cell>
        </row>
        <row r="3501">
          <cell r="B3501">
            <v>2050102431</v>
          </cell>
          <cell r="C3501">
            <v>2050102431</v>
          </cell>
          <cell r="E3501">
            <v>85423120</v>
          </cell>
          <cell r="F3501">
            <v>85423120</v>
          </cell>
          <cell r="G3501">
            <v>85423120</v>
          </cell>
          <cell r="H3501" t="str">
            <v xml:space="preserve">Circuito Integrado (CI) eletronico microcontrolador, modelo de microprocessador de 16 bits, montado, proprio para montagem em superficie (SMD) LQFP128, com Frequencia de clock de ate 29,4912MHz, memoria Flash 56KB e memoria SRAM 16kB.Tensao de operacao do núcleo 2.97～3.63V, tensao de operacao E/S 2.97～3.63V, RoHS (2050102431) </v>
          </cell>
        </row>
        <row r="3502">
          <cell r="B3502">
            <v>2052700500</v>
          </cell>
          <cell r="C3502">
            <v>2052700500</v>
          </cell>
          <cell r="E3502">
            <v>85423939</v>
          </cell>
          <cell r="F3502">
            <v>85423939</v>
          </cell>
          <cell r="G3502">
            <v>85423939</v>
          </cell>
          <cell r="H3502" t="str">
            <v>Circuito integrado eletronico do tipo regulador de tensao Low Drop-out montado, proprio para montagem em superficie SMD; Capacitancia 36μA, Tolerancia de 1%, Tensao de saida ajustavel 2.5～20V; Encapsulamento SOT23-5; Corrente nominal de saida 300mA, RoHS (2052700500)</v>
          </cell>
        </row>
        <row r="3503">
          <cell r="B3503">
            <v>2090503790</v>
          </cell>
          <cell r="C3503">
            <v>2090503790</v>
          </cell>
          <cell r="E3503">
            <v>85369040</v>
          </cell>
          <cell r="F3503">
            <v>85369090</v>
          </cell>
          <cell r="G3503">
            <v>85369040</v>
          </cell>
          <cell r="H3503" t="str">
            <v>Conector MicroUSB femea horizontal com tensao aproximada entre 5V e 30V; dimensoes 14.5 mm de comprimento x 7.02 mm de largura x 14.9 mm de altura para montagem por insercao PTH; RoHS</v>
          </cell>
        </row>
        <row r="3504">
          <cell r="B3504">
            <v>3023303010</v>
          </cell>
          <cell r="C3504">
            <v>3023303010</v>
          </cell>
          <cell r="E3504">
            <v>90289010</v>
          </cell>
          <cell r="F3504">
            <v>90289010</v>
          </cell>
          <cell r="G3504">
            <v>90289010</v>
          </cell>
          <cell r="H3504" t="str">
            <v>Suporte para LCD para medidor eletrico HXE 12DL, parte para montagem de contadores de eletricidade</v>
          </cell>
        </row>
        <row r="3505">
          <cell r="B3505">
            <v>2051700082</v>
          </cell>
          <cell r="C3505">
            <v>2051700082</v>
          </cell>
          <cell r="E3505">
            <v>85423120</v>
          </cell>
          <cell r="F3505">
            <v>85423120</v>
          </cell>
          <cell r="G3505">
            <v>85423120</v>
          </cell>
          <cell r="H3505" t="str">
            <v>Circuito integrado (CI) eletrônico controlador de detecção de efeito hall, montado, próprio para montagem em superfície SMD, modelo de processador 8 bits, frequência de clock de 1KHz, fonte chaveada de 1.65~5.0V, densidade de fluxo magnético de ± 28Gauss, Encapsulamento SOT23-3 (2051700082) SMT</v>
          </cell>
        </row>
        <row r="3506">
          <cell r="B3506">
            <v>2020701481</v>
          </cell>
          <cell r="C3506">
            <v>2020701481</v>
          </cell>
          <cell r="E3506">
            <v>85322420</v>
          </cell>
          <cell r="G3506">
            <v>85322420</v>
          </cell>
          <cell r="H3506" t="str">
            <v>CONDENSADOR ELETRICO FIXO COM DIELETRICO DE CERAMICA, DE CAMADAS MULTIPLAS. PROPRIOS PARA MONTAGEM POR INSERCAO (PTH - PIN THROUGH HOLE). CAPACITANCIA 1.0NF; TOLERANCIA 20%.</v>
          </cell>
        </row>
        <row r="3507">
          <cell r="B3507">
            <v>2021101031</v>
          </cell>
          <cell r="C3507">
            <v>2021101031</v>
          </cell>
          <cell r="E3507">
            <v>85322420</v>
          </cell>
          <cell r="F3507">
            <v>85322420</v>
          </cell>
          <cell r="G3507">
            <v>85322420</v>
          </cell>
          <cell r="H3507" t="str">
            <v>CAPACITOR (CONDENSADOR ELETRICO FIXO) COM DIELETRICO DE CERAMICA, DE CAMADAS MULTIPLAS, PROPRIOS PARA MONTAGEM POR INSERCAO PTH; CAPACITANCIA 5.0F; TENSAO NOMINAL 2.7V; TOLERANCIA 10%; DIMENSOES 120X24X5MM </v>
          </cell>
        </row>
        <row r="3508">
          <cell r="B3508" t="str">
            <v>MPG16R41003</v>
          </cell>
          <cell r="C3508" t="str">
            <v>MPG16R41003</v>
          </cell>
          <cell r="E3508">
            <v>85176272</v>
          </cell>
          <cell r="F3508">
            <v>85176272</v>
          </cell>
          <cell r="G3508">
            <v>85176272</v>
          </cell>
          <cell r="H3508" t="str">
            <v>Modulos de comunicacao (de recepcao, conversao e transmissao) de dados via rede eletrica, providos de emissor com receptor incorporado, digital, compatíveis com o tipo de rede PLC G3 (com fio), para unidades concentradoras de dados HXEJ200, capazes de operar na faixa de frequencia de 150-487,5 KHz, utilizando modulacao BPSK/OFDM, de taxa de transmissao de até 300 kbps e modelo MPG16.R410</v>
          </cell>
        </row>
        <row r="3509">
          <cell r="B3509" t="str">
            <v>MPG72R31009</v>
          </cell>
          <cell r="C3509" t="str">
            <v>MPG72R31009</v>
          </cell>
          <cell r="E3509">
            <v>85176272</v>
          </cell>
          <cell r="F3509">
            <v>85176272</v>
          </cell>
          <cell r="G3509">
            <v>85176272</v>
          </cell>
          <cell r="H3509" t="str">
            <v>Modulos de comunicacao (de recepcao, conversao e transmissao) de dados via rede eletrica, providos de emissor com receptor incorporado, digital, compatíveis com o tipo de rede PLC G3 (com fio), para medidores de energia elétrica da família Zeus-NG, capazes de operar na faixa de frequencia de 150-487,5 KHz, utilizando modulacao BPSK/OFDM, de taxa de transmissao de até 300 kbps e modelo MPG72.R310</v>
          </cell>
        </row>
        <row r="3510">
          <cell r="B3510" t="str">
            <v>HXEJ200R31206</v>
          </cell>
          <cell r="C3510" t="str">
            <v>HXEJ200R31206</v>
          </cell>
          <cell r="E3510">
            <v>85176294</v>
          </cell>
          <cell r="F3510">
            <v>85176294</v>
          </cell>
          <cell r="G3510">
            <v>85176294</v>
          </cell>
          <cell r="H3510" t="str">
            <v>Conversores de protocolo para interconexao de rede PLC (Power Line Communication) de modelo HXEJ200, compatível com o padrao PLC-G3, utilizado em sistemas de medicao avancada de energia eletrica, composto por modulo de comunicacao (de recepcao, conversao e transmissao) de dados via rede elétrica, providos de emissor com receptor incorporado, digital, compatíveis com o tipo de rede PLC G3 (com fio), módulo de comunicacao (de recepcao, conversao e transmissao) de dados sem fio, providos de emissor com receptor incorporado, digital, compatíveis com o padrao celular 4G e módulo de comunicacao ETHERNET IEEE802.3 por 10/100 BASE-T. Com capacidade coletar, concentrar e encaminhar dados de medicao de outros medidores inteligentes na rede PLC para um sistema remoto e alimentacao 3P4W 120-240/416 V (HXEJ200R31206).</v>
          </cell>
        </row>
        <row r="3511">
          <cell r="B3511">
            <v>4020400640</v>
          </cell>
          <cell r="C3511">
            <v>4020400640</v>
          </cell>
          <cell r="E3511">
            <v>84799090</v>
          </cell>
          <cell r="F3511" t="str">
            <v>Not applicable</v>
          </cell>
          <cell r="G3511">
            <v>84799090</v>
          </cell>
          <cell r="H3511" t="str">
            <v>Bocal (nozzle) de sucção, parte de máquina para montagem de componentes eletrônicos em superfícies SMD</v>
          </cell>
        </row>
        <row r="3512">
          <cell r="B3512">
            <v>4020401500</v>
          </cell>
          <cell r="C3512">
            <v>4020401500</v>
          </cell>
          <cell r="E3512">
            <v>84799090</v>
          </cell>
          <cell r="F3512" t="str">
            <v>Not applicable</v>
          </cell>
          <cell r="G3512">
            <v>84799090</v>
          </cell>
          <cell r="H3512" t="str">
            <v>Bocal (nozzle) de sucção, parte de máquina para montagem de componentes eletrônicos em superfícies SMD</v>
          </cell>
        </row>
        <row r="3513">
          <cell r="B3513">
            <v>4020401510</v>
          </cell>
          <cell r="C3513">
            <v>4020401510</v>
          </cell>
          <cell r="E3513">
            <v>84799090</v>
          </cell>
          <cell r="F3513" t="str">
            <v>Not applicable</v>
          </cell>
          <cell r="G3513">
            <v>84799090</v>
          </cell>
          <cell r="H3513" t="str">
            <v>Bocal (nozzle) de sucção, parte de máquina para montagem de componentes eletrônicos em superfícies SMD</v>
          </cell>
        </row>
        <row r="3514">
          <cell r="B3514">
            <v>3021900709</v>
          </cell>
          <cell r="C3514">
            <v>3021900709</v>
          </cell>
          <cell r="E3514">
            <v>90289010</v>
          </cell>
          <cell r="H3514" t="str">
            <v>Placa de identificacao para medidores de energia polifásicos, sem impressao polífásica High End com KWH (ativo) + Kvarh (reativo) + Auxiliar, parte para montagem de contadores de eletricidade (3021900709)</v>
          </cell>
        </row>
        <row r="3515">
          <cell r="B3515">
            <v>3021900109</v>
          </cell>
          <cell r="C3515">
            <v>3021900109</v>
          </cell>
          <cell r="E3515">
            <v>90289010</v>
          </cell>
          <cell r="H3515" t="str">
            <v>Placa de identificacao para medidores de energia polifasicos, sem impressao polifásica High End com KWH (ativo) + Kvarh (reativo) + Auxiliar, sem bateria, parte para montagem de contadores de eletricidade (3021900109)</v>
          </cell>
        </row>
        <row r="3516">
          <cell r="B3516">
            <v>4070400670</v>
          </cell>
          <cell r="C3516">
            <v>4070400670</v>
          </cell>
          <cell r="E3516">
            <v>85444200</v>
          </cell>
          <cell r="H3516" t="str">
            <v>CABO CONVERSOR, CONDUTOR ELETRICO, ISOLADO PARA USO ELETRICO, MUNIDO DE CONEXOES USB/RS232, PARA APLICACAO EM TENSAO DE ATÉ 380V (4070400670)</v>
          </cell>
        </row>
        <row r="3517">
          <cell r="B3517">
            <v>7070700010</v>
          </cell>
          <cell r="E3517">
            <v>84713019</v>
          </cell>
          <cell r="F3517" t="str">
            <v>Not applicable</v>
          </cell>
          <cell r="G3517">
            <v>84713019</v>
          </cell>
          <cell r="H3517" t="str">
            <v>PDA (unidade portatil para processamento de dados), coletor de Dados, de peso líquido unitario aproximado de 0,250kg a 1,5 kg, contendo unidade central de processamento, teclado virtual e tela, capaz de funcionar sem fonte externa de energia, com tela de area aproximada de 25cm², com comunicacAo em redes LTE, WiFi e Bluetoogh, capacidade de armazenamento de 64GB e 4GB de memoria RAM.</v>
          </cell>
        </row>
        <row r="3518">
          <cell r="B3518" t="str">
            <v>HXEJ200R31226</v>
          </cell>
          <cell r="C3518" t="str">
            <v>HXEJ200R31226</v>
          </cell>
          <cell r="E3518">
            <v>85176294</v>
          </cell>
          <cell r="G3518">
            <v>85176294</v>
          </cell>
          <cell r="H3518" t="str">
            <v>Conversores de protocolo para interconexao de rede PLC (Power Line Communication) de modelo HXEJ200, compatível com o padrao PLC-G3, utilizado em sistemas de medicao avancada de energia eletrica, composto por modulo de comunicacao (de recepcao, conversao e transmissao) de dados via rede elétrica, providos de emissor com receptor incorporado, digital, compatíveis com o tipo de rede PLC G3 (com fio), módulo de comunicacao (de recepcao, conversao e transmissao) de dados sem fio, providos de emissor com receptor incorporado, digital, compatíveis com o padrao celular 4G e módulo de comunicacao ETHERNET IEEE802.3 por 10/100 BASE-T. Com capacidade coletar, concentrar e encaminhar dados de medicao de outros medidores inteligentes na rede PLC para um sistema remoto e alimentacao 3P4W 120-240/416 V (HXEJ200R31226).</v>
          </cell>
        </row>
        <row r="3519">
          <cell r="B3519" t="str">
            <v>HXEJ200R31406</v>
          </cell>
          <cell r="C3519" t="str">
            <v>HXEJ200R31406</v>
          </cell>
          <cell r="E3519">
            <v>85176294</v>
          </cell>
          <cell r="G3519">
            <v>85176294</v>
          </cell>
          <cell r="H3519" t="str">
            <v>Conversores de protocolo para interconexao de rede PLC (Power Line Communication) de modelo HXEJ200, compatível com o padrao PLC-G3, utilizado em sistemas de medicao avancada de energia eletrica, composto por modulo de comunicacao (de recepcao, conversao e transmissao) de dados via rede elétrica, providos de emissor com receptor incorporado, digital, compatíveis com o tipo de rede PLC G3 (com fio), módulo de comunicacao (de recepcao, conversao e transmissao) de dados sem fio, providos de emissor com receptor incorporado, digital, compatíveis com o padrao celular 4G e módulo de comunicacao ETHERNET IEEE802.3 por 10/100 BASE-T. Com capacidade coletar, concentrar e encaminhar dados de medicao de outros medidores inteligentes na rede PLC para um sistema remoto e alimentacao 3P4W 120-240/416 V (HXEJ200R31406).</v>
          </cell>
        </row>
        <row r="3520">
          <cell r="B3520" t="str">
            <v>HXEC303R11001</v>
          </cell>
          <cell r="C3520" t="str">
            <v>HXEC303R11001</v>
          </cell>
          <cell r="E3520">
            <v>85176294</v>
          </cell>
          <cell r="F3520" t="str">
            <v>EVE</v>
          </cell>
          <cell r="H3520" t="str">
            <v>GATEWAY (CONVERSORES) DE PROTOCOLOS PARA INTERCONEXAO DE REDES UTILIZADO EM SISTEMAS DE MEDICAO AVANÇADA DE ENERGIA ELÉTRICA E/OU DE CONSUMO DE AGUA, COMPOSTO POR MODULO DE COMUNICACAO (DE RECEPCAO, CONVERSAO E TRANSMISSAO) DE DADOS VIA REDE ELÉTRICA PADRAO RS-485, MODULO DE COMUNICACAO (DE RECEPCAO, CONVERSAO E TRANSMISSAO) PROVIDOS DE EMISSOR COM RECEPTOR INCORPORADO, DIGITAL, COMPATÍVEIS COM O PADRAO WIFI 802.11 B/G/N, MODULO DE COMUNICACAO (DE RECEPCAO, CONVERSAO E TRANSMISSAO) DE DADOS SEM FIO, PROVIDOS DE EMISSOR COM RECEPTOR INCORPORADO, DIGITAL, COMPATÍVEIS COM O PADRAO CELULAR 4G E MODULO DE COMUNICACAO ETHERNET IEEE802.3 POR 10/100 BASE-T,DE MODELO HXEC303 E ALIMENTACAO AUTO-RANGE.</v>
          </cell>
        </row>
        <row r="3521">
          <cell r="B3521" t="str">
            <v>HXEJ201R23006</v>
          </cell>
          <cell r="C3521" t="str">
            <v>HXEJ201R23006</v>
          </cell>
          <cell r="E3521">
            <v>90283031</v>
          </cell>
          <cell r="F3521" t="str">
            <v>EVE</v>
          </cell>
          <cell r="H3521" t="str">
            <v>MEDIDOR  DE ENERGIA ( CONTADOR DE ELETRICIDADE) TRIFASICO DIGITAL DE CONEXAO INDIRETA PARA MONITORAMENTO DE TRANSFORMADORES DE DISTRIBUICAO E BALANCO DE ENERGIA ELETRICA, TECNOLOGIA DE MEDICAO INDIRETA DE CORRETA SE DAR PELO USO DE BOBINAS DE ROGOWSKI.</v>
          </cell>
        </row>
        <row r="3522">
          <cell r="B3522" t="str">
            <v>LHE34DRR12008</v>
          </cell>
          <cell r="C3522" t="str">
            <v>LHE34DRR12008</v>
          </cell>
          <cell r="E3522">
            <v>90283031</v>
          </cell>
          <cell r="F3522" t="str">
            <v>EVE</v>
          </cell>
          <cell r="H3522" t="str">
            <v>MEDIDOR  DE ENERGIA ( CONTADOR DE ELETRICIDADE) INDIRETO TRIFASICO DIGITAL, PARA INSTALACAO EM TRILHO MEDICAO COM TRANSFORMADOR DE CORRENTE (TC)  DE 10A</v>
          </cell>
        </row>
        <row r="3523">
          <cell r="B3523" t="str">
            <v>LHE34DRR12001</v>
          </cell>
          <cell r="C3523" t="str">
            <v>LHE34DRR12001</v>
          </cell>
          <cell r="E3523">
            <v>90283031</v>
          </cell>
          <cell r="F3523" t="str">
            <v>EVE</v>
          </cell>
          <cell r="H3523" t="str">
            <v>MEDIDOR  DE ENERGIA ( CONTADOR DE ELETRICIDADE) INDIRETO TRIFASICO DIGITAL,  PARA INSTALACAO EM TRILHO MEDICAO COM TRANSFORMADOR DE CORRENTE (TC)  DE 120A</v>
          </cell>
        </row>
        <row r="3524">
          <cell r="B3524" t="str">
            <v>LHE34DRR12004</v>
          </cell>
          <cell r="C3524" t="str">
            <v>LHE34DRR12004</v>
          </cell>
          <cell r="E3524">
            <v>90283031</v>
          </cell>
          <cell r="F3524" t="str">
            <v>EVE</v>
          </cell>
          <cell r="H3524" t="str">
            <v>MEDIDOR  DE ENERGIA ( CONTADOR DE ELETRICIDADE) INDIRETO TRIFASICO DIGITAL, PARA INSTALACAO EM TRILHO MEDICAO COM TRANSFORMADOR DE CORRENTE (TC)  DE 250A</v>
          </cell>
        </row>
        <row r="3525">
          <cell r="B3525" t="str">
            <v>HXE34K.R250</v>
          </cell>
          <cell r="C3525" t="str">
            <v>HXE34K.R250</v>
          </cell>
          <cell r="E3525">
            <v>90283031</v>
          </cell>
          <cell r="G3525">
            <v>90283031</v>
          </cell>
          <cell r="H3525" t="str">
            <v>Medidor trifasico digital de energia ativa e reativa (contador de eletricidade),  modelo HXE34K.R250, de ligacao assimetrica, com medicao bidirecional nos quatro quadrantes. Encapsulado com dispositivo de corte e religacao com protecao contra reconexao em casos de retorno de potencial.</v>
          </cell>
        </row>
        <row r="3526">
          <cell r="B3526">
            <v>4030701050</v>
          </cell>
          <cell r="C3526">
            <v>4030701050</v>
          </cell>
          <cell r="E3526">
            <v>85177190</v>
          </cell>
          <cell r="H3526" t="str">
            <v>Atenuador de radio, de sinal RF para transmissao de dados, faixa de frequencia 0 a 2GHz, potencia maxima de 2W, conector do tipo SMA M/F, impedancia 50ohms, atenuacao de 10db, parte de conjunto antena para transmissao de sinal RF</v>
          </cell>
        </row>
        <row r="3527">
          <cell r="B3527">
            <v>4020600590</v>
          </cell>
          <cell r="C3527">
            <v>4020600590</v>
          </cell>
          <cell r="E3527">
            <v>90319010</v>
          </cell>
          <cell r="H3527" t="str">
            <v>Sensor de pulso fotoeletrico, parte para uso em banco de ensaio de medidores (contadores)</v>
          </cell>
        </row>
        <row r="3528">
          <cell r="B3528">
            <v>3051512390</v>
          </cell>
          <cell r="C3528">
            <v>3051512390</v>
          </cell>
          <cell r="E3528">
            <v>73269090</v>
          </cell>
          <cell r="F3528">
            <v>73269090</v>
          </cell>
          <cell r="G3528">
            <v>73269090</v>
          </cell>
          <cell r="H3528" t="str">
            <v>ANEL DE ATERRAMENTO DE DIAMETRO INTERNO E EXTERNO DE 52X95, RESPECTIVAMENTE, FEITO EM CHAPA DE AÇO INOXIDÁVEL DE ESPESSURA DE 2MM PARA PROTEÇÃO DE MEDIDORES DE ÁGUA (CONTADORES DE LIQUIDOS) INDUSTRIAIS DE DIÂMETRO NOMINAL DE 50MM.</v>
          </cell>
        </row>
        <row r="3529">
          <cell r="B3529">
            <v>3051512400</v>
          </cell>
          <cell r="C3529">
            <v>3051512400</v>
          </cell>
          <cell r="D3529" t="str">
            <v xml:space="preserve"> </v>
          </cell>
          <cell r="E3529">
            <v>73269090</v>
          </cell>
          <cell r="F3529">
            <v>73269090</v>
          </cell>
          <cell r="G3529">
            <v>73269090</v>
          </cell>
          <cell r="H3529" t="str">
            <v>ANEL DE ATERRAMENTO DE DIAMETRO INTERNO E EXTERNO DE 82X130, RESPECTIVAMENTE, FEITO EM CHAPA DE AÇO INOXIDÁVEL DE ESPESSURA DE 2MM PARA PROTEÇÃO DE MEDIDORES DE ÁGUA (CONTADORES DE LIQUIDOS) INDUSTRIAIS DE DIÂMETRO NOMINAL DE 80MM.</v>
          </cell>
        </row>
        <row r="3530">
          <cell r="B3530">
            <v>3051512410</v>
          </cell>
          <cell r="C3530">
            <v>3051512410</v>
          </cell>
          <cell r="E3530">
            <v>73269090</v>
          </cell>
          <cell r="F3530">
            <v>73269090</v>
          </cell>
          <cell r="G3530">
            <v>73269090</v>
          </cell>
          <cell r="H3530" t="str">
            <v>ANEL DE ATERRAMENTO DE DIAMETRO INTERNO E EXTERNO DE 102X154, RESPECTIVAMENTE, FEITO EM CHAPA DE AÇO INOXIDÁVEL DE ESPESSURA DE 2MM PARA PROTEÇÃO DE MEDIDORES DE ÁGUA (CONTADORES DE LIQUIDOS) INDUSTRIAIS DE DIÂMETRO NOMINAL DE 100MM.</v>
          </cell>
        </row>
        <row r="3531">
          <cell r="B3531">
            <v>3051510470</v>
          </cell>
          <cell r="C3531">
            <v>3051510470</v>
          </cell>
          <cell r="E3531">
            <v>85389010</v>
          </cell>
          <cell r="H3531" t="str">
            <v>MODULO DE ENERGIA E CONTROLE COMPOSTO DE PLACA DE CIRCUITOS IMPRESSOS COM COMPONENTES ELETRONICOS MONTADOS, PARTE DO APARELHO RELIGADOR, COM TENSAO DE ALIMENTACAO DE 6V, UTILIZADO PARA ALIMENTAR E REALIZAR O CONTROLE DO APARELHO, REALIZANDO OPERACOES MECÂNICAS DE ABERTURA E FECHAMENTO.</v>
          </cell>
        </row>
        <row r="3532">
          <cell r="B3532">
            <v>4020114140</v>
          </cell>
          <cell r="E3532">
            <v>85371020</v>
          </cell>
          <cell r="H3532" t="str">
            <v xml:space="preserve">Controlador Logico Programavel (PLC) para comando eletrico, tensAo de 24VDC,  36 pontos, entrada digital (8 pontos alta velocidade 200KHz, 8 pontos média velocidade total 5KHz); 24 pontos ,Saída de relé ou transistor (8 pontos de alta velocidade 200KHz); 1 porta RS232 ou USB (expansível até 5); Construído em RTC; bloco de terminais destacável, Modelo FBs-60MCT2-AC.
</v>
          </cell>
        </row>
        <row r="3533">
          <cell r="B3533" t="str">
            <v>BHF-T01R21001</v>
          </cell>
          <cell r="C3533" t="str">
            <v>BHF-T01R21001</v>
          </cell>
          <cell r="E3533">
            <v>85079090</v>
          </cell>
          <cell r="G3533">
            <v>85079090</v>
          </cell>
          <cell r="H3533" t="str">
            <v>PARTE DE ACUMULADORES ELETRICOS DE IONS DE LITIO, KIT DE ACESSORIOS PARA MONTAGEM DOS MODELOS BHF-S25 E BHF-S30.</v>
          </cell>
        </row>
        <row r="3534">
          <cell r="B3534" t="str">
            <v>HP3-15KT2R11002</v>
          </cell>
          <cell r="C3534" t="str">
            <v>HP3-15KT2R11002</v>
          </cell>
          <cell r="E3534">
            <v>85044090</v>
          </cell>
          <cell r="G3534">
            <v>85044090</v>
          </cell>
          <cell r="H3534" t="str">
            <v>INVERSORES PARA SISTEMAS FOTOVOLTAICOS, TIPO STRING, PARA REDE TRIFASICA, COM POTENCIA NOMINAL DE SAIDA DE 15.000W A 40 GRAUS CELSIUS, COM POTENCIA MAXIMA DE SAIDA DE 30.000W A 40 GRAUS CELSIUS, E TENSAO NOMINAL DE SAIDA 380VCA, PARA CONVERSAO DE ENERGIA CORRENTE CONTINUA EM ENERGIA CORRENTE ALTERNADA, DE TECNOLOGIA DE CONTROLE MICROPROCESSADO, CORRENTE NOMINAL DE SAIDA 22.8A, "HIBRIDO", FAIXA DE FREQUENCIA 50/60 HZ, EFICIENCIA MAXIMA DE 98,1POR CENTO, GABINETE COM GRAU DE PROTEÇAO IP65, PROJETADO PARA SUPORTAR OPERAÇAO EM TEMPERATURAS NA FAIXA DE -25 A 60 GRAUS CELSIUS, TRÊS  MPPTS, DE MARCA LIVOLTEK, MODELO HP3, ANO DE FABRICAÇAO  XXXX E NÚMEROS DE SERIE DE AAAA A BBBB</v>
          </cell>
        </row>
        <row r="3535">
          <cell r="B3535" t="str">
            <v>BHF-C01ZYR21001</v>
          </cell>
          <cell r="C3535" t="str">
            <v>BHF-C01ZYR21001</v>
          </cell>
          <cell r="E3535">
            <v>85076000</v>
          </cell>
          <cell r="G3535">
            <v>85076000</v>
          </cell>
          <cell r="H3535" t="str">
            <v>CARREGADORES DE ACUMULADORES ELETRICOS DE IONS DE LITIO (CONTROLADOR) PARA PARA APLICAÇAO EM SISTEMAS DE ARMAZENAMENTO DE ENERGIA, ESTACIONARIOS OU TRACIONARIOS DE FORMA RETANGULAR, MARCA xxx, MODELO xxxxx, ANO DE FABRICAÇAO YYYY, NÚMEROS DE SERIE DE XXXXXXXXX, COM CLASSE DE PROTEÇAO IP65.</v>
          </cell>
        </row>
        <row r="3536">
          <cell r="B3536" t="str">
            <v>BHF-B10250R21001</v>
          </cell>
          <cell r="C3536" t="str">
            <v>BHF-B10250R21001</v>
          </cell>
          <cell r="E3536">
            <v>85076000</v>
          </cell>
          <cell r="G3536">
            <v>85076000</v>
          </cell>
          <cell r="H3536" t="str">
            <v>MODULOS DE ACUMULADORES ELETRICOS DE IONS DE LITIO, COM SISTEMAS DE MONITORAMENTO DE BATERIAS (BMS), PARA APLICAÇAO EM SISTEMAS DE ARMAZENAMENTO DE ENERGIA, ESTACIONARIOS OU TRACIONARIOS, APRESENTADOS EM INVOLUCRO OU GABINETE ÚNICO, COM TENSAO NOMINAL DE 102,4V - DE FORMA RETANGULAR, MARCA LIVOLTEK, MODELO XXXX, ANO DE FABRICAÇAO YYYY, NÚMEROS DE SERIE DE AAAAA A BBBBB, COM CLASSE DE PROTEÇAO IP65 E CAPACIDADE DE 5,12KWH. MAXIMA CORRENTE DE CARREGAMENTO E DESCARREGAMENTO DE 48A E 6000 CICLOS DE VIDA ÚTIL.</v>
          </cell>
        </row>
        <row r="3537">
          <cell r="B3537">
            <v>5210200550</v>
          </cell>
          <cell r="D3537">
            <v>40242370</v>
          </cell>
          <cell r="E3537">
            <v>90289090</v>
          </cell>
          <cell r="F3537" t="str">
            <v>Need to update benefit</v>
          </cell>
          <cell r="G3537">
            <v>90289090</v>
          </cell>
          <cell r="H3537" t="str">
            <v>TUBO DE COBRE (CARCACA), DE LIGAS DE COBRE, A BASE DE COBREZINCO (LATAO), MONTADO, PARA USO EM HIDROMETROS RESIDENCIAIS COM SECAO DE TRANSVERSAL DE 40mm E COMPRIMENTO DE 300mm.</v>
          </cell>
        </row>
        <row r="3538">
          <cell r="B3538">
            <v>2150512140</v>
          </cell>
          <cell r="C3538">
            <v>2150512140</v>
          </cell>
          <cell r="E3538">
            <v>85340033</v>
          </cell>
          <cell r="F3538" t="str">
            <v>Not applicable</v>
          </cell>
          <cell r="G3538">
            <v>85340033</v>
          </cell>
          <cell r="H3538" t="str">
            <v>PLACA DE CIRCUITO IMPRESSO, DE NATUREZA DO MATERIAL BASE RÍGIDO, COMPOSIÇÃO DA PLACA DE ISOLANTE DE RESINA EPÓXIDA E TECIDO DE FIBRA DE VIDRO, ESTRUTURA DE DUPLA FACE E INTERLIGAÇÃO ENTRE FACES POR FUROS METALIZADOS; DIMENSOES 165.6mm x 193.0mm</v>
          </cell>
        </row>
        <row r="3539">
          <cell r="B3539">
            <v>3028000819</v>
          </cell>
          <cell r="C3539">
            <v>3028000819</v>
          </cell>
          <cell r="E3539">
            <v>90289090</v>
          </cell>
          <cell r="G3539">
            <v>90289090</v>
          </cell>
          <cell r="H3539" t="str">
            <v>DISPOSITIVO RETIFICADOR DE FLUXO PARA MEDIDORES DE ÁGUA (PARTES E ACESSÓRIOS PARA CONTADORES DE LÍQUIDOS)</v>
          </cell>
        </row>
        <row r="3540">
          <cell r="B3540" t="str">
            <v>HXEC600R21002</v>
          </cell>
          <cell r="C3540" t="str">
            <v>HXEC600R21002</v>
          </cell>
          <cell r="E3540">
            <v>85176291</v>
          </cell>
          <cell r="G3540">
            <v>85176291</v>
          </cell>
          <cell r="H3540" t="str">
            <v>UNIDADE CENTRAL (CPU) DIGITAL, TRANSMISSORA DE DADOS EM REDE SEM FIO LORAWAN - PANTHEON-CPU V4 FONTE CHAVEADA 120-240V, 915MHZ (HXEC600R210)</v>
          </cell>
        </row>
        <row r="3541">
          <cell r="B3541">
            <v>7020829461</v>
          </cell>
          <cell r="C3541">
            <v>7020829461</v>
          </cell>
          <cell r="E3541">
            <v>84807100</v>
          </cell>
          <cell r="F3541" t="str">
            <v>Not applicable</v>
          </cell>
          <cell r="G3541">
            <v>84807100</v>
          </cell>
          <cell r="H3541" t="str">
            <v xml:space="preserve">MOLDE PARA PLASTICO, PARA MOLDAGEM POR INJECAO, PARA BASE DE MEDIDOR DE AGUA (CONTADOR DE LIQUIDOS) - HLD-S24187        </v>
          </cell>
        </row>
        <row r="3542">
          <cell r="B3542">
            <v>4020308340</v>
          </cell>
          <cell r="C3542">
            <v>4020308340</v>
          </cell>
          <cell r="E3542">
            <v>84779000</v>
          </cell>
          <cell r="F3542" t="str">
            <v>Not applicable</v>
          </cell>
          <cell r="H3542" t="str">
            <v>Rosca completa com flange e canhao D-60, parte para uso em máquina de moldagem por injecao de policarbonato</v>
          </cell>
        </row>
        <row r="3543">
          <cell r="B3543">
            <v>6001017170</v>
          </cell>
          <cell r="C3543">
            <v>6001017170</v>
          </cell>
          <cell r="E3543">
            <v>85176241</v>
          </cell>
          <cell r="G3543">
            <v>85176241</v>
          </cell>
          <cell r="H3543" t="str">
            <v>ROTEADORES DE BORDA, DIGITAIS, PARA COMUNICAÇÃO DE DADOS, COMPATÍVEIS COM O PADRÃO LORAWAN, CAPAZES DE OPERAR NA FAIXA ISM DE 902 A 928MHZ EM REDES DE TOPOLOGIA "ESTRELA" COM ESPALHAMENTO ESPECTRAL CSS E POTÊNCIA DE TRANSMISSÃO DE ATÉ +27DBM, COM INTERFACE DE COMUNICAÇÃO "FAST ETHERNET" E ALIMENTAÇÃO 12VDC POR POE, COM SUPORTE À TECNOLOGIA DE COMUNICAÇÃO CELULAR 4G.</v>
          </cell>
        </row>
        <row r="3544">
          <cell r="B3544" t="str">
            <v>5634C30200</v>
          </cell>
          <cell r="E3544">
            <v>90282010</v>
          </cell>
          <cell r="G3544">
            <v>90282010</v>
          </cell>
          <cell r="H3544" t="str">
            <v>HIDROMETRO ULTRASSONICO (CONTADOR DE LÍQUIDOS) RESIDENCIAL COM CARCACA DE LATAO, DIAMETRO NOMINAL DE 20 MM, COMPRIMENTO 190 MM, VAZAO DE 4,0 M3/H; R500,  COM PESO LÍQUIDO UNITARIO APROXIMADO ENTRE 0,75 kg e 2,5 kgs, LORAWAN DCU (ZLW20-4).</v>
          </cell>
        </row>
        <row r="3545">
          <cell r="B3545" t="str">
            <v>5633C20200</v>
          </cell>
          <cell r="E3545">
            <v>90282010</v>
          </cell>
          <cell r="G3545">
            <v>90282010</v>
          </cell>
          <cell r="H3545" t="str">
            <v>HIDROMETRO ULTRASSONICO (CONTADOR DE LÍQUIDOS) RESIDENCIAL COM CARCACA DE LATAO, DIAMETRO NOMINAL DE 15 MM, COMPRIMENTO 165 MM, VAZAO DE 2,5 M3/H; R500,  COM PESO LÍQUIDO UNITARIO APROXIMADO ENTRE 0,75 kg e 2,5 kgs, LORAWAN DCU (ZLW15-2).</v>
          </cell>
        </row>
        <row r="3546">
          <cell r="B3546" t="str">
            <v>HXE110 +</v>
          </cell>
          <cell r="C3546" t="str">
            <v>HXE110 +</v>
          </cell>
          <cell r="E3546">
            <v>90283011</v>
          </cell>
          <cell r="H3546" t="str">
            <v>Medidor ( contador de eletricidade) inteligente, monofásico, para corrente alternada, digital,  HXE110 220V 1 Elemento, 1 Fase 2 Fios, 50/60Hz 5-100A</v>
          </cell>
        </row>
        <row r="3547">
          <cell r="B3547" t="str">
            <v>HXE310 +</v>
          </cell>
          <cell r="C3547" t="str">
            <v>HXE310 +</v>
          </cell>
          <cell r="E3547">
            <v>90283031</v>
          </cell>
          <cell r="H3547" t="str">
            <v>Medidor ( contador de eletricidade ) inteligente, trifásico, digital, HXE310 220V 3 Elementos,  3 Fases 4 Fios 50/60Hz 5-100A</v>
          </cell>
        </row>
        <row r="3548">
          <cell r="B3548" t="str">
            <v>HXF300 +</v>
          </cell>
          <cell r="C3548" t="str">
            <v>HXF300 +</v>
          </cell>
          <cell r="E3548">
            <v>90283031</v>
          </cell>
          <cell r="H3548" t="str">
            <v>Medidor ( contador de eletricidade ) inteligente indireto,  trifásico, digital, HXF300 220V 3 Elementos, 3 Fase 4 Fios 50/60Hz 1-10A</v>
          </cell>
        </row>
        <row r="3549">
          <cell r="B3549">
            <v>7020602790</v>
          </cell>
          <cell r="C3549">
            <v>7020602790</v>
          </cell>
          <cell r="E3549">
            <v>90303390</v>
          </cell>
          <cell r="H3549" t="str">
            <v>Instrumento de controle de tensao, corrente e potencia, sem dispositivo registrador, (bancada trifasica para testes de medidores de energia eletrica com 12 posicoes).</v>
          </cell>
        </row>
        <row r="3550">
          <cell r="B3550" t="str">
            <v>565EBA1102</v>
          </cell>
          <cell r="C3550" t="str">
            <v>565EBA1102</v>
          </cell>
          <cell r="E3550">
            <v>90282010</v>
          </cell>
          <cell r="G3550">
            <v>90282010</v>
          </cell>
          <cell r="H3550" t="str">
            <v>HIDRÔMETRO ULTRASSÔNICO (CONTADOR DE LÍQUIDOS) INDUSTRIAL COM CARCAÇA DE FERRO FUNDIDO, DIÂMETRO NOMINAL DE 200MM, COMPRIMENTO 350 MM, VAZÃO DE 400 M3/H, R400, PN16 COM SAÍDA DE PULSO, COM PESO LÍQUIDO UNITÁRIO APROXIMADO ENTRE 20,0 KG E 45,0 KG. MOBDUS (ZLW200-400)</v>
          </cell>
        </row>
        <row r="3551">
          <cell r="B3551" t="str">
            <v>565FBC1102</v>
          </cell>
          <cell r="C3551" t="str">
            <v>565FBC1102</v>
          </cell>
          <cell r="E3551">
            <v>90282010</v>
          </cell>
          <cell r="G3551">
            <v>90282010</v>
          </cell>
          <cell r="H3551" t="str">
            <v>HIDRÔMETRO ULTRASSÔNICO  (CONTADOR DE LÍQUIDOS) INDUSTRIAL COM CARCAÇA DE AÇO, DIÂMETRO NOMINAL DE 250MM, COMPRIMENTO 450 MM, VAZÃO DE 630 M3/H, R400, PN16 COM SAÍDA DE PULSO, COM PESO LÍQUIDO UNITÁRIO APROXIMADO ENTRE 65,0 KG E 70,0 KG. MODBUS (ZLW250-630)</v>
          </cell>
        </row>
        <row r="3552">
          <cell r="B3552" t="str">
            <v>565GBD1102</v>
          </cell>
          <cell r="C3552" t="str">
            <v>565GBD1102</v>
          </cell>
          <cell r="E3552">
            <v>90282010</v>
          </cell>
          <cell r="G3552">
            <v>90282010</v>
          </cell>
          <cell r="H3552" t="str">
            <v>HIDRÔMETRO ULTRASSÔNICO  (CONTADOR DE LÍQUIDOS) INDUSTRIAL COM CARCAÇA DE AÇO, DIÂMETRO NOMINAL DE 300MM, COMPRIMENTO 500 MM, VAZÃO DE 1000 M3/H, R400, PN16 COM SAÍDA DE PULSO, COM PESO LÍQUIDO UNITÁRIO APROXIMADO ENTRE 85,0 KG E 90,0 KG. MODBUS (ZLW300-1000).</v>
          </cell>
        </row>
        <row r="3553">
          <cell r="B3553" t="str">
            <v>LAUNCHXL-F28379D</v>
          </cell>
          <cell r="C3553" t="str">
            <v>LAUNCHXL-F28379D</v>
          </cell>
          <cell r="E3553">
            <v>84735010</v>
          </cell>
          <cell r="G3553">
            <v>84735010</v>
          </cell>
          <cell r="H3553" t="str">
            <v>Placa de teste embarcada TMS320F2837xD, TMS320F2837xS LaunchPad™ C2000™, Delfino™ C28x MCU 32 bits</v>
          </cell>
        </row>
        <row r="3554">
          <cell r="B3554">
            <v>4032500460</v>
          </cell>
          <cell r="E3554">
            <v>70199000</v>
          </cell>
          <cell r="H3554" t="str">
            <v>Bandeja de fibra de vidro para soldagem de componentes eletrônicos para medidores ( Contadores) (ref.: 4032500460)</v>
          </cell>
        </row>
        <row r="3555">
          <cell r="B3555">
            <v>4032500740</v>
          </cell>
          <cell r="E3555">
            <v>90319010</v>
          </cell>
          <cell r="H3555" t="str">
            <v>Dispositivo Auto FCT, parte para uso em bancada de ensaios de FCT e calibracAo para medidores (contadores) (ref. 4032500740)</v>
          </cell>
        </row>
        <row r="3556">
          <cell r="B3556">
            <v>4032500750</v>
          </cell>
          <cell r="E3556">
            <v>84689090</v>
          </cell>
          <cell r="H3556" t="str">
            <v>Gabarito, parte para uso em máquina de soldagem a calor para placas de medidores (contadores) (ref.4032500750)</v>
          </cell>
        </row>
        <row r="3557">
          <cell r="B3557">
            <v>2050904021</v>
          </cell>
          <cell r="C3557">
            <v>2050904021</v>
          </cell>
          <cell r="E3557">
            <v>85423190</v>
          </cell>
          <cell r="H3557" t="str">
            <v>Circuito integrado eletronico controlador , montado, para montagem por insercao PTH,  MODELO DE PROCESSADOR DE 32 bits, FREQUeNCIA DE CLOCK de até 29,4912MHz FONTE CHAVEADA, com interruptor de alimentacao PWM off-line com baixa potencia em espera, comutacao AC-DC, MOSFET de potência 100V, corrente máxima de pulso 2.5A, embalagem DIP7 (2050904021)</v>
          </cell>
        </row>
        <row r="3558">
          <cell r="B3558">
            <v>2010101790</v>
          </cell>
          <cell r="C3558">
            <v>2010101790</v>
          </cell>
          <cell r="E3558">
            <v>85332120</v>
          </cell>
          <cell r="H3558" t="str">
            <v xml:space="preserve">Resistor (RESISTeNCIA ELeTRICA FIXA) proprio para montagem em superfície (SMD), encapsulamento 0402, resistência 33k ohms,  tolerância 1%,  potência 0,0625 (1/16)W (2010101790) </v>
          </cell>
        </row>
        <row r="3559">
          <cell r="B3559" t="str">
            <v>5636C70102</v>
          </cell>
          <cell r="C3559" t="str">
            <v>5636C70102</v>
          </cell>
          <cell r="E3559">
            <v>90282010</v>
          </cell>
          <cell r="G3559">
            <v>90282010</v>
          </cell>
          <cell r="H3559" t="str">
            <v>HIDROMETRO ULTRASSONICO (CONTADOR DE LÍQUIDOS) RESIDENCIAL COM CARCAÇA DE LATAO, DIAMETRO NOMINAL DE 25 MM, COMPRIMENTO 260 MM, R500, VAZAO DE 10 M3/H E SAÍDA PULSADA,  COM PESO LÍQUIDO UNITÁRIO APROXIMADO ENTRE 1,0 KG E 2,0 KGS (ZLW25-10).</v>
          </cell>
        </row>
        <row r="3560">
          <cell r="B3560">
            <v>2060102300</v>
          </cell>
          <cell r="E3560">
            <v>85411022</v>
          </cell>
          <cell r="H3560" t="str">
            <v>DISPOSITIVO SEMICONDUTOR TIPO Diodo de recuperacao rapida, proprio para montagem em superficie SMD; tensao reversa 600V; de intensidade de corrente direta 0.8A; Tensao direta 0,1V; Corrente reversa 10uA; Encapsulamento MBLS</v>
          </cell>
        </row>
        <row r="3561">
          <cell r="B3561" t="str">
            <v>HXAP1000R31006-ALLNB</v>
          </cell>
          <cell r="E3561">
            <v>85176241</v>
          </cell>
          <cell r="H3561" t="str">
            <v>Roteadores de borda, para comunicacao de dados, compativeis com o padrao WiSUN e IEEE802.15.4g, capazes de operar na faixa ISM de 902 a 928MHz em redes de topologia "Mesh" ou "Estrela" com espalhamento espectral por salto em frequencia (FHSS) e/ou OFDM, endereçamento IPv6 e potencia de transmissao de até +30dBm, com interface de comunicacao "fast ethernet" e alimentacao "full-range" de 85 a 336VAC, com suporte à tecnologia de comunicacao celular 5G</v>
          </cell>
        </row>
        <row r="3562">
          <cell r="B3562" t="str">
            <v>HXWSG100R21104-ALLNB</v>
          </cell>
          <cell r="E3562">
            <v>85176294</v>
          </cell>
          <cell r="H3562" t="str">
            <v>Sub-roteadores de radio frequencia, para comunicacao de dados, compativeis com o padrao WiSUN e IEEE802.15.4g, capazes de operar na faixa ISM de 902 a 928 MHz em redes de topologia "Mesh" ou "Estrela" com espalhamento espectral por salto em frequencia (FHSS), endereçamento IPv6 e potencia de transmissao de até +30 dBm,  possuindo ainda, alimentacao "full-range" 80 ~ 300 VAC</v>
          </cell>
        </row>
        <row r="3563">
          <cell r="B3563" t="str">
            <v>HXE110.R520</v>
          </cell>
          <cell r="E3563">
            <v>90283011</v>
          </cell>
          <cell r="H3563" t="str">
            <v>Medidor inteligente monofasico digital de energia eletrica (contador de eletricidade), para corrente alternada, para topologia 1 elementos 2 fios, tensao nominal 220 V, corrente 5-100A e frequencia 50/60Hz</v>
          </cell>
        </row>
        <row r="3564">
          <cell r="B3564" t="str">
            <v>HXE310.R520(3P3W)</v>
          </cell>
          <cell r="E3564">
            <v>90283031</v>
          </cell>
          <cell r="H3564" t="str">
            <v>Medidor inteligente trifasico digital de energia eletrica (contador de eletricidade), para topologia 3 elementos 3 fios, tensao nominal 220 V, corrente 5-100A e frequencia 50/60Hz</v>
          </cell>
        </row>
        <row r="3565">
          <cell r="B3565" t="str">
            <v>HXE310.R520(3P4W)</v>
          </cell>
          <cell r="E3565">
            <v>90283031</v>
          </cell>
          <cell r="H3565" t="str">
            <v>Medidor inteligente trifasico digital de energia eletrica (contador de eletricidade), para topologia 3 elementos 4 fios, tensao nominal 220 V, corrente 5-100A e frequencia 50/60Hz.</v>
          </cell>
        </row>
        <row r="3566">
          <cell r="B3566" t="str">
            <v>HXAP1000R21203-NB</v>
          </cell>
          <cell r="E3566">
            <v>85176241</v>
          </cell>
          <cell r="G3566">
            <v>85176241</v>
          </cell>
          <cell r="H3566"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3567">
          <cell r="B3567" t="str">
            <v>HXE130- MWT62.R221</v>
          </cell>
          <cell r="E3567">
            <v>85176277</v>
          </cell>
          <cell r="H3567" t="str">
            <v>Modulo de comunicacao(NIC - Network Interface Card), para transmissao e recepcao de dados em redes sem fio, digital,  com suporte à tecnologia 4G LTE (Long-Term Evolution), compatível com padroes IEEE 802.11x e 3GPP, operando em frequencias na faixa de 850 MHz a 1.9 GHz,  com taxa de transmissao de até 150 (DL) / 50 (UL) Mbit/s, para integracao em redes de telecomunicaçoes e sistemas de comunicacao de dados, tensao de operacao entre 3,3 e 12V, 119,4 mm de comprimento, 67 mm de largura e 48 mm de altura, RoHS  SMT para conexoes comerciais e industriais, para contador de eletricidade monofasico</v>
          </cell>
        </row>
        <row r="3568">
          <cell r="B3568" t="str">
            <v>HXE330- MWT63.R221</v>
          </cell>
          <cell r="E3568">
            <v>85176277</v>
          </cell>
          <cell r="H3568" t="str">
            <v>Modulo de comunicacao(NIC - Network Interface Card), para transmissao e recepcao de dados em redes sem fio, digital, com suporte à tecnologia 4G LTE (Long-Term Evolution), compatível com padroes IEEE 802.11x e 3GPP, operando em frequencias na faixa de 850 MHz a 1,9 GHz,  com taxa de transmissao de até 150 (DL)/ 50 (UL) Mbit/s, para integracao em redes de telecomunicaçoes e sistemas de comunicacao de dados, tensao de operacao entre 3,3V e 12V, 119,4 mm de comprimento, 67 mm de largura e 48 mm de altura, RoHS  SMT para conexoes comerciais e industriais, para contador de eletricidade polifasico</v>
          </cell>
        </row>
        <row r="3569">
          <cell r="B3569" t="str">
            <v>HXE130.R153</v>
          </cell>
          <cell r="E3569">
            <v>90283011</v>
          </cell>
          <cell r="H3569" t="str">
            <v>Medidor de energia (contador de eletricidade)  de pré-pagamento eletrônico, monofasico para corrente alternada, digital, com classe de precisao B,HXE130 1p2w, 120/240V , 15-100A, possui sistema de recarga via token, aplicativo ou meios digitais, e suporte a conexao de NICS de comunicacao como permitindo integracao com sistemas de gestao da concessionaria, suporta funçoes como monitoramento remoto, corte e religamento automatico, medicao bidirecional para energia ativa e reativa, e alarmes de consumo ou crédito baixo. </v>
          </cell>
        </row>
        <row r="3570">
          <cell r="B3570" t="str">
            <v>HXE330.R130 (3P4W)</v>
          </cell>
          <cell r="E3570">
            <v>90283031</v>
          </cell>
          <cell r="H3570" t="str">
            <v>Medidor de energia (Contador de eletricidade) de pré-pagamento eletrônico, trifasico, digital,  HXE330 3p4w, 120/240V , 15-120A, com classe de precisao B, possui sistema de recarga via token, aplicativo ou meios digitais, e suporte a conexao de NICS de comunicacao como permitindo integracao com sistemas de gestao da concessionaria. Suporta funçoes como monitoramento remoto, corte e religamento automatico, medicao bidirecional para energia ativa e reativa, e alarmes de consumo ou crédito baixo.</v>
          </cell>
        </row>
        <row r="3571">
          <cell r="B3571" t="str">
            <v>EV500.R231</v>
          </cell>
          <cell r="E3571">
            <v>85312000</v>
          </cell>
          <cell r="H3571" t="str">
            <v>Aparelho elétrico de sinalização visual (painel indicador) com dispositivos de cristais líquidos (LCD), teclado de botões e comunicação remota, para exibição de energia elétrica (mostrador remoto de energia).</v>
          </cell>
        </row>
        <row r="3572">
          <cell r="B3572" t="str">
            <v>5633C20300</v>
          </cell>
          <cell r="C3572" t="str">
            <v>5633C20300</v>
          </cell>
          <cell r="E3572">
            <v>90282010</v>
          </cell>
          <cell r="G3572">
            <v>90282010</v>
          </cell>
          <cell r="H3572" t="str">
            <v>HIDROMETRO ULTRASSONICO (CONTADOR DE LÍQUIDOS) RESIDENCIAL COM CARCACA DE LATAO,  DIAMETRO NOMINAL DE 15MM, COMPRIMENTO 165 MM, VAZAO DE 2,5 M3/H, R500 NB-IOT, (ZLW-DN15-2),  COM PESO LIQUIDO UNITARIO APROXIMADO ENTRE  0,5 KG E 2,0 KGS.</v>
          </cell>
        </row>
        <row r="3573">
          <cell r="B3573" t="str">
            <v>5634D30300</v>
          </cell>
          <cell r="C3573" t="str">
            <v>5634D30300</v>
          </cell>
          <cell r="E3573">
            <v>90282010</v>
          </cell>
          <cell r="G3573">
            <v>90282010</v>
          </cell>
          <cell r="H3573" t="str">
            <v>HIDROMETRO ULTRASSONICO (CONTADOR DE LÍQUIDOS) RESIDENCIAL COM CARCACA DE LATAO,  DIAMETRO NOMINAL DE 20MM, COMPRIMENTO 190 MM, VAZAO DE 4 M3/H, R630 NB-IOT, (ZLW-DN20-4),  COM PESO LIQUIDO UNITARIO APROXIMADO ENTRE  0,5 KG E 2,0 KGS.</v>
          </cell>
        </row>
        <row r="3574">
          <cell r="B3574" t="str">
            <v>5636E70300</v>
          </cell>
          <cell r="C3574" t="str">
            <v>5636E70300</v>
          </cell>
          <cell r="E3574">
            <v>90282010</v>
          </cell>
          <cell r="G3574">
            <v>90282010</v>
          </cell>
          <cell r="H3574" t="str">
            <v>HIDROMETRO ULTRASSONICO (CONTADOR DE LÍQUIDOS) RESIDENCIAL COM CARCACA DE LATAO,  DIAMETRO NOMINAL DE 25MM, COMPRIMENTO 260 MM, VAZAO DE 10 M3/H, R800 NB-IOT, (ZLW-DN25-10),  COM PESO LIQUIDO UNITARIO APROXIMADO ENTRE  0,5 KG E 2,0 KGS.</v>
          </cell>
        </row>
        <row r="3575">
          <cell r="B3575">
            <v>3024508350</v>
          </cell>
          <cell r="C3575">
            <v>3024508350</v>
          </cell>
          <cell r="E3575">
            <v>90289010</v>
          </cell>
          <cell r="H3575" t="str">
            <v>SUBCONJUNTO DE PARTES PLASTICAS PARA ADAPTADOR DE BANCADA PARA APLICACAO EM MODULOS DE MEDICAO PANTHEON DE CONTADOR DE ELETRICIDADE</v>
          </cell>
        </row>
        <row r="3576">
          <cell r="B3576">
            <v>3040303940</v>
          </cell>
          <cell r="C3576">
            <v>3040303940</v>
          </cell>
          <cell r="E3576">
            <v>85444200</v>
          </cell>
          <cell r="H3576" t="str">
            <v>PONTE DE COBRE MUNIDA DE PINO RÍGIDO PARA CONEXAO, CONDUTORA DE CORRENTE ELETRICA ISOLADA PARA APLICACAO EM TENSAO DE ATE 288V, ESTANHADA, CORRENTE MAXIMA DE 100A.</v>
          </cell>
        </row>
        <row r="3577">
          <cell r="B3577">
            <v>3030104240</v>
          </cell>
          <cell r="C3577">
            <v>3030104240</v>
          </cell>
          <cell r="E3577">
            <v>73181500</v>
          </cell>
          <cell r="H3577" t="str">
            <v>PARAFUSO TIPO PHILLIPS M3*8MM, ARTIGO ROSCADO, DE MATERIA-PRIMA BASE EM ACO INOX, DE PROCESSO DE FABRICACAO SEM TRATAMENTO, ACABAMENTO SUPERFICIAL SEM TRATAMENTO</v>
          </cell>
        </row>
        <row r="3578">
          <cell r="B3578">
            <v>3040303950</v>
          </cell>
          <cell r="C3578">
            <v>3040303950</v>
          </cell>
          <cell r="E3578">
            <v>85444200</v>
          </cell>
          <cell r="H3578" t="str">
            <v>PONTE DE COBRE MUNIDA DE PINO RÍGIDO PARA CONEXAO, CONDUTORA DE CORRENTE ELETRICA ISOLADA PARA APLICACAO EM TENSAO DE ATE 288V, ESTANHADA, CORRENTE MAXIMA DE 100A.</v>
          </cell>
        </row>
        <row r="3579">
          <cell r="B3579">
            <v>3042503190</v>
          </cell>
          <cell r="C3579">
            <v>3042503190</v>
          </cell>
          <cell r="E3579">
            <v>85444900</v>
          </cell>
          <cell r="H3579" t="str">
            <v>CABO CONDUTOR ELETRICO, ISOLADO PARA USO ELETRICO, PARA APLICACAO EM TENSAO NOMINAL DE 288V, DE MATERIAL COBRE, 0,2 MM² DE DIÂMETRO E 350MM DE COMPRIMENTO, PRETO.</v>
          </cell>
        </row>
        <row r="3580">
          <cell r="B3580">
            <v>2150149870</v>
          </cell>
          <cell r="C3580">
            <v>2150149870</v>
          </cell>
          <cell r="E3580">
            <v>85340033</v>
          </cell>
          <cell r="F3580" t="str">
            <v>Not applicable</v>
          </cell>
          <cell r="G3580">
            <v>85340033</v>
          </cell>
          <cell r="H3580" t="str">
            <v>PLACA DE CIRCUITO IMPRESSO, DE NATUREZA DO MATERIAL BASE RIGIDO, COMPOSICAO DA PLACA DE ISOLANTE DE RESINA EPOXIDA E TECIDO DE FIBRA DE VIDRO, ESTRUTURA DE DUPLA FACE E INTERLIGACAO ENTRE FACES POR FUROS METALIZADOS; DIMENSOES 240.0MM; 135.0MM; 1.6MM</v>
          </cell>
        </row>
        <row r="3581">
          <cell r="B3581" t="str">
            <v>HXWSG100R21204-NB</v>
          </cell>
          <cell r="C3581" t="str">
            <v>HXWSG100R21204-NB</v>
          </cell>
          <cell r="E3581">
            <v>85176294</v>
          </cell>
          <cell r="H3581" t="str">
            <v>Sub-roteadores de radio frequencia, tradutores (conversores) de protocolos para interconexoes de redes (gateways),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80 ~ 300 VAC.</v>
          </cell>
        </row>
        <row r="3582">
          <cell r="B3582">
            <v>7020601300</v>
          </cell>
          <cell r="E3582">
            <v>90303990</v>
          </cell>
          <cell r="H3582" t="str">
            <v>Instrumento para medida ou controle da tensao, intensidade, de potência e com dispositivo registrador (PADRAO DE WATT-HORA MONOFASICO), utilizado para medicao de energia, tipo monofasico, classe 0,05, Tensao 220V± 10 porcento, Frequencia 45～65Hz;Corrente 0.01A～120A. Modelo:xxxx; Marca: xxxx. Numero de serie: XXXXXXXXXX-YYYYYYYYYY; Ano de fabricacao: xxxx;</v>
          </cell>
        </row>
        <row r="3583">
          <cell r="B3583">
            <v>7020600880</v>
          </cell>
          <cell r="E3583">
            <v>90303990</v>
          </cell>
          <cell r="H3583" t="str">
            <v>Instrumento para medida ou controle da tensao, intensidade, de potência e com dispositivo registrador (PADRAO DE WATT-HORA TRIFASICO), utilizado para medicao de energia, tipo trifasico, classe 0,05, Tensao 220V±10 porcento;Frequencia 45～65Hz;Corrente 0.01A～120A. Modelo:xxxx; Marca: xxxx. Numero de serie: XXXXXXXXXX-YYYYYYYYYY; Ano de fabricacao: xxxx;</v>
          </cell>
        </row>
        <row r="3584">
          <cell r="B3584">
            <v>4020305610</v>
          </cell>
          <cell r="E3584">
            <v>84779000</v>
          </cell>
          <cell r="H3584" t="str">
            <v>Rosca completa com flange, anel de bloqueio, ponteira e canhao D-60, parte para uso em maquina de moldagem por injecao</v>
          </cell>
        </row>
        <row r="3585">
          <cell r="B3585">
            <v>4020308490</v>
          </cell>
          <cell r="E3585">
            <v>84779000</v>
          </cell>
          <cell r="H3585" t="str">
            <v>Rosca completa com flange, anel de bloqueio, ponteira e canhao D-55, parte para uso em maquina de moldagem por injecao</v>
          </cell>
        </row>
        <row r="3586">
          <cell r="B3586">
            <v>4020305570</v>
          </cell>
          <cell r="E3586">
            <v>84779000</v>
          </cell>
          <cell r="H3586" t="str">
            <v>Rosca completa com flange, anel de bloqueio, ponteira e canhao D-40, parte para uso em maquina de moldagem por injecao</v>
          </cell>
        </row>
        <row r="3587">
          <cell r="B3587" t="str">
            <v>5633C20500</v>
          </cell>
          <cell r="C3587" t="str">
            <v>5633C20500</v>
          </cell>
          <cell r="E3587">
            <v>90282010</v>
          </cell>
          <cell r="G3587">
            <v>90282010</v>
          </cell>
          <cell r="H3587" t="str">
            <v>HIDROMETRO ULTRASSONICO (CONTADOR DE LIQUIDOS) RESIDENCIAL COM CARCACA DE COMPOSITE, DIAMETRO NOMINAL DE 15MM, COMPRIMENTO 165 MM, VAZAO DE 2,5 M3/H, R500 E SAIDA PULSADA (ZLW15-2), COM PESO LIQUIDO UNITARIO APROXIMADO ENTRE 0,5 KG E 2,0 KGS.</v>
          </cell>
        </row>
        <row r="3588">
          <cell r="B3588" t="str">
            <v>5633C30500</v>
          </cell>
          <cell r="C3588" t="str">
            <v>5633C30500</v>
          </cell>
          <cell r="E3588">
            <v>90282010</v>
          </cell>
          <cell r="G3588">
            <v>90282010</v>
          </cell>
          <cell r="H3588" t="str">
            <v>HIDROMETRO ULTRASSONICO (CONTADOR DE LIQUIDOS) RESIDENCIAL COM CARCACA DE COMPOSITE, DIAMETRO NOMINAL DE 20MM, COMPRIMENTO 190 MM, VAZAO DE 2,5 M3/H, R500 E SAIDA PULSADA (ZLW20-4), COM PESO LIQUIDO UNITARIO APROXIMADO ENTRE 0,5 KG E 2,0 KGS.</v>
          </cell>
        </row>
        <row r="3589">
          <cell r="B3589" t="str">
            <v>5634C30500</v>
          </cell>
          <cell r="C3589" t="str">
            <v>5634C30500</v>
          </cell>
          <cell r="E3589">
            <v>90282010</v>
          </cell>
          <cell r="G3589">
            <v>90282010</v>
          </cell>
          <cell r="H3589" t="str">
            <v>HIDROMETRO ULTRASSONICO (CONTADOR DE LIQUIDOS) RESIDENCIAL COM CARCACA DE COMPOSITE, DIAMETRO NOMINAL DE 20MM, COMPRIMENTO 190 MM, VAZAO DE 4 M3/H, R500 E SAIDA PULSADA (ZLW20-4), COM PESO LIQUIDO UNITARIO APROXIMADO ENTRE 0,5 KG E 2,0 KGS.</v>
          </cell>
        </row>
        <row r="3590">
          <cell r="B3590" t="str">
            <v>5635C70500</v>
          </cell>
          <cell r="C3590" t="str">
            <v>5635C70500</v>
          </cell>
          <cell r="E3590">
            <v>90282010</v>
          </cell>
          <cell r="G3590">
            <v>90282010</v>
          </cell>
          <cell r="H3590" t="str">
            <v>HIDROMETRO ULTRASSONICO (CONTADOR DE LIQUIDOS) RESIDENCIAL COM CARCACA DE COMPOSITE, DIAMETRO NOMINAL DE 25MM, COMPRIMENTO 260 MM, VAZAO DE 6,3 M3/H, R500 E SAIDA PULSADA (ZLW25-6), COM PESO LIQUIDO UNITARIO APROXIMADO ENTRE 0,5 KG E 2,0 KGS.</v>
          </cell>
        </row>
        <row r="3591">
          <cell r="B3591" t="str">
            <v>5636C70500</v>
          </cell>
          <cell r="C3591" t="str">
            <v>5636C70500</v>
          </cell>
          <cell r="E3591">
            <v>90282010</v>
          </cell>
          <cell r="G3591">
            <v>90282010</v>
          </cell>
          <cell r="H3591" t="str">
            <v>HIDROMETRO ULTRASSONICO (CONTADOR DE LIQUIDOS) RESIDENCIAL COM CARCACA DE COMPOSITE, DIAMETRO NOMINAL DE 25MM, COMPRIMENTO 260 MM, VAZAO DE 10 M3/H, R500 E SAIDA PULSADA (ZLW25-10), COM PESO LIQUIDO UNITARIO APROXIMADO ENTRE 0,5 KG E 2,0 KGS.</v>
          </cell>
        </row>
        <row r="3592">
          <cell r="B3592" t="str">
            <v>5648C90500</v>
          </cell>
          <cell r="C3592" t="str">
            <v>5648C90500</v>
          </cell>
          <cell r="E3592">
            <v>90282010</v>
          </cell>
          <cell r="G3592">
            <v>90282010</v>
          </cell>
          <cell r="H3592" t="str">
            <v>HIDROMETRO ULTRASSONICO (CONTADOR DE LIQUIDOS) DISTRITAL COM CARCACA DE COMPOSITE, DIAMETRO NOMINAL DE 40MM, COMPRIMENTO 300 MM, VAZAO DE 16 M3/H, R500 E SAIDA PULSADA (ZLW40-16), COM PESO LIQUIDO UNITARIO APROXIMADO ENTRE 0,5 KG E 2,0 KGS.</v>
          </cell>
        </row>
        <row r="3593">
          <cell r="B3593">
            <v>3100111326</v>
          </cell>
          <cell r="C3593">
            <v>3100111326</v>
          </cell>
          <cell r="E3593">
            <v>90289010</v>
          </cell>
          <cell r="H3593" t="str">
            <v>Placa de identificacao para medidores ( contador) de energia, sem impressao, material de aluminio, parte para montagem de contadores de eletricidade.</v>
          </cell>
        </row>
        <row r="3594">
          <cell r="B3594">
            <v>3030900720</v>
          </cell>
          <cell r="C3594">
            <v>3030900720</v>
          </cell>
          <cell r="E3594">
            <v>73181600</v>
          </cell>
          <cell r="H3594" t="str">
            <v>Porca sextavada M8 de materia-prima base em aço inox (aco inoxidavel), processo de fabricacao sem tratamento, acabamento superficial sem tratamento</v>
          </cell>
        </row>
        <row r="3595">
          <cell r="B3595">
            <v>3040702030</v>
          </cell>
          <cell r="C3595">
            <v>3040702030</v>
          </cell>
          <cell r="E3595">
            <v>85369090</v>
          </cell>
          <cell r="H3595" t="str">
            <v>Terminal de corrente para conexao de circuito eletrico com tensao de ate 240V, em latao com tratamento niquelado,  toque de 5N.m, com dimensoes de 17,1mm de comprimento, 12,6mm de largura e 20mm de altura, com peso de  15g</v>
          </cell>
        </row>
        <row r="3596">
          <cell r="B3596" t="str">
            <v>HXAP1000R31003-CPFL</v>
          </cell>
          <cell r="C3596" t="str">
            <v>HXAP1000R31003-CPFL</v>
          </cell>
          <cell r="E3596">
            <v>85176241</v>
          </cell>
          <cell r="H3596"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1.0, com modulo 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3597">
          <cell r="B3597">
            <v>4020115300</v>
          </cell>
          <cell r="E3597">
            <v>85014019</v>
          </cell>
          <cell r="H3597" t="str">
            <v>Motor elétrico de passo, de corrente alternada, monofásico, de potência 1KW, de carcaça fechada e rotação de até 3000 RPM - 99V 50/60Hz 6,3A, para máquina de inserção de componentes SM481</v>
          </cell>
        </row>
        <row r="3598">
          <cell r="B3598">
            <v>4032500200</v>
          </cell>
          <cell r="E3598">
            <v>70199000</v>
          </cell>
          <cell r="H3598" t="str">
            <v>Bandeja de fibra de vidro para soldagem de componentes eletrônicos para placa de inversor fotovoltaico; Tamanho máximo da bandeja 400*280*6MM (ref. 4032500200)</v>
          </cell>
        </row>
        <row r="3599">
          <cell r="B3599">
            <v>4032500180</v>
          </cell>
          <cell r="E3599">
            <v>70199000</v>
          </cell>
          <cell r="H3599" t="str">
            <v>Bandeja de fibra de vidro para soldagem de componentes eletrônicos para placa de inversor fotovoltaico; Tamanho máximo da bandeja 320*280*6MM (ref. 4032500180)</v>
          </cell>
        </row>
        <row r="3600">
          <cell r="B3600">
            <v>4032501180</v>
          </cell>
          <cell r="E3600">
            <v>70199000</v>
          </cell>
          <cell r="H3600" t="str">
            <v>Bandeja de fibra de vidro para soldagem de componentes eletrônicos para placa de inversor fotovoltaico; Tamanho máximo da bandeja 400*320*8MM (ref. 4032501180)</v>
          </cell>
        </row>
        <row r="3601">
          <cell r="B3601">
            <v>2020104920</v>
          </cell>
          <cell r="C3601">
            <v>2020104920</v>
          </cell>
          <cell r="E3601">
            <v>85322410</v>
          </cell>
          <cell r="F3601" t="str">
            <v>Not applicable</v>
          </cell>
          <cell r="G3601">
            <v>85322410</v>
          </cell>
          <cell r="H3601" t="str">
            <v>Capacitor  (CONDENSADOR ELeTRICO FIXO) Com dielétrico de cerâmica, de camadas múltiplas, próprios para montagem em superfície SMD; Capacitância 100.0nF; Tensão nominal 25Vdc; Tolerância 10%; Encapsulamento 0402</v>
          </cell>
        </row>
        <row r="3602">
          <cell r="B3602">
            <v>2150513030</v>
          </cell>
          <cell r="C3602">
            <v>2150513030</v>
          </cell>
          <cell r="E3602">
            <v>85340033</v>
          </cell>
          <cell r="F3602" t="str">
            <v>Not applicable</v>
          </cell>
          <cell r="G3602">
            <v>85340033</v>
          </cell>
          <cell r="H3602" t="str">
            <v>PLACA DE CIRCUITO IMPRESSO, DE NATUREZA DO MATERIAL BASE RÍGIDO, COMPOSIÇÃO DA PLACA DE ISOLANTE DE RESINA EPÓXIDA E TECIDO DE FIBRA DE VIDRO, ESTRUTURA DE DUPLA FACE E INTERLIGAÇÃO ENTRE FACES POR FUROS METALIZADOS; DIMENSOES 165.6mm x 193.0mm  / 165.6MM*193.0MM*1.6MM/6 NAO-ROHS SMT.</v>
          </cell>
        </row>
        <row r="3603">
          <cell r="B3603">
            <v>5210102060</v>
          </cell>
          <cell r="C3603">
            <v>5210102060</v>
          </cell>
          <cell r="E3603">
            <v>85340033</v>
          </cell>
          <cell r="F3603" t="str">
            <v>Not applicable</v>
          </cell>
          <cell r="G3603">
            <v>85340033</v>
          </cell>
          <cell r="H3603" t="str">
            <v>PLACA DE CIRCUITO IMPRESSO PARA INDUTOR, DE NATUREZA DO MATERIAL BASE RÍGIDO, COMPOSIÇÃO DA PLACA DE ISOLANTE DE RESINA EPÓXIDA E TECIDO DE FIBRA DE VIDRO, ESTRUTURA DE DUPLA FACE E INTERLIGAÇÃO ENTRE FACES POR FUROS METALIZADOS; DIMENSOES APROXIMADAS DE 10.0mm x 10.0mm.</v>
          </cell>
        </row>
        <row r="3604">
          <cell r="B3604">
            <v>2030901080</v>
          </cell>
          <cell r="C3604">
            <v>2030901080</v>
          </cell>
          <cell r="E3604">
            <v>85045010</v>
          </cell>
          <cell r="G3604">
            <v>85045010</v>
          </cell>
          <cell r="H3604" t="str">
            <v>BOBINA DE AUTOINDUCAO, INDUTOR FIXO, DE LARGURA 2,0 MM E COMPRIMENTO 1,25 MM, E ALTURA 0,90 MM, PARA MONTAGEM EM SUPERFÍCIE SMD, INDUTANCIA 4,7 NH,  TOLERANCIA DE 5%, 100OHMS DE RESISTENCIA, CORRENTE MÁXIMA 3000 MA, ENCAPSULAMENTO 0805.  (PBY201209T-101Y-N).</v>
          </cell>
        </row>
        <row r="3605">
          <cell r="B3605">
            <v>8040100920</v>
          </cell>
          <cell r="E3605">
            <v>85414300</v>
          </cell>
          <cell r="H3605" t="str">
            <v>Modulos solares fotovoltaicos para geracao de energia eletrica, monofaciais, dotados de celulas de silício monocristalino, com potencia de pico (STC) na parte frontal de 665Wp para sistema com tensao maxima de 1.500V, com dimensoes de 2.384 x 1.303mmx 35mm (eficiencia de 214,07Wp/m2, equivalente a 21,4por cento).</v>
          </cell>
        </row>
        <row r="3606">
          <cell r="B3606">
            <v>4020603280</v>
          </cell>
          <cell r="E3606">
            <v>85444200</v>
          </cell>
          <cell r="H3606" t="str">
            <v>Cabo coaxial  com  vedacao de plastico, munido de peca de conexao,  para tensao de 0 a 20 volts, uma extremidade macho DB62, uma extremidade femea DB62, comprimento 1 metro</v>
          </cell>
        </row>
        <row r="3607">
          <cell r="B3607">
            <v>4020603290</v>
          </cell>
          <cell r="E3607">
            <v>85444200</v>
          </cell>
          <cell r="H3607" t="str">
            <v>Cabo coaxial  com  vedacao de plastico, munido de peca de conexao, para tensao de 0 a 20 volts, uma extremidade macho DB62, uma extremidade femea DB62, comprimento 2 metros</v>
          </cell>
        </row>
        <row r="3608">
          <cell r="B3608">
            <v>3142100950</v>
          </cell>
          <cell r="C3608">
            <v>3142100950</v>
          </cell>
          <cell r="E3608">
            <v>90289090</v>
          </cell>
          <cell r="F3608" t="str">
            <v>Not applicable</v>
          </cell>
          <cell r="G3608">
            <v>90289090</v>
          </cell>
          <cell r="H3608" t="str">
            <v>TUBO DE COBRE (CARCACA) A BASE DE COBREZINCO (LATAO), MONTADO, PARA USO EM HIDROMETROS (CONTADORES DE LIQUIDOS) RESIDENCIAIS COM SECAO DE TRANSVERSAL DE 15mm E COMPRIMENTO DE 165mm.</v>
          </cell>
        </row>
        <row r="3609">
          <cell r="B3609">
            <v>3142100960</v>
          </cell>
          <cell r="C3609">
            <v>3142100960</v>
          </cell>
          <cell r="E3609">
            <v>90289090</v>
          </cell>
          <cell r="F3609" t="str">
            <v>Not applicable</v>
          </cell>
          <cell r="G3609">
            <v>90289090</v>
          </cell>
          <cell r="H3609" t="str">
            <v>TUBO DE COBRE (CARCACA) A BASE DE COBREZINCO (LATAO), COM RETIFICADOR DE FLUXO, MONTADO, PARA USO EM HIDROMETROS (CONTADORES DE LIQUIDOS) RESIDENCIAIS COM SECAO DE TRANSVERSAL DE 20mm E COMPRIMENTO DE 190mm. (REF. 3142100960)</v>
          </cell>
        </row>
        <row r="3610">
          <cell r="B3610">
            <v>2011102200</v>
          </cell>
          <cell r="E3610">
            <v>85334012</v>
          </cell>
          <cell r="G3610">
            <v>85334012</v>
          </cell>
          <cell r="H3610" t="str">
            <v>VARISTOR (RESISTÊNCIA ELÉTRICA VARIÁVEL NÃO-LINEAR SEMICONDUTORA) TENSÃO DE 680V, TOLERÂNCIA DE 10%, TENSÃO DE 420VAC, CORRENTE DE 10000A, DIMENSÕES Φ18.0*7.6/9.7MM  PTH (2011102200) </v>
          </cell>
        </row>
        <row r="3611">
          <cell r="B3611">
            <v>2011500230</v>
          </cell>
          <cell r="E3611">
            <v>85332120</v>
          </cell>
          <cell r="G3611">
            <v>85332120</v>
          </cell>
          <cell r="H3611" t="str">
            <v>RESISTOR (RESISTeNCIA ELeTRICA FIXA) PRoPRIO PARA MONTAGEM em superfície (SMD), encapsulamento melf 0204, resistencia 10 ohms,  tolerancia 1 por cento,  potencia 0,25 (1/4) W</v>
          </cell>
        </row>
        <row r="3612">
          <cell r="B3612">
            <v>3042307200</v>
          </cell>
          <cell r="E3612">
            <v>85369090</v>
          </cell>
          <cell r="H3612" t="str">
            <v>Conector de passagem, BORNE, para a conexao de cabos, com parafuso, secao de conexao 35mm2, tensao nominal 750v corrente nominal 125A.</v>
          </cell>
        </row>
        <row r="3613">
          <cell r="B3613" t="str">
            <v xml:space="preserve">MNI72R21001         </v>
          </cell>
          <cell r="C3613" t="str">
            <v xml:space="preserve">MNI72R21001         </v>
          </cell>
          <cell r="E3613">
            <v>85176272</v>
          </cell>
          <cell r="H3613" t="str">
            <v>Modulo de comunicacao de dados sem fio (recepcao, conversao e transmissao) MNI72R21001, digitais, emissores de radio frequencia com receptor incorporado, para medidores inteligentes de energia eletrica modelo Zeus-NG com tecnologia NB2, operando nas faixas de frequência de 700/800/850/900/1800 MHz, contendo slot para SIM cards 2FF e supercapacitores para funcao de "Last Gasp" e LEDs para indicacao de comunicacao com a rede e com os medidores de energia, com taxa de transmissao de até 159 kbit/s (0,159 Mbit/s)</v>
          </cell>
        </row>
        <row r="3614">
          <cell r="B3614">
            <v>7030204080</v>
          </cell>
          <cell r="C3614">
            <v>7030204080</v>
          </cell>
          <cell r="E3614">
            <v>90173090</v>
          </cell>
          <cell r="H3614" t="str">
            <v>Instrumento para processo de calibracao do carregador para carro eletrico, com uma posicao de medicao, 32A, 3 circuitos de corrente.</v>
          </cell>
        </row>
        <row r="3615">
          <cell r="B3615">
            <v>4030412330</v>
          </cell>
          <cell r="C3615">
            <v>4030412330</v>
          </cell>
          <cell r="E3615">
            <v>85444900</v>
          </cell>
          <cell r="H3615" t="str">
            <v>Conjunto de 03 cabos coaxiais com conectores  eletricos coaxiais de 8AWG padrão americano, de tensão até 380V, 0,8m de comprimento, com terminais Anderson</v>
          </cell>
        </row>
        <row r="3616">
          <cell r="B3616">
            <v>4030412340</v>
          </cell>
          <cell r="C3616">
            <v>4030412340</v>
          </cell>
          <cell r="E3616">
            <v>85444900</v>
          </cell>
          <cell r="H3616" t="str">
            <v>Conjunto de 05 cabos coaxiais com conectores  eletricos coaxiais de 8AWG padrão americano, de tensão até 380V, 0,8m de comprimento, com terminais Anderson</v>
          </cell>
        </row>
        <row r="3617">
          <cell r="B3617">
            <v>3051509410</v>
          </cell>
          <cell r="C3617">
            <v>3051509410</v>
          </cell>
          <cell r="E3617">
            <v>85049090</v>
          </cell>
          <cell r="H3617" t="str">
            <v>PAINEL DE ALUMINIO 5052 (CAPA FRONTAL METÁLICA), parte do conversor ELETRICO ESTATICO(CARREGADOR) G2; 0.8mm; 30515-XCDZ02-05; RoHS, </v>
          </cell>
        </row>
        <row r="3618">
          <cell r="B3618">
            <v>3051701540</v>
          </cell>
          <cell r="C3618">
            <v>3051701540</v>
          </cell>
          <cell r="E3618">
            <v>73261900</v>
          </cell>
          <cell r="H3618" t="str">
            <v>Abracadeira de feixe em aco inoxidavel SUS304 estampada, dimensoes 205x190x36mm, espessura 2,0mm, (3051701540)</v>
          </cell>
        </row>
        <row r="3619">
          <cell r="B3619">
            <v>3051701370</v>
          </cell>
          <cell r="C3619">
            <v>3051701370</v>
          </cell>
          <cell r="E3619">
            <v>73261900</v>
          </cell>
          <cell r="H3619" t="str">
            <v>Abracadeira metalica em aço inoxidavel SUS304 estampada, dimensoes 17x49x9,5mm, para medidor de balanco (3051701370)</v>
          </cell>
        </row>
        <row r="3620">
          <cell r="B3620">
            <v>7030302360</v>
          </cell>
          <cell r="C3620">
            <v>7030302360</v>
          </cell>
          <cell r="E3620">
            <v>90318099</v>
          </cell>
          <cell r="F3620" t="str">
            <v>Not applicable</v>
          </cell>
          <cell r="G3620">
            <v>90318099</v>
          </cell>
          <cell r="H3620" t="str">
            <v>MAQUINAS DE VERIFICACAO E CALIBRACAO AUTOMATICA DE MEDIDORES DE AGUA COM CAPACIDADE PARA OS DIAMETROS NOMINAIS: 15 MM, 20 MM E 25 MM. UTILIZA DE REFERENCIA EM PRINCIPIO GRAVIMETRICO ATRAVES DE BALANCA E REGULAGEM DE VAZAO ATRAVES DE MEDIDORES ELETROMAGNETICOS PODENDO ATINGIR ATE 10 M3/H PARA ENSAIOS; FUNCIONAMENTO EM CIRCUITO CICLICO, PODENDO ARMAZENAR ATE 1000L DE AGUA; EQUIPADO COM SISTEMA DE ESTABILIZACAO DE PRESSAO, SENSORES DE TEMPERATURA E PRESSAO. NUMERO DE SERIE: XXXXXX; ANO DE FABRICACAO: 2024; MODELO: XXXXXX; MARCA: XXXXX.</v>
          </cell>
        </row>
        <row r="3621">
          <cell r="B3621">
            <v>5901017704</v>
          </cell>
          <cell r="C3621">
            <v>5901017704</v>
          </cell>
          <cell r="E3621">
            <v>82055900</v>
          </cell>
          <cell r="G3621">
            <v>82055900</v>
          </cell>
          <cell r="H3621" t="str">
            <v>FERRAMENTA MANUAL DO TIPO GRAMPO SARGENTO (BAT-TOOL - FERRAMENTA DE SUBSTITUICAO DE KIT DE BATERIA (RELIGADOR) - HXD820) PARA ACOPLAMENTO POR APERTO EM FERRAMENTAS DE TRABALHO EM REDE DE DISTRIBUIÇÃO AEREA.</v>
          </cell>
        </row>
        <row r="3622">
          <cell r="B3622" t="str">
            <v>5633C20600</v>
          </cell>
          <cell r="C3622" t="str">
            <v>5633C20600</v>
          </cell>
          <cell r="E3622">
            <v>90282010</v>
          </cell>
          <cell r="G3622">
            <v>90282010</v>
          </cell>
          <cell r="H3622" t="str">
            <v>HIDROMETRO ULTRASSONICO (CONTADOR DE LIQUIDOS) RESIDENCIAL COM CARCACA DE COMPOSITE, DIAMETRO NOMINAL DE 15MM, COMPRIMENTO 165 MM, VAZAO DE 2,5 M3/H, R500 E SAIDA PULSADA (ZLW15-2), COM PESO LIQUIDO UNITARIO APROXIMADO ENTRE 0,5 KG E 2,0 KGS.</v>
          </cell>
        </row>
        <row r="3623">
          <cell r="B3623" t="str">
            <v>5633C20700</v>
          </cell>
          <cell r="C3623" t="str">
            <v>5633C20700</v>
          </cell>
          <cell r="E3623">
            <v>90282010</v>
          </cell>
          <cell r="G3623">
            <v>90282010</v>
          </cell>
          <cell r="H3623" t="str">
            <v>HIDROMETRO ULTRASSONICO (CONTADOR DE LÍQUIDOS) RESIDENCIAL COM CARCACA DE LATAO, DIAMETRO NOMINAL DE 15MM, COMPRIMENTO 165 MM, VAZAO DE 2,5 M3/H, R500 COM NB-IOT + VALVULA DE CORTE (ZLW15-2),  COM PESO LÍQUIDO UNITÁRIO APROXIMADO ENTRE 0,5 KG E 2,0 KG</v>
          </cell>
        </row>
        <row r="3624">
          <cell r="B3624" t="str">
            <v>5648C90600</v>
          </cell>
          <cell r="C3624" t="str">
            <v>5648C90600</v>
          </cell>
          <cell r="E3624">
            <v>90282010</v>
          </cell>
          <cell r="G3624">
            <v>90282010</v>
          </cell>
          <cell r="H3624" t="str">
            <v>HIDROMETRO ULTRASSONICO (CONTADOR DE LIQUIDOS) DISTRITAL COM CARCACA DE COMPOSITE, DIAMETRO NOMINAL DE 40MM, COMPRIMENTO 300 MM, VAZAO DE 16 M3/H, R500 E SAIDA PULSADA (ZLW40-16), COM PESO LIQUIDO UNITARIO APROXIMADO ENTRE 0,5 KG E 2,0 KGS.</v>
          </cell>
        </row>
        <row r="3625">
          <cell r="B3625" t="str">
            <v>5648C90700</v>
          </cell>
          <cell r="C3625" t="str">
            <v>5648C90700</v>
          </cell>
          <cell r="E3625">
            <v>90282010</v>
          </cell>
          <cell r="G3625">
            <v>90282010</v>
          </cell>
          <cell r="H3625" t="str">
            <v>HIDROMETRO ULTRASSONICO (CONTADOR DE LÍQUIDOS) DISTRITAL COM CARCACA DE LATAO, DIAMETRO NOMINAL DE 40MM, COMPRIMENTO 300 MM, VAZAO DE 16 M3/H, R500 E COM NB-IOT + VÁLVULA DE CORTE (ZLW40-16),  COM PESO LÍQUIDO UNITÁRIO APROXIMADO ENTRE 0,5 KG E 2,0 KG.</v>
          </cell>
        </row>
        <row r="3626">
          <cell r="B3626" t="str">
            <v>5635C70600</v>
          </cell>
          <cell r="C3626" t="str">
            <v>5635C70600</v>
          </cell>
          <cell r="E3626">
            <v>90282010</v>
          </cell>
          <cell r="G3626">
            <v>90282010</v>
          </cell>
          <cell r="H3626" t="str">
            <v>HIDROMETRO ULTRASSONICO (CONTADOR DE LÍQUIDOS) RESIDENCIAL COM CARCACA DE COMPOSITE, DIAMETRO NOMINAL DE 25MM, COMPRIMENTO 260 MM, VAZAO DE 6,3 M3/H, R500 COM NB-IOT + VALVULA DE CORTE (ZLWV25-6),  COM PESO LÍQUIDO UNITARIO APROXIMADO ENTRE 0,5 KG E 2,0 KG.</v>
          </cell>
        </row>
        <row r="3627">
          <cell r="B3627" t="str">
            <v>5636C70700</v>
          </cell>
          <cell r="C3627" t="str">
            <v>5636C70700</v>
          </cell>
          <cell r="E3627">
            <v>90282010</v>
          </cell>
          <cell r="G3627">
            <v>90282010</v>
          </cell>
          <cell r="H3627" t="str">
            <v>HIDROMETRO ULTRASSONICO (CONTADOR DE LÍQUIDOS) RESIDENCIAL COM CARCACA DE LATAO, DIAMETRO NOMINAL DE 25MM, COMPRIMENTO 260 MM, VAZAO DE 10 M3/H, R500 COM NB-IOT + VÁLVULA DE CORTE (ZLWV25-10),  COM PESO LÍQUIDO UNITÁRIO APROXIMADO ENTRE 0,5 KG E 2,0 KG</v>
          </cell>
        </row>
        <row r="3628">
          <cell r="B3628" t="str">
            <v>HXD811-38 (61616)</v>
          </cell>
          <cell r="C3628" t="str">
            <v>HXD811-38 (61616)</v>
          </cell>
          <cell r="E3628">
            <v>85359090</v>
          </cell>
          <cell r="G3628">
            <v>85359090</v>
          </cell>
          <cell r="H3628" t="str">
            <v>CHAVE DE MANOBRA (INTERRUPTOR) TRIFASICA C/ INTERRUPCAO POR AMPOLA À VACUO NAO IMERSO EM MEIO LÍQUIDO E COM DISPOSITIVO DE ACIONAMENTO AUTOMATICO (ATUADOR DE IMA MAGNETICO PERMANENTE) PARA UMA CORRENTE NOMINAL DE 800A, TENSAO DE 38kV , NUMERO DE FASES: 3; CAPACIDADE DE INTERRUPCAO: 16kA; FREQUENCIA: 50/60HZ; ISOLAMENTO: RESINA EPOXI; GRAU PROTECAO e IP55.</v>
          </cell>
        </row>
        <row r="3629">
          <cell r="B3629" t="str">
            <v>HXD811-F40 (62054)</v>
          </cell>
          <cell r="C3629" t="str">
            <v>HXD811-F40 (62054)</v>
          </cell>
          <cell r="E3629">
            <v>85371090</v>
          </cell>
          <cell r="G3629">
            <v>85371090</v>
          </cell>
          <cell r="H3629" t="str">
            <v>CONTROLE ELETROELETRONICO MICROPROCESSADO PARA RELIGADORES TRIFÁSICOS, MEIO DE INTERUPCAO À VÁCUO, CONSTRUÍDO EM CAIXA DE AÇO INOX, COM PRÉ-DISPOSICAO PARA FIXACAO NA PARTE POSTERIOR, PARA UTILIZACAO EM AMBIENTES EXTERNOS DE MÉDIA TENSAO, CONTEM FIRMWARE DEDICADO A OPERACAO DE MANOBRA DE REDES ELETRICAS, SENSOR DE ABERTURA DE PORTAS E OUTROS ACESSÓRIOS. TENSÃO DE ALIMENTACAO 3P+T FULL-RANGE 95-265VAC 50HZ/60HZ, TENSAO DE COMANDO DE 24VDC.</v>
          </cell>
        </row>
        <row r="3630">
          <cell r="B3630">
            <v>3011501710</v>
          </cell>
          <cell r="E3630">
            <v>83017000</v>
          </cell>
          <cell r="H3630" t="str">
            <v>Chave apresentada isoladamente para dispositivo antirroubo para AP, de cobre niquelado com alca de aco carbono + PP</v>
          </cell>
        </row>
        <row r="3631">
          <cell r="B3631" t="str">
            <v>HXEJ201.R310</v>
          </cell>
          <cell r="E3631">
            <v>90283031</v>
          </cell>
          <cell r="H3631" t="str">
            <v>Contador de eletricidade trifasico (medidor de balanco (Zeus TM)), digital, classe 05S, IP65, com wifi, gps e modulo de comunicacao (4G/NB/CATM1/WiSUN/PLC)</v>
          </cell>
        </row>
        <row r="3632">
          <cell r="B3632">
            <v>3090500620</v>
          </cell>
          <cell r="C3632">
            <v>3090500620</v>
          </cell>
          <cell r="E3632">
            <v>85444200</v>
          </cell>
          <cell r="H3632" t="str">
            <v>Cabo flat, condutor eletrico, com fios de 26AWG, munido de pecas de conexao, para aplicacao em tensao aproximada entre 0V e 20V, comprimento de 90mm, 1x6 pinos, distancia entre pinos 2,54 mm, para montagem por insercao PTH</v>
          </cell>
        </row>
        <row r="3633">
          <cell r="B3633" t="str">
            <v>5633C20800</v>
          </cell>
          <cell r="C3633" t="str">
            <v>5633C20800</v>
          </cell>
          <cell r="E3633">
            <v>90282010</v>
          </cell>
          <cell r="G3633">
            <v>90282010</v>
          </cell>
          <cell r="H3633" t="str">
            <v>HIDROMETRO ULTRASSONICO (CONTADOR DE LIQUIDOS) RESIDENCIAL COM CARCACA DE COMPOSITE, DIAMETRO NOMINAL DE 15MM, COMPRIMENTO 165 MM, VAZAO DE 2,5 M3/H, R500 COM NB-IOT (ZLW15-2),  COM PESO LIQUIDO UNITARIO APROXIMADO ENTRE 0,5 KG E 2,0 KG.</v>
          </cell>
        </row>
        <row r="3634">
          <cell r="B3634" t="str">
            <v>5633C30800</v>
          </cell>
          <cell r="C3634" t="str">
            <v>5633C30800</v>
          </cell>
          <cell r="E3634">
            <v>90282010</v>
          </cell>
          <cell r="G3634">
            <v>90282010</v>
          </cell>
          <cell r="H3634" t="str">
            <v>HIDROMETRO ULTRASSONICO (CONTADOR DE LIQUIDOS) RESIDENCIAL COM CARCACA DE COMPOSITE, DIAMETRO NOMINAL DE 20MM, COMPRIMENTO 190 MM, VAZAO DE 2,5 M3/H, R500 COM NB-IOT (ZLW20-2),  COM PESO LIQUIDO UNITARIO APROXIMADO ENTRE 0,5 KG E 2,0 KG.</v>
          </cell>
        </row>
        <row r="3635">
          <cell r="B3635" t="str">
            <v>5633C30300</v>
          </cell>
          <cell r="C3635" t="str">
            <v>5633C30600</v>
          </cell>
          <cell r="E3635">
            <v>90282010</v>
          </cell>
          <cell r="G3635">
            <v>90282010</v>
          </cell>
          <cell r="H3635" t="str">
            <v>HIDROMETRO ULTRASSONICO (CONTADOR DE LIQUIDOS) RESIDENCIAL COM CARCACA DE LATAO, DIAMETRO NOMINAL DE 20MM, COMPRIMENTO 190 MM, VAZAO DE 2,5 M3/H, R500 COM NB-IOT (ZLW20-2),  COM PESO LIQUIDO UNITARIO APROXIMADO ENTRE 0,5 KG E 2,0 KG.</v>
          </cell>
        </row>
        <row r="3636">
          <cell r="B3636" t="str">
            <v>5633C30600</v>
          </cell>
          <cell r="C3636" t="str">
            <v>5634C30800</v>
          </cell>
          <cell r="E3636">
            <v>90282010</v>
          </cell>
          <cell r="G3636">
            <v>90282010</v>
          </cell>
          <cell r="H3636" t="str">
            <v>HIDROMETRO ULTRASSONICO (CONTADOR DE LIQUIDOS) RESIDENCIAL COM CARCACA DE COMPOSITE, DIAMETRO NOMINAL DE 20MM, COMPRIMENTO 190 MM, VAZAO DE 2,5 M3/H, R500 COM NB-IOT + VALVULA DE CORTE (ZLW20-2),  COM PESO LIQUIDO UNITARIO APROXIMADO ENTRE 0,5 KG E 2,0 KG.</v>
          </cell>
        </row>
        <row r="3637">
          <cell r="B3637" t="str">
            <v>5633C30700</v>
          </cell>
          <cell r="C3637" t="str">
            <v>5634C30600</v>
          </cell>
          <cell r="E3637">
            <v>90282010</v>
          </cell>
          <cell r="G3637">
            <v>90282010</v>
          </cell>
          <cell r="H3637" t="str">
            <v>HIDROMETRO ULTRASSONICO (CONTADOR DE LIQUIDOS) RESIDENCIAL COM CARCACA DE LATAO, DIAMETRO NOMINAL DE 20MM, COMPRIMENTO 190 MM, VAZAO DE 2,5 M3/H, R500 COM NB-IOT + VALVULA DE CORTE (ZLW20-2),  COM PESO LIQUIDO UNITARIO APROXIMADO ENTRE 0,5 KG E 2,0 KG.</v>
          </cell>
        </row>
        <row r="3638">
          <cell r="B3638" t="str">
            <v>5634C30800</v>
          </cell>
          <cell r="C3638" t="str">
            <v>5635C70800</v>
          </cell>
          <cell r="E3638">
            <v>90282010</v>
          </cell>
          <cell r="G3638">
            <v>90282010</v>
          </cell>
          <cell r="H3638" t="str">
            <v>HIDROMETRO ULTRASSONICO (CONTADOR DE LIQUIDOS) RESIDENCIAL COM CARCACA DE COMPOSITE, DIAMETRO NOMINAL DE 20MM, COMPRIMENTO 190 MM, VAZAO DE 4 M3/H, R500 COM NB-IOT (ZLW20-4),  COM PESO LIQUIDO UNITARIO APROXIMADO ENTRE 0,5 KG E 2,0 KG.</v>
          </cell>
        </row>
        <row r="3639">
          <cell r="B3639" t="str">
            <v>5634C30300</v>
          </cell>
          <cell r="C3639" t="str">
            <v>5636C70600</v>
          </cell>
          <cell r="E3639">
            <v>90282010</v>
          </cell>
          <cell r="G3639">
            <v>90282010</v>
          </cell>
          <cell r="H3639" t="str">
            <v>HIDROMETRO ULTRASSONICO (CONTADOR DE LIQUIDOS) RESIDENCIAL COM CARCACA DE LATAO, DIAMETRO NOMINAL DE 20MM, COMPRIMENTO 190 MM, VAZAO DE 4 M3/H, R500 COM NB-IOT (ZLW20-4),  COM PESO LIQUIDO UNITARIO APROXIMADO ENTRE 0,5 KG E 2,0 KG.</v>
          </cell>
        </row>
        <row r="3640">
          <cell r="B3640" t="str">
            <v>5634C30600</v>
          </cell>
          <cell r="C3640" t="str">
            <v>5636C70800</v>
          </cell>
          <cell r="E3640">
            <v>90282010</v>
          </cell>
          <cell r="G3640">
            <v>90282010</v>
          </cell>
          <cell r="H3640" t="str">
            <v>HIDROMETRO ULTRASSONICO (CONTADOR DE LIQUIDOS) RESIDENCIAL COM CARCACA DE COMPOSITE, DIAMETRO NOMINAL DE 20MM, COMPRIMENTO 190 MM, VAZAO DE 4 M3/H, R500 COM NB-IOT + VALVULA DE CORTE (ZLW20-4),  COM PESO LIQUIDO UNITARIO APROXIMADO ENTRE 0,5 KG E 2,0 KG.</v>
          </cell>
        </row>
        <row r="3641">
          <cell r="B3641" t="str">
            <v>5634C30700</v>
          </cell>
          <cell r="E3641">
            <v>90282010</v>
          </cell>
          <cell r="G3641">
            <v>90282010</v>
          </cell>
          <cell r="H3641" t="str">
            <v>HIDROMETRO ULTRASSONICO (CONTADOR DE LIQUIDOS) RESIDENCIAL COM CARCACA DE LATAO, DIAMETRO NOMINAL DE 20MM, COMPRIMENTO 190 MM, VAZAO DE 4 M3/H, R500 COM NB-IOT + VALVULA DE CORTE (ZLW20-4),  COM PESO LIQUIDO UNITARIO APROXIMADO ENTRE 0,5 KG E 2,0 KG.</v>
          </cell>
        </row>
        <row r="3642">
          <cell r="B3642" t="str">
            <v>5635C70700</v>
          </cell>
          <cell r="E3642">
            <v>90282010</v>
          </cell>
          <cell r="G3642">
            <v>90282010</v>
          </cell>
          <cell r="H3642" t="str">
            <v>HIDROMETRO ULTRASSONICO (CONTADOR DE LIQUIDOS) RESIDENCIAL COM CARCACA DE LATAO, DIAMETRO NOMINAL DE 25MM, COMPRIMENTO 260 MM, VAZAO DE 6,3 M3/H, R500 COM NB-IOT + VALVULA DE CORTE (ZLW25-6),  COM PESO LIQUIDO UNITARIO APROXIMADO ENTRE 0,5 KG E 2,0 KG.</v>
          </cell>
        </row>
        <row r="3643">
          <cell r="B3643" t="str">
            <v>5635C70800</v>
          </cell>
          <cell r="C3643" t="str">
            <v>5635C70800</v>
          </cell>
          <cell r="E3643">
            <v>90282010</v>
          </cell>
          <cell r="G3643">
            <v>90282010</v>
          </cell>
          <cell r="H3643" t="str">
            <v>HIDROMETRO ULTRASSONICO (CONTADOR DE LIQUIDOS) RESIDENCIAL COM CARCACA DE COMPOSITE, DIAMETRO NOMINAL DE 25MM, COMPRIMENTO 260 MM, VAZAO DE 6,3 M3/H, R500 COM NB-IOT + VALVULA DE CORTE (ZLW25-6),  COM PESO LIQUIDO UNITARIO APROXIMADO ENTRE 0,5 KG E 2,0 KG.</v>
          </cell>
        </row>
        <row r="3644">
          <cell r="B3644" t="str">
            <v>5635C70300</v>
          </cell>
          <cell r="C3644" t="str">
            <v>5636C70600</v>
          </cell>
          <cell r="E3644">
            <v>90282010</v>
          </cell>
          <cell r="G3644">
            <v>90282010</v>
          </cell>
          <cell r="H3644" t="str">
            <v>HIDROMETRO ULTRASSONICO (CONTADOR DE LIQUIDOS) RESIDENCIAL COM CARCACA DE LATAO, DIAMETRO NOMINAL DE 25MM, COMPRIMENTO 260 MM, VAZAO DE 6,3 M3/H, R500 COM NB-IOT (ZLW25-6),  COM PESO LIQUIDO UNITARIO APROXIMADO ENTRE 0,5 KG E 2,0 KG.</v>
          </cell>
        </row>
        <row r="3645">
          <cell r="B3645" t="str">
            <v>5636C70600</v>
          </cell>
          <cell r="C3645" t="str">
            <v>5636C70800</v>
          </cell>
          <cell r="E3645">
            <v>90282010</v>
          </cell>
          <cell r="G3645">
            <v>90282010</v>
          </cell>
          <cell r="H3645" t="str">
            <v>HIDROMETRO ULTRASSONICO (CONTADOR DE LIQUIDOS) RESIDENCIAL COM CARCACA DE COMPOSITE, DIAMETRO NOMINAL DE 25MM, COMPRIMENTO 260 MM, VAZAO DE 10 M3/H, R500 COM NB-IOT + VALVULA DE CORTE (ZLW25-10),  COM PESO LIQUIDO UNITARIO APROXIMADO ENTRE 0,5 KG E 2,0 KG.</v>
          </cell>
        </row>
        <row r="3646">
          <cell r="B3646" t="str">
            <v>5636C70800</v>
          </cell>
          <cell r="C3646" t="str">
            <v>5636C70800</v>
          </cell>
          <cell r="E3646">
            <v>90282010</v>
          </cell>
          <cell r="G3646">
            <v>90282010</v>
          </cell>
          <cell r="H3646" t="str">
            <v>HIDROMETRO ULTRASSONICO (CONTADOR DE LIQUIDOS) RESIDENCIAL COM CARCACA DE COMPOSITE, DIAMETRO NOMINAL DE 25MM, COMPRIMENTO 260 MM, VAZAO DE 10 M3/H, R500 COM NB-IOT (ZLW25-10),  COM PESO LIQUIDO UNITARIO APROXIMADO ENTRE 0,5 KG E 2,0 KG.</v>
          </cell>
        </row>
        <row r="3647">
          <cell r="B3647" t="str">
            <v>5636C70300</v>
          </cell>
          <cell r="E3647">
            <v>90282010</v>
          </cell>
          <cell r="G3647">
            <v>90282010</v>
          </cell>
          <cell r="H3647" t="str">
            <v>HIDROMETRO ULTRASSONICO (CONTADOR DE LIQUIDOS) RESIDENCIAL COM CARCACA DE LATAO, DIAMETRO NOMINAL DE 25MM, COMPRIMENTO 260 MM, VAZAO DE 10 M3/H, R500 COM NB-IOT (ZLW25-10),  COM PESO LIQUIDO UNITARIO APROXIMADO ENTRE 0,5 KG E 2,0 KG.</v>
          </cell>
        </row>
        <row r="3648">
          <cell r="B3648">
            <v>4020216570</v>
          </cell>
          <cell r="C3648"/>
          <cell r="E3648">
            <v>90328990</v>
          </cell>
          <cell r="F3648"/>
          <cell r="G3648">
            <v>90328990</v>
          </cell>
          <cell r="H3648" t="str">
            <v>PLACA ELETRÔNICA DE CONTROLE WH-104 CIRCUITO IMPRESSO, SIMPLES FACE, RÍGIDO.</v>
          </cell>
        </row>
        <row r="3649">
          <cell r="B3649">
            <v>4020216580</v>
          </cell>
          <cell r="C3649"/>
          <cell r="E3649">
            <v>85371020</v>
          </cell>
          <cell r="F3649"/>
          <cell r="G3649">
            <v>85371020</v>
          </cell>
          <cell r="H3649" t="str">
            <v>INVERSOR DE FREQUENCIA CONTROLADORES PROGRAMAVEIS 380V, PARA MAQUINA DE ELETROEROSAO CDS-0710FEC-CH</v>
          </cell>
        </row>
        <row r="3650">
          <cell r="B3650">
            <v>4020216590</v>
          </cell>
          <cell r="C3650"/>
          <cell r="E3650">
            <v>90328990</v>
          </cell>
          <cell r="F3650"/>
          <cell r="G3650">
            <v>90328990</v>
          </cell>
          <cell r="H3650" t="str">
            <v>PLACA ELETRÔNICA DE CONTROLE WH-111 CIRCUITO IMPRESSO, SIMPLES FACE, RÍGIDO.</v>
          </cell>
        </row>
        <row r="3651">
          <cell r="B3651">
            <v>4020216600</v>
          </cell>
          <cell r="C3651"/>
          <cell r="E3651">
            <v>85371020</v>
          </cell>
          <cell r="F3651"/>
          <cell r="G3651">
            <v>85371020</v>
          </cell>
          <cell r="H3651" t="str">
            <v>INVERSOR DE FREQUENCIA,CONTROLADORES PROGRAMAVEIS 380V,PARA MAQUINA DE ELETROEROSAO SUNFAR V560.</v>
          </cell>
        </row>
        <row r="3652">
          <cell r="B3652">
            <v>4020216610</v>
          </cell>
          <cell r="C3652"/>
          <cell r="E3652">
            <v>85371020</v>
          </cell>
          <cell r="F3652"/>
          <cell r="G3652">
            <v>85371020</v>
          </cell>
          <cell r="H3652" t="str">
            <v xml:space="preserve"> INVERSOR DE FREQUENCIA CONTROLADORES PROGRAMAVEIS 380 V,PARA MAQUINA DE ELETROEROSAO SGD7S-7R6A10A002.</v>
          </cell>
        </row>
        <row r="3653">
          <cell r="B3653">
            <v>4020216620</v>
          </cell>
          <cell r="C3653"/>
          <cell r="E3653">
            <v>90328990</v>
          </cell>
          <cell r="F3653"/>
          <cell r="G3653">
            <v>90328990</v>
          </cell>
          <cell r="H3653" t="str">
            <v>PLACA ELETRÔNICA DE CONTROLE TB16IN-5.4 CIRCUITO IMPRESSO, SIMPLES FACE, RÍGIDO.</v>
          </cell>
        </row>
        <row r="3654">
          <cell r="B3654">
            <v>4020216630</v>
          </cell>
          <cell r="C3654"/>
          <cell r="E3654">
            <v>90328990</v>
          </cell>
          <cell r="F3654"/>
          <cell r="G3654">
            <v>90328990</v>
          </cell>
          <cell r="H3654" t="str">
            <v>PLACA ELETRÔNICA DE CONTROLE  C1UT-30A CIRCUITO IMPRESSO, SIMPLES FACE, RÍGIDO.</v>
          </cell>
        </row>
        <row r="3655">
          <cell r="B3655">
            <v>4020216560</v>
          </cell>
          <cell r="C3655"/>
          <cell r="E3655">
            <v>85333910</v>
          </cell>
          <cell r="F3655"/>
          <cell r="G3655">
            <v>85333910</v>
          </cell>
          <cell r="H3655" t="str">
            <v xml:space="preserve"> REGUA POTÊNCIOMETRICA MK300 - ML370mm .  DE RESISTENCIA VAREAVELRESISTÊNCIAS ELÉTRICAS (INCLUINDO OS REOSTATOS E OS POTENCIÔMETROS).  </v>
          </cell>
        </row>
        <row r="3656">
          <cell r="B3656" t="str">
            <v>MNI72R21002</v>
          </cell>
          <cell r="C3656" t="str">
            <v>MNI72R21002</v>
          </cell>
          <cell r="E3656">
            <v>85176272</v>
          </cell>
          <cell r="H3656" t="str">
            <v>Modulo de comunicacao de dados sem fio (recepcao, conversao e transmissao) MNI72R21002, digitais, emissores de radio frequencia com receptor incorporado, para medidores inteligentes de energia elétrica modelo Zeus-NG com tecnologia NB2, operando nas faixas de frequencia de 700/800/850/900/1800 MHz, contendo slot para SIM cards 2FF e supercapacitores para função de "Last Gasp" e LEDs para indicação de comunicacao com a rede e com os medidores de energia, com taxa de transmissao de até 159 kbit/s (0,159 Mbit/s)</v>
          </cell>
        </row>
        <row r="3657">
          <cell r="B3657">
            <v>2140104280</v>
          </cell>
          <cell r="E3657">
            <v>85177190</v>
          </cell>
          <cell r="H3657" t="str">
            <v>Antena de comunicacao do tipo interna de haste curta, com conector SMA com ganho de 2dBi, comprimento 95mm, frequencia de 700～960/1710～2690MHz, parte para uso nos módulos de comunicacao.</v>
          </cell>
        </row>
        <row r="3658">
          <cell r="B3658" t="str">
            <v>MLT72R12023</v>
          </cell>
          <cell r="C3658" t="str">
            <v>MLT72R12023</v>
          </cell>
          <cell r="E3658">
            <v>85176277</v>
          </cell>
          <cell r="H3658" t="str">
            <v xml:space="preserve">Modulo de comunicação de dados sem fio (recepção, conversão e transmissão) (MLT72.R120) RF para medidores inteligentes de energia elétrica modelo Zeus-NG com tecnologia 4G/3G/2G compatíveis com os padrões LTE, HSDPA, HSUPA, HSPA+, WCDMA, EDGE, GPRS e GSM operando nas faixas 850/900/1900/2100 MHz e 850/900/1800/1900 MHz, contendo slot para SIM cards 2FF e supercapacitores para função de "Last Gasp" e LEDs para indicação de comunicação com a rede e com os medidores de energia.
</v>
          </cell>
        </row>
        <row r="3659">
          <cell r="B3659" t="str">
            <v>MNGE72R11004</v>
          </cell>
          <cell r="C3659" t="str">
            <v>MNGE72R11004</v>
          </cell>
          <cell r="E3659" t="str">
            <v xml:space="preserve">85176272
</v>
          </cell>
          <cell r="F3659"/>
          <cell r="H3659" t="str">
            <v xml:space="preserve">Modulo de comunicação de dados sem fio (recepção, conversão e transmissão) MNGE72.R110, digitais, emissores de rádio frequência com receptor incorporado, para medidores inteligentes de energia elétrica modelo Zeus-NG com tecnologia NB1, NB2 e CAT-M1, operando nas faixas de frequência de 850/900/1900/2100 MHz e 850/900/1800/1900 MHz, contendo slot para SIM cards 2FF e supercapacitores para função de "Last Gasp" e LEDs para indicação de comunicação com a rede e com os medidores de energia, com taxa de transmissão de até 1,119 Mbit/s
</v>
          </cell>
        </row>
        <row r="3660">
          <cell r="B3660" t="str">
            <v>CIUEV700R12001</v>
          </cell>
          <cell r="C3660" t="str">
            <v>CIUEV700R12001</v>
          </cell>
          <cell r="E3660">
            <v>85176272</v>
          </cell>
          <cell r="F3660"/>
          <cell r="H3660" t="str">
            <v xml:space="preserve">Módulos de rádio frequência para comunicação de dados sem fio (recepção, conversão e transmissão), digitais, emissores de rádio frequência com receptor incorporado, capazes de operar na faixa ISM de 902 a 928 MHz, em redes de topologia "Mesh" ou "Estrela", suportando tecnologias LoRa e FSK com espalhamento espectral por salto em frequência (FHSS) e taxa de transmissão de até 22 kbps
</v>
          </cell>
        </row>
        <row r="3661">
          <cell r="B3661">
            <v>2140103580</v>
          </cell>
          <cell r="E3661">
            <v>85177190</v>
          </cell>
          <cell r="H3661" t="str">
            <v>Antena de comunicacao por radio frequencia do tipo Omnidirecional, 4G, faixa de Frequencia 690-960/1.710-2.690MHz, ganho 3dBi, Conector SMA, Comprimento do Cabo 1.500 mm, parte para uso nos modulos de comunicacao.</v>
          </cell>
        </row>
        <row r="3662">
          <cell r="B3662">
            <v>2031100950</v>
          </cell>
          <cell r="E3662">
            <v>85045090</v>
          </cell>
          <cell r="H3662" t="str">
            <v>Bobina de auto-inducao (indutor) de fio enrolado, para montagem por insercao (PTH), com indutancia de 1.2mH, frequencia de ressonancia de 10kHz, tensao maxima de 1V, corrente maxima de 16 A, resistencia de 2.7mΩ , com dimensoes de 51mm de comprimento, 35mm de largura e 54mm de altura (2031100950) PTH</v>
          </cell>
        </row>
        <row r="3663">
          <cell r="B3663">
            <v>2031100960</v>
          </cell>
          <cell r="E3663">
            <v>85045090</v>
          </cell>
          <cell r="H3663" t="str">
            <v>Bobina de auto-inducao (indutor) de fio enrolado, para montagem por insercao (PTH), com indutancia de 0.96 mH, frequencia de ressonancia de 100 kHz, tensao maxima de 0.1 V, corrente maxima de 43 A, resistencia de 1.0 mΩ, com dimensoes de 58 mm de comprimento, 33 mm de largura e 55 mm de altura (2031100960) PTH</v>
          </cell>
        </row>
        <row r="3664">
          <cell r="B3664">
            <v>7060300170</v>
          </cell>
          <cell r="E3664">
            <v>87168000</v>
          </cell>
          <cell r="G3664">
            <v>87168000</v>
          </cell>
          <cell r="H3664" t="str">
            <v>Carrinho de tracao manual (veiculo nao autopropulsado), para armazenamento e transporte de componentes eletronicos SMD, com dois racks de bandejas para carregamento de componentes, 800*700*1130 mm.</v>
          </cell>
        </row>
        <row r="3665">
          <cell r="B3665" t="str">
            <v>MJN53R31404-ENEL</v>
          </cell>
          <cell r="C3665" t="str">
            <v>MJN53R31404-ENEL</v>
          </cell>
          <cell r="E3665">
            <v>85176277</v>
          </cell>
          <cell r="G3665">
            <v>85176277</v>
          </cell>
          <cell r="H3665" t="str">
            <v xml:space="preserve">MODULOS DE COMUNICACAO RF (MJN53R31404-ENEL) PARA MEDIDORES INTELIGENTES DE ENERGIA ELETRICA COM TECNOLOGIA WISUN, CAPAZES DE OPERAR NA FAIXA ISM DE 902 A 928 MHZ EM REDES DE TOPOLOGIA "MESH" OU "ESTRELA" COM ESPALHAMENTO ESPECTRAL POR SALTO EM FREQUENCIA (FHSS), ENDERECAMENTO IPV6 E POTENCIA DE TRANSMISSAO DE ATE +30 DBM, COM INTERFACE DE COMUNICACAO DE DADOS SERIAL TTL E ALIMENTACAO 8VDC, DISPONIVEL COM ANTENA INTERNA.
</v>
          </cell>
        </row>
        <row r="3666">
          <cell r="B3666" t="str">
            <v>HXAP1000R31003-ENEL</v>
          </cell>
          <cell r="E3666" t="str">
            <v>8517.62.41</v>
          </cell>
          <cell r="G3666">
            <v>85176241</v>
          </cell>
          <cell r="H3666" t="str">
            <v>ROTEADORES DE BORDA,DIGITAIS, PARA COMUNICACAO BIDIRECIONAL DE DADOS SEM FIO (RECEPCAO, CONVERSAO E TRANSMISSAO), DIGITAIS, EMISSORES DE RADIO FREQUENCIA COM RECEPTOR INCORPORADO, CAPAZES DE OPERAR NA FAIXA ISM DE FREQUENCIAS 902 A 928 MHZ, COM TAXA DE TRANSMISSAO DE ATE 300 KBPS, COMPATIVEIS COM O PADRAO WISUN E IEEE802.15.4G, OPERANDO EM TOPOLOGIA "MESH" OU "ESTRELA" COM ESPALHAMENTO ESPECTRAL POR SALTO EM FREQUENCIA (FHSS), ENDERECAMENTO IPV6 E POTENCIA DE TRANSMISSAO DE ATE +30DBM,  POSSUINDO AINDA, ALIMENTACAO "FULL-RANGE" 110 ~ 240 VAC,ANO DE FABRICACAO XXXX, NUMEROS DE SERIE YYYY A ZZZZ, MODELO MMMM, MARCA LLLL.</v>
          </cell>
        </row>
        <row r="3667">
          <cell r="B3667" t="str">
            <v>HXWSG100R21204-ENEL</v>
          </cell>
          <cell r="G3667">
            <v>85176272</v>
          </cell>
          <cell r="H3667" t="str">
            <v>REPETIDORES DE SINAL DE RADIO FREQUENCIA, PARA COMUNICACAO BIDIRECIONAL DE DADOS SEM FIO (RECEPCAO, CONVERSAO E TRANSMISSAO), DIGITAIS, EMISSORES DE RADIO FREQUENCIA COM RECEPTOR INCORPORADO, CAPAZES DE OPERAR NA FAIXA ISM DE FREQUANCIAS 902 A 928 MHZ, COM TAXA DE TRANSMISSAO DE ATE 150 KBPS, COMPATIVEIS COM O PADRAO WISUN E IEEE802.15.4G, OPERANDO EM TOPOLOGIA "MESH" OU "ESTRELA" COM ESPALHAMENTO ESPECTRAL POR SALTO EM FREQUENCIA (FHSS), ENDERECAMENTO IPV6 E POTENCIA DE TRANSMISSAO DE ATE +30DBM,  POSSUINDO AINDA, ALIMENTACAO "FULL-RANGE" 90 ~ 264 VAC.</v>
          </cell>
        </row>
        <row r="3668">
          <cell r="B3668" t="str">
            <v>5638C90300</v>
          </cell>
          <cell r="C3668" t="str">
            <v>5638C90300</v>
          </cell>
          <cell r="E3668">
            <v>90282010</v>
          </cell>
          <cell r="G3668">
            <v>90282010</v>
          </cell>
          <cell r="H3668" t="str">
            <v>HIDROMETRO ULTRASSONICO (CONTADOR DE LIQUIDOS) RESIDENCIAL COM CARCACA DE LATAO, DIAMETRO NOMINAL DE 40MM, COMPRIMENTO 300 MM, VAZAO DE 16 M3/H, R500 COM  RF NB-IO (ZLW40-16),  COM PESO LIQUIDO UNITARIO APROXIMADO ENTRE 0,5 KG E 2,0 KG.</v>
          </cell>
        </row>
        <row r="3669">
          <cell r="B3669">
            <v>2051300201</v>
          </cell>
          <cell r="C3669">
            <v>2051300201</v>
          </cell>
          <cell r="E3669">
            <v>85423120</v>
          </cell>
          <cell r="G3669">
            <v>85423120</v>
          </cell>
          <cell r="H3669" t="str">
            <v>CIRCUITO INTEGRADO (CI) ELETRONICO MICROCONTROLADOR, MODELO DE MICROPROCESSADOR DE 2 BITS, MONTADO, PRÓPRIOS PARA MONTAGEM EM SUPERFÍCIE SMD, COM FREQUENCIA DE CLOCK DE ATÉ 100MHZ, TENSÃO DE OPERAÇÃO DE  2V~5,5V, ENCAPSULAMENTO SOT25, ROHS (2051300201) SMT.</v>
          </cell>
        </row>
        <row r="3670">
          <cell r="B3670">
            <v>2051300441</v>
          </cell>
          <cell r="C3670">
            <v>2051300441</v>
          </cell>
          <cell r="E3670">
            <v>85423120</v>
          </cell>
          <cell r="G3670">
            <v>85423120</v>
          </cell>
          <cell r="H3670" t="str">
            <v>CIRCUITO INTEGRADO (CI) ELETRONICO MICROCONTROLADOR, MODELO DE MICROPROCESSADOR DE 8 BITS, MONTADO, PRÓPRIOS PARA MONTAGEM EM SUPERFÍCIE SMD, COM FREQUENCIA DE CLOCK DE 20MHZ ATÉ 4GHZ, TENSÃO DE OPERAÇÃO DE -0,2V~8V, ENCAPSULAMENTO SOT23-6A, ROHS (2051300441) SMT.</v>
          </cell>
        </row>
        <row r="3671">
          <cell r="B3671">
            <v>2120306930</v>
          </cell>
          <cell r="E3671">
            <v>85241100</v>
          </cell>
          <cell r="G3671">
            <v>85241100</v>
          </cell>
          <cell r="H3671" t="str">
            <v>MODULO DE VISUALIZACAO DE TELA (ECRA) PLANA (DISPLAY) DE CRISTAL LIQUIDO (LCD) SEM CONTROLADOR (DRIVERS) NEM CIRCUITOS DE CONTROLE  3HTN;49.5*16.2MM 3.4V 6*12;26MM PTH  PARA APRESENTACAO DE CODIGO, VALOR E UNIDADE DE ENERGIA E DEMAIS GRANDEZAS EXIBIDAS, APRESENTACAO DE SIMBOLOS INDICADORES DE TARIFA CORRENTE, QUADRANDE DE ENERGIA, BATERIA FRACA, LCD - MODO ALTERNATIVO, HORARIO DE VERAO, ALARMES 105C5C</v>
          </cell>
        </row>
        <row r="3672">
          <cell r="B3672">
            <v>4020412460</v>
          </cell>
          <cell r="E3672">
            <v>40169990</v>
          </cell>
          <cell r="G3672">
            <v>40169990</v>
          </cell>
          <cell r="H3672" t="str">
            <v>Anel de VedacAo de borracha  nao alveolar vulcanizada nao endurecida  (REF. J6071150050)</v>
          </cell>
        </row>
        <row r="3673">
          <cell r="B3673">
            <v>4020412520</v>
          </cell>
          <cell r="E3673">
            <v>40169990</v>
          </cell>
          <cell r="G3673">
            <v>40169990</v>
          </cell>
          <cell r="H3673" t="str">
            <v>Anel de VedacAo de borracha não alveolar vulcanizada nao endurecida  (REF. J6304009A)</v>
          </cell>
        </row>
        <row r="3674">
          <cell r="B3674">
            <v>4020412430</v>
          </cell>
          <cell r="E3674">
            <v>73181600</v>
          </cell>
          <cell r="G3674">
            <v>73181600</v>
          </cell>
          <cell r="H3674" t="str">
            <v>Porca sextavada M8 de materia-prima base em aço inox (aco inoxidavel), processo de fabricacao sem tratamento, acabamento superficial sem tratamento  J6025300036</v>
          </cell>
        </row>
        <row r="3675">
          <cell r="B3675">
            <v>4020412450</v>
          </cell>
          <cell r="E3675">
            <v>73182900</v>
          </cell>
          <cell r="G3675">
            <v>73182900</v>
          </cell>
          <cell r="H3675" t="str">
            <v>Pino de inserto de aco, nAo roscado, de materia-prima base aco baixo carbono, de processo de fabricacAo por torno, de acabamento superficial sem tratamento, para montagem de molda ref. J7455026A</v>
          </cell>
        </row>
        <row r="3676">
          <cell r="B3676">
            <v>4020412550</v>
          </cell>
          <cell r="E3676">
            <v>73261900</v>
          </cell>
          <cell r="G3676">
            <v>73261900</v>
          </cell>
          <cell r="H3676" t="str">
            <v>Chapa estampada em aço, para maquina SM482 para produção SMT. ef. J7155188A,</v>
          </cell>
        </row>
        <row r="3677">
          <cell r="B3677">
            <v>4020412470</v>
          </cell>
          <cell r="E3677">
            <v>73269090</v>
          </cell>
          <cell r="G3677">
            <v>73269090</v>
          </cell>
          <cell r="H3677" t="str">
            <v>SUPORTE DE FIXACAO EM AcO INOXIDAVEL , OBTIDO A PARTIR DE PROCESSOS DE CORTE E DOBRA, PARA ESPELHO DE VIDRO NÃO EMOLDURADO PARA USO EM MAQUINA DE INSERÇÃO SMD - J7055560A</v>
          </cell>
        </row>
        <row r="3678">
          <cell r="B3678">
            <v>4020412490</v>
          </cell>
          <cell r="E3678">
            <v>73269090</v>
          </cell>
          <cell r="G3678">
            <v>73269090</v>
          </cell>
          <cell r="H3678" t="str">
            <v>SUPORTE DE FIXACAO EM ACO INOXIDAVEL, OBTIDO A PARTIR DE PROCESSOS DE CORTE E DOBRA, PARA ESPELHO DE VIDRO NAO EMOLDURADO PARA USO EM MAQUINA DE INSERCAO SMD - ARM-LEFT;ALDC-14 FC30-000217A</v>
          </cell>
        </row>
        <row r="3679">
          <cell r="B3679">
            <v>4020217060</v>
          </cell>
          <cell r="E3679">
            <v>84122110</v>
          </cell>
          <cell r="G3679">
            <v>84122110</v>
          </cell>
          <cell r="H3679" t="str">
            <v>Cilindro Hidraulico Cilindro pneumatico de acionamento, de movimento retilíneo</v>
          </cell>
        </row>
        <row r="3680">
          <cell r="B3680">
            <v>4020217050</v>
          </cell>
          <cell r="E3680">
            <v>84122190</v>
          </cell>
          <cell r="G3680">
            <v>84122190</v>
          </cell>
          <cell r="H3680" t="str">
            <v>MOTOR HIDRAULICO COM MOVIMENTO RETILINIO PARA MAQUINA DE INJEÇÃO DE PLASTICOS .</v>
          </cell>
        </row>
        <row r="3681">
          <cell r="B3681">
            <v>4020412510</v>
          </cell>
          <cell r="E3681">
            <v>84123110</v>
          </cell>
          <cell r="G3681">
            <v>84123110</v>
          </cell>
          <cell r="H3681" t="str">
            <v>Cilindro pneumatico de acionamento, de movimento retilíneo - AIRTAC Modelo: J7155263A</v>
          </cell>
        </row>
        <row r="3682">
          <cell r="B3682">
            <v>7070202680</v>
          </cell>
          <cell r="E3682">
            <v>84193900</v>
          </cell>
          <cell r="G3682">
            <v>84193900</v>
          </cell>
          <cell r="H3682" t="str">
            <v xml:space="preserve">Secador para materiais de polímeros, por sopragem - Máquina sopradora de calor em túnel para secagem e cura de polímeros ou outros materiais em fornaça circuladora de ar quente. Chegando a temperatura igual ou menor a 100°C; Equipada com: sopradores com capacidade de deslocar até 1000 m³/h de volume de ar;  Com aquecedores em aço inox; isolamento térmico em fibra cerâmica e fibra densa de algodão resistente a até 1000°C </v>
          </cell>
        </row>
        <row r="3683">
          <cell r="B3683">
            <v>7020201370</v>
          </cell>
          <cell r="E3683">
            <v>84283300</v>
          </cell>
          <cell r="G3683">
            <v>84283300</v>
          </cell>
          <cell r="H3683" t="str">
            <v>ESTEIRA TRANSPORTADORA DE CORREIA PARA LINHA DE MONTAGEM,, ACAO CONTUNUA PARA A MOVIMENTACAO DE COMPONENTES.</v>
          </cell>
        </row>
        <row r="3684">
          <cell r="B3684">
            <v>4020412400</v>
          </cell>
          <cell r="E3684">
            <v>73269090</v>
          </cell>
          <cell r="G3684">
            <v>73269090</v>
          </cell>
          <cell r="H3684" t="str">
            <v>SUPORTE DE FIXACAO EM ACO INOXIDAVEL, OBTIDO A PARTIR DE PROCESSOS ESTAMPAGEM, PARA ESPELHO DE VIDRO NAO EMOLDURADO PARA USO EM MAQUINA DE INSERCAO SMD Ref- FC39-000517A</v>
          </cell>
        </row>
        <row r="3685">
          <cell r="B3685">
            <v>4020412410</v>
          </cell>
          <cell r="E3685">
            <v>84799090</v>
          </cell>
          <cell r="G3685">
            <v>84799090</v>
          </cell>
          <cell r="H3685" t="str">
            <v>Barras de LED, parte para uso em máquina de inserção automática de componentes eletrônicos em superfície SMD J7255085A</v>
          </cell>
        </row>
        <row r="3686">
          <cell r="B3686">
            <v>4020412440</v>
          </cell>
          <cell r="E3686">
            <v>70099100</v>
          </cell>
          <cell r="G3686">
            <v>70099100</v>
          </cell>
          <cell r="H3686" t="str">
            <v>Espelho de vidro nao emoldurado, parte para uso em maquina de insercao automatica de componentes eletronicos SM471 por montagem em superfície SMD  J7055558</v>
          </cell>
        </row>
        <row r="3687">
          <cell r="B3687">
            <v>4020412480</v>
          </cell>
          <cell r="E3687">
            <v>70099100</v>
          </cell>
          <cell r="G3687">
            <v>70099100</v>
          </cell>
          <cell r="H3687" t="str">
            <v>Espelho de vidro nao emoldurado, parte para uso em maquina de insercao automatica de componentes eletronicos SM482 por montagem em superfície SMD   J6755002A</v>
          </cell>
        </row>
        <row r="3688">
          <cell r="B3688">
            <v>4020412500</v>
          </cell>
          <cell r="E3688">
            <v>84821010</v>
          </cell>
          <cell r="G3688">
            <v>84821010</v>
          </cell>
          <cell r="H3688" t="str">
            <v xml:space="preserve">Rolamento de esferas J6601081A  , parte para uso em maquina de insercAo de componentes eletronicos  </v>
          </cell>
        </row>
        <row r="3689">
          <cell r="B3689">
            <v>4020412530</v>
          </cell>
          <cell r="E3689">
            <v>84799090</v>
          </cell>
          <cell r="G3689">
            <v>84799090</v>
          </cell>
          <cell r="H3689" t="str">
            <v xml:space="preserve">SUPORTE GUIA PARA BARRA DE LED PARA MAQUINA SMD  482(REF. J7155187D </v>
          </cell>
        </row>
        <row r="3690">
          <cell r="B3690">
            <v>4020412560</v>
          </cell>
          <cell r="E3690">
            <v>84799090</v>
          </cell>
          <cell r="G3690">
            <v>84799090</v>
          </cell>
          <cell r="H3690" t="str">
            <v>Barras de LED, parte para uso em máquina de inserção automática de componentes eletrônicos em superfície SMD MC19-000199A</v>
          </cell>
        </row>
        <row r="3691">
          <cell r="B3691">
            <v>4020412540</v>
          </cell>
          <cell r="E3691">
            <v>84828000</v>
          </cell>
          <cell r="G3691">
            <v>84828000</v>
          </cell>
          <cell r="H3691" t="str">
            <v>Rolamento linear J6601016A</v>
          </cell>
        </row>
        <row r="3692">
          <cell r="B3692">
            <v>4020216800</v>
          </cell>
          <cell r="E3692">
            <v>85159000</v>
          </cell>
          <cell r="G3692">
            <v>85159000</v>
          </cell>
          <cell r="H3692" t="str">
            <v>Sonotrodo HXB6021LM.R110\R120  , para uso em máquina de soldagem por ultrassom (ref. 4020216800)</v>
          </cell>
        </row>
        <row r="3693">
          <cell r="B3693">
            <v>4020216810</v>
          </cell>
          <cell r="E3693">
            <v>85159000</v>
          </cell>
          <cell r="G3693">
            <v>85159000</v>
          </cell>
          <cell r="H3693" t="str">
            <v>Sonotrodo HXB7023LM.R140  , para uso em máquina de soldagem por ultrassom (ref. 4020216810 )</v>
          </cell>
        </row>
        <row r="3694">
          <cell r="B3694">
            <v>4020216820</v>
          </cell>
          <cell r="E3694">
            <v>85159000</v>
          </cell>
          <cell r="G3694">
            <v>85159000</v>
          </cell>
          <cell r="H3694" t="str">
            <v>Sonotrodo HXB7023LM.R110 , para uso em máquina de soldagem por ultrassom (ref. 4020216820 )</v>
          </cell>
        </row>
        <row r="3695">
          <cell r="B3695">
            <v>4020216830</v>
          </cell>
          <cell r="E3695">
            <v>85159000</v>
          </cell>
          <cell r="G3695">
            <v>85159000</v>
          </cell>
          <cell r="H3695" t="str">
            <v>Sonotrodo HXB8021Z.R210 , para uso em máquina de soldagem por ultrassom (ref. 4020216830 )</v>
          </cell>
        </row>
        <row r="3696">
          <cell r="B3696">
            <v>4020412420</v>
          </cell>
          <cell r="E3696">
            <v>85444200</v>
          </cell>
          <cell r="G3696">
            <v>85444200</v>
          </cell>
          <cell r="H3696" t="str">
            <v>CABO MUNIDO DE TERMINAL DE SAÍDA DE COMUNICAcAO PARA CONEXAO, DE TENSAO 40 V, PARA USO ELeTRICO - COM CONECTOR FEMEA REF.  AM03-006939A</v>
          </cell>
        </row>
        <row r="3697">
          <cell r="B3697">
            <v>7029901870</v>
          </cell>
          <cell r="E3697">
            <v>90321090</v>
          </cell>
          <cell r="G3697">
            <v>90321090</v>
          </cell>
          <cell r="H3697" t="str">
            <v xml:space="preserve"> TERMOTASTO PARA CONTROLADOR DE TEMPERATURA ELETRONICA PARA MOLDE DE INJECAO INSTRUMENTOS E APARELHOS PARA REGULAÇÃO OU CONTROLE, AUTOMÁTICOS.</v>
          </cell>
        </row>
        <row r="3698">
          <cell r="B3698">
            <v>7029901980</v>
          </cell>
          <cell r="E3698">
            <v>94032090</v>
          </cell>
          <cell r="G3698">
            <v>94032090</v>
          </cell>
          <cell r="H3698" t="str">
            <v>Bancada de trabalho ajustável, de metal, móvel para uso industrial</v>
          </cell>
        </row>
        <row r="3699">
          <cell r="B3699">
            <v>7070202670</v>
          </cell>
          <cell r="E3699">
            <v>84287000</v>
          </cell>
          <cell r="G3699">
            <v>84287000</v>
          </cell>
          <cell r="H3699" t="str">
            <v>Robô industrial, para movimentação de peças plásticas, automático, para uso em máquina injetora de plásticos - Modelo - MDE-120III-120-110-P/N-18TR</v>
          </cell>
        </row>
        <row r="3700">
          <cell r="B3700">
            <v>9192220116</v>
          </cell>
          <cell r="C3700">
            <v>9192220116</v>
          </cell>
          <cell r="E3700">
            <v>84771011</v>
          </cell>
          <cell r="G3700">
            <v>84771011</v>
          </cell>
          <cell r="H3700" t="str">
            <v>MAQUINA DE MOLDAR PLASTICOS, POR INJEÇÃO HORIZONTAL, DE COMANDO NUMERICO, MONOCOLOR PARA MATERIAIS TERMOPLASTICOS, COM CAPACIDADE DE INJEÇÃO XXXX "G", E FORÇA DE FECHAMENTO XXXX "KN". MARCA HAITIAN, MODELO MA2600III, ANO DE FABRICAÇÃO XXXX, NUMERO DE SERIE XXXX.</v>
          </cell>
        </row>
        <row r="3701">
          <cell r="B3701">
            <v>9192220117</v>
          </cell>
          <cell r="C3701">
            <v>9192220117</v>
          </cell>
          <cell r="E3701">
            <v>84771011</v>
          </cell>
          <cell r="G3701">
            <v>84771011</v>
          </cell>
          <cell r="H3701" t="str">
            <v>MAQUINA DE MOLDAR PLASTICOS, POR INJEÇÃO HORIZONTAL, DE COMANDO NUMERICO, MONOCOLOR PARA MATERIAIS TERMOPLASTICOS, COM CAPACIDADE DE INJEÇÃO XXXX "G", E FORÇA DE FECHAMENTO XXXX "KN". MARCA HAITIAN, MODELO MA3200III, ANO DE FABRICAÇÃO XXXX, NUMERO DE SERIE XXXX.</v>
          </cell>
        </row>
        <row r="3702">
          <cell r="B3702">
            <v>9122100291</v>
          </cell>
          <cell r="C3702">
            <v>9122100291</v>
          </cell>
          <cell r="E3702">
            <v>84771011</v>
          </cell>
          <cell r="G3702">
            <v>84771011</v>
          </cell>
          <cell r="H3702" t="str">
            <v>MAQUINA DE MOLDAR PLASTICOS, POR INJECAO HORIZONTAL, DE COMANDO NUMERICO, MONOCOLOR PARA MATERIAIS TERMOPLASTICOS, COM CAPACIDADE DE INJECAO XXXX "G", E FORCA DE FECHAMENTO XXXX "KN". MARCA HAITIAN, MODELO MA3800III, ANO DE FABRICACAO XXXX, NUMERO DE SERIE XXXX.</v>
          </cell>
        </row>
        <row r="3703">
          <cell r="B3703">
            <v>7020500810</v>
          </cell>
          <cell r="E3703">
            <v>85151900</v>
          </cell>
          <cell r="G3703">
            <v>85151900</v>
          </cell>
          <cell r="H3703" t="str">
            <v>Alimentador (feeder), parte de máquina para montagem de componentes eletrônicos em superfícies SMD - 44/56mm -  Modelo - JTE - 1000 (ref. 7020500810).</v>
          </cell>
        </row>
        <row r="3704">
          <cell r="B3704">
            <v>7020500180</v>
          </cell>
          <cell r="E3704">
            <v>84283300</v>
          </cell>
          <cell r="G3704">
            <v>84283300</v>
          </cell>
          <cell r="H3704" t="str">
            <v>Linha de montagem de equipamentos eletrônicos, com esteira de correia automática com velocidade controlável, de ação contínua, para uso em operação de montagem de componentes em equipamentos eletrônicos- Conveyor 1000 (ref. 7020500180)</v>
          </cell>
        </row>
        <row r="3705">
          <cell r="B3705">
            <v>7020501330</v>
          </cell>
          <cell r="E3705">
            <v>84799090</v>
          </cell>
          <cell r="G3705">
            <v>84799090</v>
          </cell>
          <cell r="H3705" t="str">
            <v>Alimentador (feeder), parte de maquina para montagem de componentes eletronicos em superfícies SMD de placas de circuito impresso, com acionamento eletrico, (ref.7020501330)  Samsung - Tray Feeding System - STF-100N</v>
          </cell>
        </row>
        <row r="3706">
          <cell r="B3706">
            <v>7020500340</v>
          </cell>
          <cell r="E3706">
            <v>84798999</v>
          </cell>
          <cell r="G3706">
            <v>84798999</v>
          </cell>
          <cell r="H3706" t="str">
            <v>Ex 307 Máquinas automáticas para aplicação de pasta de solda em placas de circuito impresso, por meio de estêncil.
CARACTERÍSTICAS ESPECÍFICAS:
Máquina de aplicação automática de pasta de solda em componentes eletrônicos montados em placas de circuito impresso  por processo de montagem em superfície SMD,  marca AAAA, modelo BBBB, ano de fabricacAo YYYY, numero de serie XXXX</v>
          </cell>
        </row>
        <row r="3707">
          <cell r="B3707">
            <v>7029900650</v>
          </cell>
          <cell r="E3707">
            <v>90314990</v>
          </cell>
          <cell r="G3707">
            <v>90314990</v>
          </cell>
          <cell r="H3707" t="str">
            <v>Ex 236 Máquinas para inspeção ótica automática (AOI) para placas de circuito impressos (PCI), para inspeção e revisão de falta de componentes SMD e PTH, excesso ou falta de solda nos "pad", deslocamento de componentes, valores e polaridade de componentes SMD para placas de circuito impresso; modelo AAAA, marca BBBB, número de série XXXX e ano de fabricação YYYY.</v>
          </cell>
        </row>
        <row r="3708">
          <cell r="B3708">
            <v>7020500420</v>
          </cell>
          <cell r="E3708">
            <v>85143900</v>
          </cell>
          <cell r="G3708">
            <v>85143900</v>
          </cell>
          <cell r="H3708" t="str">
            <v>Forno elétrico industrial de refluxo para solda sem chumbo (leadfree) de componentes eletrônicos em placas de circuito impresso</v>
          </cell>
        </row>
        <row r="3709">
          <cell r="B3709">
            <v>7020501230</v>
          </cell>
          <cell r="E3709">
            <v>84798999</v>
          </cell>
          <cell r="G3709">
            <v>84798999</v>
          </cell>
          <cell r="H3709" t="str">
            <v>Ex 306 Máquinas automáticas para montagem de componente em placas de circuito impresso.
CARACTERÍSTICAS ESPECÍFICAS:
Maquina para montagem automática de componentes eletrônicos em superícies SMD de placas de circuito impresso, marca AAAA, modelo BBBB, ano de fabricação YYYY, número de série XXXX</v>
          </cell>
        </row>
        <row r="3710">
          <cell r="B3710">
            <v>7020502040</v>
          </cell>
          <cell r="E3710">
            <v>84798999</v>
          </cell>
          <cell r="G3710">
            <v>84798999</v>
          </cell>
          <cell r="H3710" t="str">
            <v>Ex 306 Máquinas automáticas para montagem de componente em placas de circuito impresso.
CARACTERÍSTICAS ESPECÍFICAS:
Maquina para montagem automática de componentes eletrônicos em superícies SMD de placas de circuito impresso,  marca AAAA, modelo BBBB, ano de fabricação YYYY, número de série XXXX</v>
          </cell>
        </row>
        <row r="3711">
          <cell r="B3711">
            <v>7020501870</v>
          </cell>
          <cell r="E3711">
            <v>84561119</v>
          </cell>
          <cell r="G3711">
            <v>84561119</v>
          </cell>
          <cell r="H3711" t="str">
            <v>Estação de gravação a laser para diversos materiais, por eliminação de materiais por laser, de comando numérico, para corte de chapas metálicas de espessura inferior a 8mm. , com Laser YLP de 20W, comprimento de onda de 1064 nm ± 5 nm, frequência de 20KHz-200KHz, precisão de ±0,003mm, refrigerado a ar; Computador industrial; Lente F254</v>
          </cell>
        </row>
        <row r="3712">
          <cell r="B3712">
            <v>7020501820</v>
          </cell>
          <cell r="E3712">
            <v>84799090</v>
          </cell>
          <cell r="G3712">
            <v>84799090</v>
          </cell>
          <cell r="H3712" t="str">
            <v>Alimentador (feeder), parte de maquina para montagem de componentes eletronicos em superfícies SMD de placas de circuito impresso, com acionamento eletrico, 44mm (ref.7020501820)</v>
          </cell>
        </row>
        <row r="3713">
          <cell r="B3713">
            <v>7020501270</v>
          </cell>
          <cell r="E3713">
            <v>84283300</v>
          </cell>
          <cell r="G3713">
            <v>84283300</v>
          </cell>
          <cell r="H3713" t="str">
            <v>Máquina alimentadora de linha de montagem de componentes eletrônicos, de ação contínua por elevação e transporte horizontal, de correia, para transporte de placas semi-montadas através da linha de montagem</v>
          </cell>
        </row>
        <row r="3714">
          <cell r="B3714">
            <v>7020501810</v>
          </cell>
          <cell r="E3714">
            <v>84799090</v>
          </cell>
          <cell r="G3714">
            <v>84799090</v>
          </cell>
          <cell r="H3714" t="str">
            <v>Alimentador (feeder), parte de maquina para montagem de componentes eletronicos em superfícies SMD de placas de circuito impresso, com acionamento eletrico, 32mm (ref.7020501810)</v>
          </cell>
        </row>
        <row r="3715">
          <cell r="B3715">
            <v>4020404880</v>
          </cell>
          <cell r="E3715">
            <v>84799090</v>
          </cell>
          <cell r="G3715">
            <v>84799090</v>
          </cell>
          <cell r="H3715" t="str">
            <v>Partes de máquinas e aparelhos com funções próprias, não especificadas nem compreendidas noutras posições</v>
          </cell>
        </row>
        <row r="3716">
          <cell r="B3716">
            <v>7020500160</v>
          </cell>
          <cell r="E3716">
            <v>84283920</v>
          </cell>
          <cell r="G3716">
            <v>84283920</v>
          </cell>
          <cell r="H3716" t="str">
            <v>Máquina alimentadora de linha de montagem de equipamentos eletrônicos, de ação contínua, de rolos motores, para transporte de placas de circuito impresso através da linha de montagem</v>
          </cell>
        </row>
        <row r="3717">
          <cell r="B3717">
            <v>7020703070</v>
          </cell>
          <cell r="E3717">
            <v>84283300</v>
          </cell>
          <cell r="G3717">
            <v>84283300</v>
          </cell>
          <cell r="H3717" t="str">
            <v>Linha de montagem de equipamentos eletrônicos, com esteira de correia automática com velocidade controlável, de ação contínua, para uso em operação de montagem de componentes em equipamentos eletrônicos HX-SS5B16-A</v>
          </cell>
        </row>
        <row r="3718">
          <cell r="B3718">
            <v>7020703080</v>
          </cell>
          <cell r="E3718">
            <v>84283300</v>
          </cell>
          <cell r="G3718">
            <v>84283300</v>
          </cell>
          <cell r="H3718" t="str">
            <v>Linha de montagem de equipamentos eletrônicos, com esteira de correia automática com velocidade controlável, de ação contínua, para uso em operação de montagem de componentes em equipamentos eletrônicos HX-SS5B14-B</v>
          </cell>
        </row>
        <row r="3719">
          <cell r="B3719">
            <v>4020407650</v>
          </cell>
          <cell r="E3719">
            <v>84799090</v>
          </cell>
          <cell r="G3719">
            <v>84799090</v>
          </cell>
          <cell r="H3719" t="str">
            <v>Bocal (nozzle) de sucção, parte de máquina para montagem de componentes eletrônicos em superfícies SMD -Nozzle 220</v>
          </cell>
        </row>
        <row r="3720">
          <cell r="B3720" t="str">
            <v>MJN72R22101-COMM</v>
          </cell>
          <cell r="E3720">
            <v>85176272</v>
          </cell>
          <cell r="G3720">
            <v>85176272</v>
          </cell>
          <cell r="H3720" t="str">
            <v>Módulos de comunicação bidirecional de dados sem fio (recepção, conversão e transmissão), digitais, emissores de rádio frequência com receptor incorporado, compatíveis com o padrão WiSUN e IEEE802.15.4g e com o padrão celular NB-IoT para medidores inteligentes de energia elétrica, operando em topologia "Mesh" ou "Estrela" com espalhamento espectral por salto em frequência (FHSS), endereçamento IPv6 e potência de transmissão de até +30dBm, com interface de comunicação de dados serial TTL, alimentação 15VDC</v>
          </cell>
        </row>
        <row r="3721">
          <cell r="B3721" t="str">
            <v>PSD300R51001-COMM</v>
          </cell>
          <cell r="E3721">
            <v>85176272</v>
          </cell>
          <cell r="G3721">
            <v>85176272</v>
          </cell>
          <cell r="H3721" t="str">
            <v>Módulos de comunicação bidirecional de dados sem fio (recepção, conversão e transmissão), digitais, emissores de rádio frequência com receptor incorporado, capazes de operar na faixa ISM de frequências 902 a 928 MHz, com taxa de transmissão de até 2.4 Mbps, compatíveis com o padrão WiSUN e IEEE802.15.4g, para inversores fotovoltaicos, operando em topologia "Mesh" ou "Estrela" com espalhamento espectral por salto em frequência (FHSS), endereçamento IPv6 e potência de transmissão de até +30dBm, com interface de comunicação de dados serial TTL, alimentação 15VDC</v>
          </cell>
        </row>
        <row r="3722">
          <cell r="B3722" t="str">
            <v>915511HXA9</v>
          </cell>
          <cell r="E3722">
            <v>90283011</v>
          </cell>
          <cell r="G3722">
            <v>90283011</v>
          </cell>
          <cell r="H3722" t="str">
            <v>CONTADOR DE ELETRICIDADE MONOFASICO, PARA CORRENTE ALTERNADA DIGITAL HXE130.R153 120V,240V 1 Fase 2 Fios 60Hz 15(100)A</v>
          </cell>
        </row>
        <row r="3723">
          <cell r="B3723" t="str">
            <v>915511HXB9</v>
          </cell>
          <cell r="E3723">
            <v>90283011</v>
          </cell>
          <cell r="G3723">
            <v>90283011</v>
          </cell>
          <cell r="H3723" t="str">
            <v>CONTADOR DE ELETRICIDADE MONOFASICO, PARA CORRENTE ALTERNADA DIGITAL HXE130.R153 120V,240V 1 Fase 2 Fios 60Hz 15(100)A</v>
          </cell>
        </row>
        <row r="3724">
          <cell r="B3724" t="str">
            <v>915511HXC3</v>
          </cell>
          <cell r="E3724">
            <v>90283011</v>
          </cell>
          <cell r="G3724">
            <v>90283011</v>
          </cell>
          <cell r="H3724" t="str">
            <v>CONTADOR DE ELETRICIDADE MONOFASICO, PARA CORRENTE ALTERNADA DIGITAL HXE130.R153 120V,240V 1 Fase 2 Fios 60Hz 15(100)A</v>
          </cell>
        </row>
        <row r="3725">
          <cell r="B3725" t="str">
            <v>915521HXA9</v>
          </cell>
          <cell r="E3725">
            <v>90283021</v>
          </cell>
          <cell r="G3725">
            <v>90283021</v>
          </cell>
          <cell r="H3725" t="str">
            <v>CONTADOR DE ELETRICIDADE BIFASICO DIGITAL HXE330.R130 120V,240V 2 Fase 3 Fios 60Hz 15(100)A</v>
          </cell>
        </row>
        <row r="3726">
          <cell r="B3726" t="str">
            <v>915521HXB9</v>
          </cell>
          <cell r="E3726">
            <v>90283021</v>
          </cell>
          <cell r="G3726">
            <v>90283021</v>
          </cell>
          <cell r="H3726" t="str">
            <v>CONTADOR DE ELETRICIDADE BIFASICO DIGITAL HXE330.R130 120V,240V 2 Fase 3 Fios 60Hz 15(100)A</v>
          </cell>
        </row>
        <row r="3727">
          <cell r="B3727" t="str">
            <v>915521HXC3</v>
          </cell>
          <cell r="E3727">
            <v>90283021</v>
          </cell>
          <cell r="G3727">
            <v>90283021</v>
          </cell>
          <cell r="H3727" t="str">
            <v>CONTADOR DE ELETRICIDADE BIFASICO DIGITAL HXE330.R130 120V,240V 2 Fase 3 Fios 60Hz 15(100)A</v>
          </cell>
        </row>
        <row r="3728">
          <cell r="B3728" t="str">
            <v>915521HEA9</v>
          </cell>
          <cell r="E3728">
            <v>90283031</v>
          </cell>
          <cell r="G3728">
            <v>90283031</v>
          </cell>
          <cell r="H3728" t="str">
            <v>CONTADOR DE ELETRICIDADE TRIFASICO DIGITAL HXE330.R130 120V,240V 3 Fase 4 Fios 60Hz 15(100)A</v>
          </cell>
        </row>
        <row r="3729">
          <cell r="B3729" t="str">
            <v>915521HEB9</v>
          </cell>
          <cell r="E3729">
            <v>90283031</v>
          </cell>
          <cell r="G3729">
            <v>90283031</v>
          </cell>
          <cell r="H3729" t="str">
            <v>CONTADOR DE ELETRICIDADE TRIFASICO DIGITAL HXE330.R130 120V,240V 3 Fase 4 Fios 60Hz 15(100)A</v>
          </cell>
        </row>
        <row r="3730">
          <cell r="B3730" t="str">
            <v>915521HEC3</v>
          </cell>
          <cell r="E3730">
            <v>90283031</v>
          </cell>
          <cell r="G3730">
            <v>90283031</v>
          </cell>
          <cell r="H3730" t="str">
            <v>CONTADOR DE ELETRICIDADE TRIFASICO DIGITAL HXE330.R130 120V,240V 3 Fase 4 Fios 60Hz 15(100)A</v>
          </cell>
        </row>
        <row r="3731">
          <cell r="B3731" t="str">
            <v>915511EV23</v>
          </cell>
          <cell r="E3731">
            <v>85312000</v>
          </cell>
          <cell r="G3731">
            <v>85312000</v>
          </cell>
          <cell r="H3731" t="str">
            <v>PAINEL INDICADOR ELETRÔNICO COM DISPLAY DE CRISTAL LÍQUIDO (LCD), MODELO EV500.R360, TENSÃO DE OPERAÇÃO 120V/240V, FREQUÊNCIA 60Hz, COM CAPACIDADE DE COMUNICAÇÃO REMOTA POR RÁDIO FREQUÊNCIA (RF), UTILIZADO PARA INDICAÇÃO VISUAL DE DADOS EM SISTEMAS DE MONITORAMENTO OU CONTROLE INDUSTRIAL, SEM FUNÇÃO AUTÔNOMA DE CONTROLE DE PROCESSO.</v>
          </cell>
        </row>
        <row r="3732">
          <cell r="B3732">
            <v>9140800101</v>
          </cell>
          <cell r="E3732">
            <v>85176277</v>
          </cell>
          <cell r="G3732">
            <v>85176277</v>
          </cell>
          <cell r="H3732" t="str">
            <v>MODULO DE COMUNICACAO DE DADOS SEM FIO (RECEPCAO, CONVERSAO E TRANSMISSAO) (MWT62.R221) RF PARA MEDIDORES INTELIGENTES DE ENERGIA ELETRICA MODELO HXE130.R153 COM TECNOLOGIA 4G/3G/2G COMPATIVEIS COM OS PADROES LTE, HSDPA, HSUPA, HSPA+, WCDMA, EDGE, GPRS E GSM OPERANDO NAS FAIXAS 850/900/1900/2100 MHZ E 850/900/1800/1900 MHZ, CONTENDO SLOT PARA SIM CARDS 2FF E SUPERCAPACITORES PARA FUNCAO DE "LAST GASP" E LEDS PARA INDICACAO DE COMUNICACAO COM A REDE E COM OS MEDIDORES DE ENERGIA.</v>
          </cell>
        </row>
        <row r="3733">
          <cell r="B3733">
            <v>9140800102</v>
          </cell>
          <cell r="E3733">
            <v>85176277</v>
          </cell>
          <cell r="G3733">
            <v>85176277</v>
          </cell>
          <cell r="H3733" t="str">
            <v>MODULO DE COMUNICACAO DE DADOS SEM FIO (RECEPCAO, CONVERSAO E TRANSMISSAO) (MWT63.R221) RF PARA MEDIDORES INTELIGENTES DE ENERGIA ELETRICA MODELO HXE330.R130 COM TECNOLOGIA 4G/3G/2G COMPATIVEIS COM OS PADROES LTE, HSDPA, HSUPA, HSPA+, WCDMA, EDGE, GPRS E GSM OPERANDO NAS FAIXAS 850/900/1900/2100 MHZ E 850/900/1800/1900 MHZ, CONTENDO SLOT PARA SIM CARDS 2FF E SUPERCAPACITORES PARA FUNCAO DE "LAST GASP" E LEDS PARA INDICACAO DE COMUNICACAO COM A REDE E COM OS MEDIDORES DE ENERGIA.</v>
          </cell>
        </row>
        <row r="3734">
          <cell r="B3734">
            <v>4020217290</v>
          </cell>
          <cell r="E3734">
            <v>84779000</v>
          </cell>
          <cell r="G3734">
            <v>84779000</v>
          </cell>
          <cell r="H3734" t="str">
            <v xml:space="preserve">Controlador Lógico Programável modelo PLC CP035/Z KEBA, parte para uso em máquina de moldagem por injeção </v>
          </cell>
        </row>
        <row r="3735">
          <cell r="B3735">
            <v>4020217300</v>
          </cell>
          <cell r="E3735">
            <v>84779000</v>
          </cell>
          <cell r="G3735">
            <v>84779000</v>
          </cell>
          <cell r="H3735" t="str">
            <v>Partes para maquina injetora, sendo: Painel de controle logico programável (CLP), modelo Haitian, destinado ao comando e controle de máquina injetora de plástico tipo policarbonato (REF. 4020217300)</v>
          </cell>
        </row>
        <row r="3736">
          <cell r="B3736">
            <v>4020217310</v>
          </cell>
          <cell r="E3736">
            <v>85049090</v>
          </cell>
          <cell r="G3736">
            <v>85049090</v>
          </cell>
          <cell r="H3736" t="str">
            <v>Partes de transformadores, sendo: Filtro de alimentacao tipo EMI (eletromagnético), utilizado como parte integrante de inversores eletrônicos. Especificacoes: Corrente nominal de 90A, resistência de 12 ohms, potencia de 800W Ref. 4020217310</v>
          </cell>
        </row>
        <row r="3737">
          <cell r="B3737">
            <v>4020217320</v>
          </cell>
          <cell r="E3737">
            <v>85371020</v>
          </cell>
          <cell r="G3737">
            <v>85371020</v>
          </cell>
          <cell r="H3737" t="str">
            <v>CONTROLADOR PROGRAMÁVEL "SERVODRIVER" N/S Hi300-4018A03N7, PARA COMANDO ELÉTRICO, COM TENSÃO DE 380V, DE MÁQUINA PARA MOLDAR PLÁSTICOS POR INJEÇÃO</v>
          </cell>
        </row>
        <row r="3738">
          <cell r="B3738">
            <v>4020217330</v>
          </cell>
          <cell r="E3738">
            <v>85371020</v>
          </cell>
          <cell r="G3738">
            <v>85371020</v>
          </cell>
          <cell r="H3738" t="str">
            <v>CONTROLADOR PROGRAMÁVEL "SERVODRIVER" N/S Hi300-4037A05N7, PARA COMANDO ELÉTRICO, COM TENSÃO DE 380V, DE MÁQUINA PARA MOLDAR PLÁSTICOS POR INJEÇÃO</v>
          </cell>
        </row>
        <row r="3739">
          <cell r="B3739">
            <v>4020217340</v>
          </cell>
          <cell r="E3739">
            <v>85049090</v>
          </cell>
          <cell r="G3739">
            <v>85049090</v>
          </cell>
          <cell r="H3739" t="str">
            <v>Partes de transformadores, conversores, retificadores e indutores. Que fazem parte de inversores (como filtros EMI ou de linha) DL - 150 ZBT1 - REF. 4020217340</v>
          </cell>
        </row>
        <row r="3740">
          <cell r="B3740">
            <v>4020217440</v>
          </cell>
          <cell r="E3740">
            <v>85371020</v>
          </cell>
          <cell r="G3740">
            <v>85371020</v>
          </cell>
          <cell r="H3740" t="str">
            <v>CONTROLADOR PROGRAMÁVEL "SERVODRIVER"  N/S Hi360-4045B25N5, PARA COMANDO ELÉTRICO, COM TENSÃO DE 380V, DE MÁQUINA PARA MOLDAR PLÁSTICOS POR INJEÇÃO</v>
          </cell>
        </row>
        <row r="3741">
          <cell r="B3741">
            <v>4020217350</v>
          </cell>
          <cell r="E3741">
            <v>84779000</v>
          </cell>
          <cell r="G3741">
            <v>84779000</v>
          </cell>
          <cell r="H3741" t="str">
            <v>Partes para maquina injetora, sendo: Painel de controle logico programável (CLP), modelo Haitian, destinado ao comando e controle de máquina injetora de plástico tipo policarbonato (REF. 4020217350)</v>
          </cell>
        </row>
        <row r="3742">
          <cell r="B3742">
            <v>4020217360</v>
          </cell>
          <cell r="E3742">
            <v>84779000</v>
          </cell>
          <cell r="G3742">
            <v>84779000</v>
          </cell>
          <cell r="H3742" t="str">
            <v xml:space="preserve">Controlador Lógico Programável modelo PLC PILOT5531 HAITIAN, parte para uso em máquina de moldagem por injeção </v>
          </cell>
        </row>
        <row r="3743">
          <cell r="B3743">
            <v>4020217370</v>
          </cell>
          <cell r="E3743">
            <v>85371090</v>
          </cell>
          <cell r="G3743">
            <v>85371090</v>
          </cell>
          <cell r="H3743" t="str">
            <v>Placa para painel completo modelo 2BP_KS_HTPTX3360SM1_A-N000304, parte e componente eletrônico destinado ao sistema de controle de máquina injetora de plásticos. (4020217370).</v>
          </cell>
        </row>
        <row r="3744">
          <cell r="B3744">
            <v>4020217380</v>
          </cell>
          <cell r="C3744">
            <v>4020217380</v>
          </cell>
          <cell r="E3744">
            <v>85371090</v>
          </cell>
          <cell r="G3744">
            <v>85371090</v>
          </cell>
          <cell r="H3744" t="str">
            <v>Placa de painel completo 2BP_HMI3354M5AA_P-N004789-N000304 para maquina injetora de plasticos. REF. 4020217380</v>
          </cell>
        </row>
        <row r="3745">
          <cell r="B3745">
            <v>4020217390</v>
          </cell>
          <cell r="E3745">
            <v>84779000</v>
          </cell>
          <cell r="G3745">
            <v>84779000</v>
          </cell>
          <cell r="H3745" t="str">
            <v xml:space="preserve">Controlador Lógico Programável modelo PLC PLC TECH2 HAITIAN, parte para uso em máquina de moldagem por injecão </v>
          </cell>
        </row>
        <row r="3746">
          <cell r="B3746">
            <v>4020217400</v>
          </cell>
          <cell r="E3746">
            <v>85371020</v>
          </cell>
          <cell r="G3746">
            <v>85371020</v>
          </cell>
          <cell r="H3746" t="str">
            <v>CONTROLADOR PROGRAMÁVEL "SERVODRIVER"  N/S Hi200-4037H2R01RC, PARA COMANDO ELÉTRICO, COM TENSÃO DE 380V, DE MÁQUINA PARA MOLDAR PLÁSTICOS POR INJEÇÃO</v>
          </cell>
        </row>
        <row r="3747">
          <cell r="B3747">
            <v>4020217410</v>
          </cell>
          <cell r="E3747">
            <v>85049090</v>
          </cell>
          <cell r="G3747">
            <v>85049090</v>
          </cell>
          <cell r="H3747" t="str">
            <v>Partes de transformadores, conversores, retificadores e indutores. Que fazem parte de inversores (como filtros EMI ou de linha) DL - 80 ZBT1 - REF. 4020217410</v>
          </cell>
        </row>
        <row r="3748">
          <cell r="B3748">
            <v>4020217420</v>
          </cell>
          <cell r="E3748">
            <v>85371020</v>
          </cell>
          <cell r="G3748">
            <v>85371020</v>
          </cell>
          <cell r="H3748" t="str">
            <v>CONTROLADOR PROGRAMÁVEL "SERVODRIVER"  N/S VFD300VL43B-J, PARA COMANDO ELÉTRICO, COM TENSÃO DE 380V, DE MÁQUINA PARA MOLDAR PLÁSTICOS POR INJEÇÃO</v>
          </cell>
        </row>
        <row r="3749">
          <cell r="B3749">
            <v>4020217430</v>
          </cell>
          <cell r="E3749">
            <v>84779000</v>
          </cell>
          <cell r="G3749">
            <v>84779000</v>
          </cell>
          <cell r="H3749" t="str">
            <v>Partes para maquina injetora, sendo: Painel de controle logico programável (CLP), modelo Haitian, destinado ao comando e controle de máquina injetora de plástico tipo policarbonato (REF. 4020217430)</v>
          </cell>
        </row>
        <row r="3750">
          <cell r="B3750">
            <v>4020217450</v>
          </cell>
          <cell r="E3750">
            <v>84779000</v>
          </cell>
          <cell r="G3750">
            <v>84779000</v>
          </cell>
          <cell r="H3750" t="str">
            <v>Controlador Lógico Programável modelo CP033/Z KEBA, parte para uso em máquina de moldagem por injeção</v>
          </cell>
        </row>
        <row r="3751">
          <cell r="B3751" t="str">
            <v>5632B20200</v>
          </cell>
          <cell r="C3751" t="str">
            <v>5632B20200</v>
          </cell>
          <cell r="E3751">
            <v>90282010</v>
          </cell>
          <cell r="G3751">
            <v>90282010</v>
          </cell>
          <cell r="H3751" t="str">
            <v>HIDROMETRO ULTRASSONICO (CONTADOR DE LIQUIDOS) RESIDENCIAL COM CARCACA DE LATAO, DIAMETRO NOMINAL DE 15MM, COMPRIMENTO 165 MM, VAZAO DE 1,6 M3/H, R400 COM LORAWAN (ZLW15-1), COM PESO LIQUIDO UNITARIO APROXIMADO ENTRE 0,5 KG E 2,0 KG.</v>
          </cell>
        </row>
        <row r="3752">
          <cell r="B3752" t="str">
            <v>5636B70200</v>
          </cell>
          <cell r="C3752" t="str">
            <v>5636B70200</v>
          </cell>
          <cell r="E3752">
            <v>90282010</v>
          </cell>
          <cell r="G3752">
            <v>90282010</v>
          </cell>
          <cell r="H3752" t="str">
            <v>HIDROMETRO ULTRASSONICO (CONTADOR DE LIQUIDOS) RESIDENCIAL COM CARCACA DE LATAO, DIAMETRO NOMINAL DE 25MM, COMPRIMENTO 260 MM, VAZAO DE 10 M3/H, R400 COM LORAWAN (ZLW25-10), COM PESO LIQUIDO UNITARIO APROXIMADO ENTRE 0,5 KG E 2,0 KG.</v>
          </cell>
        </row>
        <row r="3753">
          <cell r="B3753" t="str">
            <v>5648B90200</v>
          </cell>
          <cell r="C3753" t="str">
            <v>5648B90200</v>
          </cell>
          <cell r="E3753">
            <v>90282010</v>
          </cell>
          <cell r="G3753">
            <v>90282010</v>
          </cell>
          <cell r="H3753" t="str">
            <v>HIDROMETRO ULTRASSONICO (CONTADOR DE LIQUIDOS) RESIDENCIAL COM CARCACA DE LATAO, DIAMETRO NOMINAL DE 40MM, COMPRIMENTO 300 MM, VAZAO DE 16 M3/H, R400 COM LORAWAN (ZLW40-16), COM PESO LIQUIDO UNITARIO APROXIMADO ENTRE 0,5 KG E 2,0 KG.</v>
          </cell>
        </row>
        <row r="3754">
          <cell r="B3754" t="str">
            <v>HXAP1000R21108-CPL.V</v>
          </cell>
          <cell r="C3754" t="str">
            <v>HXAP1000R21108-CPL.V</v>
          </cell>
          <cell r="E3754">
            <v>85176241</v>
          </cell>
          <cell r="G3754">
            <v>85176241</v>
          </cell>
          <cell r="H3754" t="str">
            <v>ROTEADORES DE BORDA, DIGITAIS, PARA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POSSUINDO AINDA, ALIMENTACAO "FULL-RANGE" 85 ~ 336 VAC. ANO DE FABRICACAO XXXX, NUMEROS DE SERIE YYYY A ZZZZ, MODELO MMMM, MARCA LLLL.</v>
          </cell>
        </row>
        <row r="3755">
          <cell r="B3755" t="str">
            <v>HXWSG100R31008-CPL</v>
          </cell>
          <cell r="C3755" t="str">
            <v>HXWSG100R31008-CPL</v>
          </cell>
          <cell r="E3755">
            <v>85176272</v>
          </cell>
          <cell r="G3755">
            <v>85176272</v>
          </cell>
          <cell r="H3755" t="str">
            <v>REPETIDORES DE SINAL DE RADIO FREQUENCIA, PARA COMUNICACAO BIDIRECIONAL DE DADOS SEM FIO (RECEPCAO, CONVERSAO E TRANSMISSAO), DIGITAIS, EMISSORES DE RADIO FREQUENCIA COM RECEPTOR INCORPORADO, CAPAZES DE OPERAR NA FAIXA ISM DE FREQUANCIAS 902 A 928 MHZ, COM TAXA DE TRANSMISSAO DE ATE 50 KBPS, COMPATIVEIS COM O PADRAO WISUN E LORA, OPERANDO EM TOPOLOGIA "MESH" OU "ESTRELA" COM ESPALHAMENTO ESPECTRAL POR SALTO EM FREQUENCIA (FHSS), ENDERECAMENTO IPV6 E POTENCIA DE TRANSMISSAO DE ATE +30DBM,  POSSUINDO AINDA, ALIMENTACAO "FULL-RANGE" 90 ~ 264 VAC.</v>
          </cell>
        </row>
        <row r="3756">
          <cell r="B3756" t="str">
            <v>HXWSG100R21003CPL.V2</v>
          </cell>
          <cell r="C3756" t="str">
            <v>HXWSG100R21003CPL.V2</v>
          </cell>
          <cell r="E3756">
            <v>85176272</v>
          </cell>
          <cell r="G3756">
            <v>85176272</v>
          </cell>
          <cell r="H3756" t="str">
            <v>REPETIDORES DE SINAL DE RÁDIO FREQUENCIA, PARA COMUNICACAO BIDIRECIONAL DE DADOS SEM FIO (RECEPCAO, CONVERSAO E TRANSMISSAO), DIGITAIS, EMISSORES DE RADIO FREQUENCIA COM RECEPTOR INCORPORADO, CAPAZES DE OPERAR NA FAIXA ISM DE FREQUENCIAS 902 A 928 MHZ, COM TAXA DE TRANSMISSAO DE ATE 150 KBPS, COMPATIVEIS COM O PADRAO WISUN E IEEE802.15.4G, OPERANDO EM TOPOLOGIA "MESH" OU "ESTRELA" COM ESPALHAMENTO ESPECTRAL POR SALTO EM FREQUENCIA (FHSS), ENDERECAMENTO IPV6 E POTENCIA DE TRANSMISSAO DE ATE +30DBM,  POSSUINDO AINDA, ALIMENTACAO "FULL-RANGE" 80 ~ 300 VAC. ANO DE FABRICACAO XXXX, NUMEROS DE SERIE YYYY A ZZZZ, MODELO MMMM, MARCA LLLL.</v>
          </cell>
        </row>
        <row r="3757">
          <cell r="B3757">
            <v>2140500030</v>
          </cell>
          <cell r="C3757">
            <v>2140500030</v>
          </cell>
          <cell r="E3757">
            <v>85444200</v>
          </cell>
          <cell r="G3757">
            <v>85444200</v>
          </cell>
          <cell r="H3757" t="str">
            <v>CABO CONDUTOR ELETRICO PARA UMA TENSAO DE ATE 300V MUNIDO DE PECA DE CONECCAO MACHO TIPO N PARA MACHO TIPO N COMPRIMENTO 2000mm RoHS; TEMPERATURA -45~80C</v>
          </cell>
        </row>
        <row r="3758">
          <cell r="B3758">
            <v>3051701900</v>
          </cell>
          <cell r="C3758">
            <v>3051701900</v>
          </cell>
          <cell r="E3758">
            <v>73261900</v>
          </cell>
          <cell r="G3758">
            <v>73261900</v>
          </cell>
          <cell r="H3758" t="str">
            <v>ABRACADEIRA DE ACO INOXIDAVEL EM FORMATO DE DENTE, ESTAMPADA, DIMENSOES 1100 X 100 MM; MATERIAL ACO INOXIDAVEL SUS304; ESPESSURA 0,3 MM</v>
          </cell>
        </row>
        <row r="3759">
          <cell r="B3759">
            <v>3051511410</v>
          </cell>
          <cell r="C3759">
            <v>3051511410</v>
          </cell>
          <cell r="E3759">
            <v>73269090</v>
          </cell>
          <cell r="G3759">
            <v>73269090</v>
          </cell>
          <cell r="H3759" t="str">
            <v>SUPORTE DE MONTAGEM EM ACO INOX, OBTIDO POR DOBRAGEM, DIMENSOES 300mm X 50mm X 20mm</v>
          </cell>
        </row>
        <row r="3760">
          <cell r="B3760">
            <v>5051401070</v>
          </cell>
          <cell r="C3760">
            <v>5051401070</v>
          </cell>
          <cell r="E3760">
            <v>85444200</v>
          </cell>
          <cell r="G3760">
            <v>85444200</v>
          </cell>
          <cell r="H3760" t="str">
            <v>PONTE DE COBRE DE CORRENTE DA FASE A, COM TERMINIAS DE LATAO NAS EXTREMIDADES, COM TRANSFORMADOR BLINDADO, MUNIDA DE CONECTOR 2PIN PARA CONEXAO, CORRENTE MAXIMA DE 20A, SEM ISOLACAO PARA APLICACAO EM ATE 240V (5051401070)</v>
          </cell>
        </row>
        <row r="3761">
          <cell r="B3761">
            <v>5051401080</v>
          </cell>
          <cell r="C3761">
            <v>5051401080</v>
          </cell>
          <cell r="E3761">
            <v>85444200</v>
          </cell>
          <cell r="G3761">
            <v>85444200</v>
          </cell>
          <cell r="H3761" t="str">
            <v>PONTE DE COBRE DE CORRENTE DA FASE B, COM TERMINIAS DE LATAO NAS EXTREMIDADES, COM TRANSFORMADOR BLINDADO, MUNIDA DE CONECTOR 2PIN PARA CONEXAO, CORRENTE MÁXIMA DE 20A, SEM ISOLACAO PARA APLICAÇÃO EM ATE 240V (5051401080)</v>
          </cell>
        </row>
        <row r="3762">
          <cell r="B3762">
            <v>5051401090</v>
          </cell>
          <cell r="C3762">
            <v>5051401090</v>
          </cell>
          <cell r="E3762">
            <v>85444200</v>
          </cell>
          <cell r="G3762">
            <v>85444200</v>
          </cell>
          <cell r="H3762" t="str">
            <v>PONTE DE COBRE DE CORRENTE DA FASE C, COM TERMINIAS DE LATAO NAS EXTREMIDADES, COM TRANSFORMADOR BLINDADO, MUNIDA DE CONECTOR 2PIN PARA CONEXAO, CORRENTE MAXIMA DE 20A, SEM ISOLACAO PARA APLICACAO EM ATE 240V (5051401090)</v>
          </cell>
        </row>
        <row r="3763">
          <cell r="B3763">
            <v>5151400640</v>
          </cell>
          <cell r="C3763">
            <v>5151400640</v>
          </cell>
          <cell r="E3763">
            <v>85369090</v>
          </cell>
          <cell r="G3763">
            <v>85369090</v>
          </cell>
          <cell r="H3763" t="str">
            <v>TERMINAL DO NEUTRO EM LATAO ESTANHADO, COM 2 TERMINAIS NAS EXTREMIDADES, PARA CONEXAO DE CIRCUITO ELETRICO COM TENSAO ATE 240V, MUNIDA DE CONECTOR 2PIN PARA CONEXAO, TORQUE DE 3N.M (5151400640)</v>
          </cell>
        </row>
        <row r="3764">
          <cell r="B3764">
            <v>4020217550</v>
          </cell>
          <cell r="C3764">
            <v>4020217550</v>
          </cell>
          <cell r="E3764">
            <v>85159000</v>
          </cell>
          <cell r="G3764">
            <v>85159000</v>
          </cell>
          <cell r="H3764" t="str">
            <v>PEÇA DE EQUIPAMENTO DE SOLDAGEM POR ULTRASSOM – SONOTRODO DE 15 KHZ - MODELOS THS 2,5 E THS 15 – TRANSMISSOR DE VIBRAÇÕES ULTRASSÔNICAS – NÃO AUTÔNOMO – APLICAÇÃO EM SOLDAGEM DE MATERIAIS PLÁSTICOS</v>
          </cell>
        </row>
        <row r="3765">
          <cell r="B3765">
            <v>4020217560</v>
          </cell>
          <cell r="C3765">
            <v>4020217560</v>
          </cell>
          <cell r="E3765">
            <v>85159000</v>
          </cell>
          <cell r="G3765">
            <v>85159000</v>
          </cell>
          <cell r="H3765" t="str">
            <v>PEÇA DE EQUIPAMENTO DE SOLDAGEM POR ULTRASSOM – SONOTRODO DE 15 KHZ – MODELOS THS 30200 – TRANSMISSOR DE VIBRAÇÕES ULTRASSÔNICAS – NÃO AUTÔNOMO – APLICAÇÃO EM SOLDAGEM DE MATERIAIS PLÁSTICOS</v>
          </cell>
        </row>
        <row r="3766">
          <cell r="B3766">
            <v>4020217570</v>
          </cell>
          <cell r="C3766">
            <v>4020217570</v>
          </cell>
          <cell r="E3766">
            <v>85159000</v>
          </cell>
          <cell r="G3766">
            <v>85159000</v>
          </cell>
          <cell r="H3766" t="str">
            <v>PEÇA DE EQUIPAMENTO DE SOLDAGEM POR ULTRASSOM – SONOTRODO DE 15 KHZ – PARA MEDIDORES ZEUS NG MONO SUPERIOR – TRANSMISSOR DE VIBRAÇÕES ULTRASSÔNICAS – NÃO AUTÔNOMO – APLICAÇÃO EM SOLDAGEM DE MATERIAIS PLÁSTICOS</v>
          </cell>
        </row>
        <row r="3767">
          <cell r="B3767">
            <v>4020217580</v>
          </cell>
          <cell r="C3767">
            <v>4020217580</v>
          </cell>
          <cell r="E3767">
            <v>85159000</v>
          </cell>
          <cell r="G3767">
            <v>85159000</v>
          </cell>
          <cell r="H3767" t="str">
            <v>PEÇA DE EQUIPAMENTO DE SOLDAGEM POR ULTRASSOM – SONOTRODO DE 15 KHZ PARA MEDIDORES ZEUS NG POLI SUPERIOR– TRANSMISSOR DE VIBRAÇÕES ULTRASSÔNICAS – NÃO AUTÔNOMO – APLICAÇÃO EM SOLDAGEM DE MATERIAIS PLÁSTICOS</v>
          </cell>
        </row>
        <row r="3768">
          <cell r="B3768">
            <v>4020217590</v>
          </cell>
          <cell r="C3768">
            <v>4020217590</v>
          </cell>
          <cell r="E3768">
            <v>85159000</v>
          </cell>
          <cell r="G3768">
            <v>85159000</v>
          </cell>
          <cell r="H3768" t="str">
            <v>PEÇA DE EQUIPAMENTO DE SOLDAGEM POR ULTRASSOM – SONOTRODO DE 15 KHZ PARA MEDIDORES ZEUS NG POLI LATERAL– TRANSMISSOR DE VIBRAÇÕES ULTRASSÔNICAS – NÃO AUTÔNOMO – APLICAÇÃO EM SOLDAGEM DE MATERIAIS PLÁSTICOS</v>
          </cell>
        </row>
        <row r="3769">
          <cell r="B3769">
            <v>4020217600</v>
          </cell>
          <cell r="C3769">
            <v>4020217600</v>
          </cell>
          <cell r="E3769">
            <v>85159000</v>
          </cell>
          <cell r="G3769">
            <v>85159000</v>
          </cell>
          <cell r="H3769" t="str">
            <v>PEÇA DE EQUIPAMENTO DE SOLDAGEM POR ULTRASSOM – SONOTRODO DE 15 KHZ PARA MEDIDORES ZEUS NGS -VISOR – TRANSMISSOR DE VIBRAÇÕES ULTRASSÔNICAS – NÃO AUTÔNOMO – APLICAÇÃO EM SOLDAGEM DE MATERIAIS PLÁSTICOS</v>
          </cell>
        </row>
        <row r="3770">
          <cell r="B3770">
            <v>4020217610</v>
          </cell>
          <cell r="C3770">
            <v>4020217610</v>
          </cell>
          <cell r="E3770">
            <v>85159000</v>
          </cell>
          <cell r="G3770">
            <v>85159000</v>
          </cell>
          <cell r="H3770" t="str">
            <v>PEÇA DE EQUIPAMENTO DE SOLDAGEM POR ULTRASSOM – SONOTRODO DE 15 KHZ PARA MEDIDORES ARGENTINA - VISOR – TRANSMISSOR DE VIBRAÇÕES ULTRASSÔNICAS – NÃO AUTÔNOMO – APLICAÇÃO EM SOLDAGEM DE MATERIAIS PLÁSTICOS</v>
          </cell>
        </row>
        <row r="3771">
          <cell r="B3771">
            <v>4020217620</v>
          </cell>
          <cell r="C3771">
            <v>4020217620</v>
          </cell>
          <cell r="E3771">
            <v>85159000</v>
          </cell>
          <cell r="G3771">
            <v>85159000</v>
          </cell>
          <cell r="H3771" t="str">
            <v>PEÇA DE EQUIPAMENTO DE SOLDAGEM POR ULTRASSOM – SONOTRODO DE 15 KHZ PARA MEDIDORES ARGENTINA - TAMPA – TRANSMISSOR DE VIBRAÇÕES ULTRASSÔNICAS – NÃO AUTÔNOMO – APLICAÇÃO EM SOLDAGEM DE MATERIAIS PLÁSTICOS</v>
          </cell>
        </row>
        <row r="3772">
          <cell r="B3772" t="str">
            <v>HXCUJ.R110</v>
          </cell>
          <cell r="C3772" t="str">
            <v>HXCUJ.R110</v>
          </cell>
          <cell r="E3772">
            <v>85447090</v>
          </cell>
          <cell r="G3772">
            <v>85447090</v>
          </cell>
          <cell r="H3772" t="str">
            <v>CABO DE FIBRA OPTICA,MUNIDO DE CABECA DE COMUNICACAO OPTICA-USB,PADRAO IEC,COM REVESTIMENTO EXT. DE PLASTICO(HXCUJ.R110)</v>
          </cell>
        </row>
        <row r="3773">
          <cell r="B3773" t="str">
            <v>HXAP1000R31033-ENEL</v>
          </cell>
          <cell r="C3773" t="str">
            <v>HXAP1000R31033-ENEL</v>
          </cell>
          <cell r="E3773">
            <v>85176241</v>
          </cell>
          <cell r="G3773">
            <v>85176241</v>
          </cell>
          <cell r="H3773" t="str">
            <v>ROTEADORES DE BORDA,DIGITAIS, PARA COMUNICACAO BIDIRECIONAL DE DADOS SEM FIO (RECEPCAO, CONVERSAO E TRANSMISSAO), DIGITAIS, EMISSORES DE RADIO FREQUENCIA COM RECEPTOR INCORPORADO, CAPAZES DE OPERAR NA FAIXA ISM DE FREQUENCIAS 902 A 928 MHZ, COM TAXA DE TRANSMISSAO DE ATE 300 KBPS, COMPATIVEIS COM O PADRAO WISUN E IEEE802.15.4G, OPERANDO EM TOPOLOGIA "MESH" OU "ESTRELA" COM ESPALHAMENTO ESPECTRAL POR SALTO EM FREQUENCIA (FHSS), ENDERECAMENTO IPV6 E POTENCIA DE TRANSMISSAO DE ATE +30DBM,  POSSUINDO AINDA, ALIMENTACAO "FULL-RANGE" 110 ~ 240 VAC,ANO DE FABRICACAO XXXX, NUMEROS DE SERIE YYYY A ZZZZ, MODELO MMMM, MARCA LLLL.</v>
          </cell>
        </row>
        <row r="3774">
          <cell r="B3774">
            <v>7020201400</v>
          </cell>
          <cell r="C3774">
            <v>7020201400</v>
          </cell>
          <cell r="E3774">
            <v>84798999</v>
          </cell>
          <cell r="G3774">
            <v>84798999</v>
          </cell>
          <cell r="H3774" t="str">
            <v>MAQUINA DE ALIMENTACAO AUTOMATICA PARA INJECAO DE POLICARBONATO, EQUIPADO COM: CONTROLE CENTRAL TCS-2-20G-L; TANQUE DE ARMAZENAMENTO TST-500S; ALIMENTADOR SPB-501B; FUNIL DE MATERIAL CMR24-50; FUNIL DE MATERIAL CMR12-50; BARRIL REDONDO SCH-12R; CAIXA DE SUCCAO SPB-502SN; ESTACAO DE SELECAO DE MATERIAL COM UMA ENTRADA E CINCO SAIDAS; SECADOR THD-800DT-L; DESUMIDIFICADOR THD-700C - MARCA XXXX, MODEL XXXXX, ANO DE FABRICACAO XXXX, NUMERO DE SERIE YYYY</v>
          </cell>
        </row>
        <row r="3775">
          <cell r="B3775">
            <v>5210200590</v>
          </cell>
          <cell r="D3775">
            <v>5210200590</v>
          </cell>
          <cell r="E3775">
            <v>90289090</v>
          </cell>
          <cell r="F3775" t="str">
            <v>Need to update benefit</v>
          </cell>
          <cell r="G3775">
            <v>90289090</v>
          </cell>
          <cell r="H3775" t="str">
            <v>TUBO DE COBRE A BASE DE COBREZINCO (LATAO), MONTADO, PARA USO EM HIDROMETROS (CONTADORES DE LIQUIDOS) RESIDENCIAIS COM SECAO DE TRANSVERSAL DE 25mm E COMPRIMENTO DE 260mm.</v>
          </cell>
        </row>
        <row r="3776">
          <cell r="B3776">
            <v>5111201150</v>
          </cell>
          <cell r="C3776">
            <v>5111201150</v>
          </cell>
          <cell r="E3776">
            <v>73259910</v>
          </cell>
          <cell r="G3776">
            <v>73259910</v>
          </cell>
          <cell r="H3776" t="str">
            <v>GABINETE METALICO (B2B) ACO INOX SUS201, COM BATERIA 12AH, DIMENSOES 400 * 500 * 250 MM (5111201150)</v>
          </cell>
        </row>
        <row r="3777">
          <cell r="B3777">
            <v>81440000187</v>
          </cell>
          <cell r="E3777">
            <v>85371020</v>
          </cell>
          <cell r="G3777">
            <v>85371020</v>
          </cell>
          <cell r="H3777" t="str">
            <v>CONTROLADOR LOGICO PROGRAMAVEL (PLC) PARA COMANDO ELETRICO, PARA TENSAO DE 24V, MODELO PLC – LNC CIP8000  PART NUMBER 81440000187 (REF.81440000187)</v>
          </cell>
        </row>
        <row r="3778">
          <cell r="B3778">
            <v>2140104320</v>
          </cell>
          <cell r="E3778">
            <v>85177190</v>
          </cell>
          <cell r="G3778">
            <v>85177190</v>
          </cell>
          <cell r="H3778" t="str">
            <v>ANTENA PARA COMUNICACAO 5G, UTILIZADA EM EQUIPAMENTOS DE TELECOMUNICACAO FIXOS, NAO DESTINADA A TELEFONES CELULARES PORTATEIS, FREQUENCIA DE OPERACAO 700-960/1710-5000 MHZ, GANHO 2±0.5 DBI, TIPO OMNIDIRECIONAL, MODELO N/A, CONECTOR TIPO N MACHO, SEM COMPONENTES ELETRONICOS ATIVOS.</v>
          </cell>
        </row>
        <row r="3779">
          <cell r="B3779" t="str">
            <v>HXAP1000R31043-ENEL</v>
          </cell>
          <cell r="C3779" t="str">
            <v>HXAP1000R31043-ENEL</v>
          </cell>
          <cell r="E3779">
            <v>85176241</v>
          </cell>
          <cell r="F3779"/>
          <cell r="G3779" t="str">
            <v>8517.62.41</v>
          </cell>
          <cell r="H3779" t="str">
            <v>ROTEADORES DE BORDA,DIGITAIS, PARA COMUNICACAO BIDIRECIONAL DE DADOS SEM FIO (RECEPCAO, CONVERSAO E TRANSMISSAO), DIGITAIS, EMISSORES DE RADIO FREQUENCIA COM RECEPTOR INCORPORADO, CAPAZES DE OPERAR NA FAIXA ISM DE FREQUENCIAS 902 A 928 MHZ, COM TAXA DE TRANSMISSAO DE ATE 300 KBPS, COMPATIVEIS COM O PADRAO WISUN E IEEE802.15.4G, OPERANDO EM TOPOLOGIA "MESH" OU "ESTRELA" COM ESPALHAMENTO ESPECTRAL POR SALTO EM FREQUENCIA (FHSS), ENDERECAMENTO IPV6 E POTENCIA DE TRANSMISSAO DE ATE +30DBM,  POSSUINDO AINDA, ALIMENTACAO "FULL-RANGE" 110 ~ 240 VAC,ANO DE FABRICACAO XXXX, NUMEROS DE SERIE YYYY A ZZZZ, MODELO MMMM, MARCA LLLL.</v>
          </cell>
        </row>
        <row r="3780">
          <cell r="B3780">
            <v>7030104440</v>
          </cell>
          <cell r="C3780">
            <v>7030104440</v>
          </cell>
          <cell r="E3780">
            <v>90303990</v>
          </cell>
          <cell r="G3780">
            <v>90303990</v>
          </cell>
          <cell r="H3780" t="str">
            <v>INSTRUMENTO PARA MEDIDA OU CONTROLE DA TENSAO, INTENSIDADE, DE POTENCIA E COM DISPOSITIVO REGISTRADOR (PADRAO DE WATT-HORA TRIFASICO), UTILIZADO PARA MEDICAO DE ENERGIA, TIPO TRIFASICO, CLASSE 0.02, TENSAO 40 ～220V±10 PORCENTO; FREQUENCIA 45～65HZ;CORRENTE 0.25MA～120A. MODELO:XXXX; MARCA: XXXX. NUMERO DE SERIE: XXXXXXXXXX-YYYYYYYYYY; ANO DE FABRICACAO: XXXX</v>
          </cell>
        </row>
        <row r="3781">
          <cell r="B3781">
            <v>2120307111</v>
          </cell>
          <cell r="C3781">
            <v>2120307111</v>
          </cell>
          <cell r="E3781">
            <v>85241100</v>
          </cell>
          <cell r="G3781">
            <v>85241100</v>
          </cell>
          <cell r="H3781" t="str">
            <v>MODULO DE VISUALIZACAO DE TELA ( ECRA) PLANA (MOSTRADOR), DE CRISTAL LIQUIDO PARA MEDIDORES ELETRONICOS DE ENERGIA ELETRICA UTILIZADOS EM PROCESSO DE MONTAGEM POR INSERCAO (PTH), COM TENSAO DE OPERACAO 3,3V E DIMENSOES 77 X 36 MM, SEM CONTROLADOR (DRIVER) NEM CIRCUITO DE CONTROLE</v>
          </cell>
        </row>
        <row r="3782">
          <cell r="B3782" t="str">
            <v>MJN72R12221-CPFL</v>
          </cell>
          <cell r="C3782" t="str">
            <v>MJN72R12221-CPFL</v>
          </cell>
          <cell r="E3782">
            <v>85176272</v>
          </cell>
          <cell r="G3782">
            <v>85176272</v>
          </cell>
          <cell r="H3782" t="str">
            <v>MODULO DE COMUNICACAO BIDIRECIONAL DE DADOS SEM FIO, DIGITAL, EMISSOR DE RADIO FREQUENCIA COM RECEPTOR INCORPORADO, MODELO MJN72R12221-CPFL, PARA INTEGRACAO EM MEDIDORES INTELIGENTES DE ENERGIA ELETRICA. OPERA NA FAIXA ISM DE 902 A 928 MHZ, COM TAXA DE TRANSMISSAO DE ATE 2.4 MBPS, COMPATIVEL COM PADRAO WI-SUN 1.1 E IEEE 802.15.4G, TOPOLOGIAS MESH OU ESTRELA, COM ESPALHAMENTO ESPECTRAL POR SALTO EM FREQUENCIA (FHSS), ENDERECAMENTO IPV6, POTENCIA DE TRANSMISSAO ATE +30 DBM, INTERFACE SERIAL TTL, ALIMENTACAO 15 VDC, ANTENA EMBUTIDA, COM PKI.</v>
          </cell>
        </row>
        <row r="3783">
          <cell r="B3783" t="str">
            <v>MJN72R12222-CPFL</v>
          </cell>
          <cell r="C3783" t="str">
            <v xml:space="preserve">MJN72R12222-CPFL </v>
          </cell>
          <cell r="E3783">
            <v>85176272</v>
          </cell>
          <cell r="G3783">
            <v>85176272</v>
          </cell>
          <cell r="H3783" t="str">
            <v>MODULO DE COMUNICACAO BIDIRECIONAL DE DADOS SEM FIO, DIGITAL, EMISSOR DE RADIO FREQUENCIA COM RECEPTOR INCORPORADO, MODELO MJN72R12222-CPFL, PARA INTEGRACAO EM MEDIDORES INTELIGENTES DE ENERGIA ELETRICA. OPERA NA FAIXA ISM DE 902 A 928 MHZ, COM TAXA DE TRANSMISSAO DE ATE 2,4 MBPS, COMPATIVEL COM PADRAO WI-SUN 1.1 E IEEE 802.15.4G, TOPOLOGIAS MESH OU ESTRELA, COM ESPALHAMENTO ESPECTRAL POR SALTO EM FREQUENCIA (FHSS), ENDERECAMENTO IPV6, POTENCIA DE TRANSMISSAO ATE +30 DBM, INTERFACE SERIAL TTL, ALIMENTACAO 15 VDC, ANTENA EXTERNA OU CURTA, COM PKI</v>
          </cell>
        </row>
        <row r="3784">
          <cell r="B3784">
            <v>4010203390</v>
          </cell>
          <cell r="C3784">
            <v>4010203390</v>
          </cell>
          <cell r="E3784">
            <v>84671100</v>
          </cell>
          <cell r="G3784">
            <v>84671100</v>
          </cell>
          <cell r="H3784" t="str">
            <v>PARAFUSADEIRA PNEUMATICA RETA MODELO T30PB COM CONTROLE DE TORQUE AJUSTAVEL DE 3 A 17 KGF·CM E ROTACAO MAXIMA DE 1800 RPM. ACIONAMENTO POR AR COMPRIMIDO. FERRAMENTA PORTATIL DE USO MANUAL, INDICADA PARA MONTAGEM COM PARAFUSOS AUTO-ROSCANTES. REFERENCIA: 4010203390.</v>
          </cell>
        </row>
        <row r="3785">
          <cell r="B3785">
            <v>3030503410</v>
          </cell>
          <cell r="C3785">
            <v>3030503410</v>
          </cell>
          <cell r="D3785"/>
          <cell r="E3785">
            <v>73181400</v>
          </cell>
          <cell r="G3785">
            <v>73181400</v>
          </cell>
          <cell r="H3785" t="str">
            <v>PARAFUSO DO TIPO AUTOPERFURANTE, DIMENSOES 3,9MM X 21MM, MATERAL ACO BAIXO CARBONO, COM FENDA CRUZADA, PROCESSO DE FABRICACAO POR USINAGEM COM ACABAMENTO SUPERFICIAL POR GALVANIZACAO ZINCADO AMARELO (3030503410)</v>
          </cell>
        </row>
        <row r="3786">
          <cell r="B3786">
            <v>3033100360</v>
          </cell>
          <cell r="C3786">
            <v>3033100360</v>
          </cell>
          <cell r="E3786">
            <v>73079100</v>
          </cell>
          <cell r="F3786" t="str">
            <v>Need to update benefit</v>
          </cell>
          <cell r="G3786">
            <v>73079100</v>
          </cell>
          <cell r="H3786" t="str">
            <v>FLANGE DE FERRO FUNDIDO PN16, NA COR PRETA, ACESSORIO PARA TUBO DE MEDIDORES DE AGUA (CONTADORES DE LÍQUIDOS) DE DIAMETRO NOMINAL DE 50MM.</v>
          </cell>
        </row>
        <row r="3787">
          <cell r="B3787">
            <v>3033100380</v>
          </cell>
          <cell r="C3787">
            <v>3033100380</v>
          </cell>
          <cell r="E3787">
            <v>73079100</v>
          </cell>
          <cell r="F3787" t="str">
            <v>Need to update benefit</v>
          </cell>
          <cell r="G3787">
            <v>73079100</v>
          </cell>
          <cell r="H3787" t="str">
            <v>FLANGE DE FERRO FUNDIDO PN16, NA COR PRETA, ACESSORIO PARA TUBO DE MEDIDORES DE AGUA (CONTADORES DE LÍQUIDOS) DE DIAMETRO NOMINAL DE 80MM.</v>
          </cell>
        </row>
        <row r="3788">
          <cell r="B3788">
            <v>3033100390</v>
          </cell>
          <cell r="C3788">
            <v>3033100390</v>
          </cell>
          <cell r="E3788">
            <v>73079100</v>
          </cell>
          <cell r="F3788" t="str">
            <v>Need to update benefit</v>
          </cell>
          <cell r="G3788">
            <v>73079100</v>
          </cell>
          <cell r="H3788" t="str">
            <v>FLANGE DE FERRO FUNDIDO PN16, NA COR PRETA, ACESSORIO PARA TUBO DE MEDIDORES DE AGUA (CONTADORES DE LÍQUIDOS) DE DIAMETRO NOMINAL DE 100MM.</v>
          </cell>
        </row>
        <row r="3789">
          <cell r="B3789">
            <v>3033100400</v>
          </cell>
          <cell r="C3789">
            <v>3033100400</v>
          </cell>
          <cell r="E3789">
            <v>73079100</v>
          </cell>
          <cell r="F3789" t="str">
            <v>Need to update benefit</v>
          </cell>
          <cell r="G3789">
            <v>73079100</v>
          </cell>
          <cell r="H3789" t="str">
            <v>FLANGE DE FERRO FUNDIDO PN16, NA COR PRETA, ACESSORIO PARA TUBO DE MEDIDORES DE AGUA (CONTADORES DE LÍQUIDOS) DE DIAMETRO NOMINAL DE 150MM.</v>
          </cell>
        </row>
        <row r="3790">
          <cell r="B3790">
            <v>3033100410</v>
          </cell>
          <cell r="C3790">
            <v>3033100410</v>
          </cell>
          <cell r="E3790">
            <v>73079100</v>
          </cell>
          <cell r="F3790" t="str">
            <v>Need to update benefit</v>
          </cell>
          <cell r="G3790">
            <v>73079100</v>
          </cell>
          <cell r="H3790" t="str">
            <v>FLANGE DE FERRO FUNDIDO PN16, NA COR PRETA, ACESSORIO PARA TUBO DE MEDIDORES DE AGUA (CONTADORES DE LÍQUIDOS) DE DIAMETRO NOMINAL DE 200MM.</v>
          </cell>
        </row>
        <row r="3791">
          <cell r="B3791">
            <v>3143400010</v>
          </cell>
          <cell r="C3791"/>
          <cell r="E3791" t="str">
            <v>9028.90.90</v>
          </cell>
          <cell r="H3791" t="str">
            <v>SENSOR DE PRESSAO PARA MEDIDORES DE AGUA INDUSTRIAIS</v>
          </cell>
        </row>
        <row r="3792">
          <cell r="B3792">
            <v>7020704270</v>
          </cell>
          <cell r="C3792">
            <v>7020704270</v>
          </cell>
          <cell r="E3792">
            <v>84778090</v>
          </cell>
          <cell r="G3792">
            <v>84778090</v>
          </cell>
          <cell r="H3792" t="str">
            <v>Máquina aplicadora de insertos metálicos em peças plásticas, operando por pressão e/ou calor, para integração de componentes durante o processo de fabricação, marca XXXX, modelo YYYY, ano de fabricacAo ZZZZ e numeros de serie de AAAA</v>
          </cell>
        </row>
        <row r="3793">
          <cell r="B3793">
            <v>7029902620</v>
          </cell>
          <cell r="C3793">
            <v>7029902620</v>
          </cell>
          <cell r="E3793">
            <v>84283300</v>
          </cell>
          <cell r="G3793">
            <v>84283300</v>
          </cell>
          <cell r="H3793" t="str">
            <v>Máquina transportadora de placas eletrônicas, utilizada na entrada da máquina automática de revestimento seletivo. Possui sistema de transporte horizontal por correia, com acionamento contínuo, altura ajustável (900 mm ± 20 mm) e comprimento de 600 mm. Destinada à movimentação de placas eletrônicas semi-montadas ao longo da linha de montagem automatizada, Marca yyyy, Modelo xxxxx, numero de serie yyyyyy e ano de fabricacao</v>
          </cell>
        </row>
        <row r="3794">
          <cell r="B3794">
            <v>7029902650</v>
          </cell>
          <cell r="C3794">
            <v>7029902650</v>
          </cell>
          <cell r="E3794">
            <v>84248990</v>
          </cell>
          <cell r="G3794">
            <v>84248990</v>
          </cell>
          <cell r="H3794" t="str">
            <v>Máquina automática de aplicação seletiva de revestimento (conformal coating ), projetada para pulverizar verniz protetor sobre placas de circuito impresso (PCBs). Equipamento equipado com sistema de aplicação por bico pulverizador, marca HAIPAI, modelo HP-6302, anos de fabricação YYYYY e numero de serie xxxxxxx</v>
          </cell>
        </row>
        <row r="3795">
          <cell r="B3795">
            <v>7029902630</v>
          </cell>
          <cell r="C3795">
            <v>7029902630</v>
          </cell>
          <cell r="E3795">
            <v>84283300</v>
          </cell>
          <cell r="F3795"/>
          <cell r="G3795">
            <v>84283300</v>
          </cell>
          <cell r="H3795" t="str">
            <v>Máquina transportadora de placas eletrônicas, utilizada na saida da máquina automática de revestimento seletivo. Possui sistema de transporte horizontal por correia, com acionamento contínuo, altura ajustável (900 mm ± 20 mm) e comprimento de 600 mm. Destinada à movimentação de placas eletrônicas semi-montadas ao longo da linha de montagem automatizada, Marca yyyy, Modelo xxxxx, numero de serie yyyyyy e ano de fabricacao</v>
          </cell>
        </row>
        <row r="3796">
          <cell r="B3796" t="str">
            <v>HXWSG100R21114-ENEL</v>
          </cell>
          <cell r="C3796" t="str">
            <v>HXWSG100R21114-ENEL</v>
          </cell>
          <cell r="E3796">
            <v>85176272</v>
          </cell>
          <cell r="F3796"/>
          <cell r="G3796" t="str">
            <v>8517.62.72</v>
          </cell>
          <cell r="H3796" t="str">
            <v>REPETIDORES DE SINAL DE RADIO FREQUENCIA, PARA COMUNICACAO BIDIRECIONAL DE DADOS SEM FIO (RECEPCAO, CONVERSAO E TRANSMISSAO), DIGITAIS, EMISSORES DE RADIO FREQUENCIA COM RECEPTOR INCORPORADO, CAPAZES DE OPERAR NA FAIXA ISM DE FREQUENCIAS 902 A 928 MHZ, COM TAXA DE TRANSMISSAO DE ATE 50 KBPS, COMPATIVEIS COM O PADRAO WISUN E LORA, OPERANDO EM TOPOLOGIA MESH OU ESTRELA COM ESPALHAMENTO ESPECTRAL POR SALTO EM FREQUENCIA (FHSS), ENDERECAMENTO IPV6 E POTENCIA DE TRANSMISSAO DE ATE +30DBM, POSSUINDO AINDA, ALIMENTACAO FULL-RANGE 90  288 VAC.</v>
          </cell>
        </row>
        <row r="3797">
          <cell r="B3797" t="str">
            <v>HXAP1000R21203-EGISA</v>
          </cell>
          <cell r="C3797" t="str">
            <v>HXAP1000R21203-EGISA</v>
          </cell>
          <cell r="E3797">
            <v>85176241</v>
          </cell>
          <cell r="G3797">
            <v>85176241</v>
          </cell>
          <cell r="H3797" t="str">
            <v>ROTEADORES DE BORDA,DIGITAIS, PARA COMUNICACAO BIDIRECIONAL DE DADOS SEM FIO (RECEPCAO, CONVERSAO E TRANSMISSAO), DIGITAIS, EMISSORES DE RADIO FREQUENCIA COM RECEPTOR INCORPORADO, CAPAZES DE OPERAR NA FAIXA ISM DE FREQUENCIAS 902 A 928 MHZ, COM TAXA DE TRANSMISSAO DE ATE 300 KBPS, COMPATIVEIS COM O PADRAO WISUN E IEEE802.15.4G, OPERANDO EM TOPOLOGIA "MESH" OU "ESTRELA" COM ESPALHAMENTO ESPECTRAL POR SALTO EM FREQUENCIA (FHSS), ENDERECAMENTO IPV6 E POTENCIA DE TRANSMISSAO DE ATE +30DBM,  POSSUINDO AINDA, ALIMENTACAO "FULL-RANGE" 110 ~ 240 VAC,ANO DE FABRICACAO XXXX, NUMEROS DE SERIE YYYY A ZZZZ, MODELO MMMM, MARCA LLLL.</v>
          </cell>
        </row>
        <row r="3798">
          <cell r="B3798" t="str">
            <v>MJN53R31414-ENEL</v>
          </cell>
          <cell r="C3798" t="str">
            <v>MJN53R31414-ENEL</v>
          </cell>
          <cell r="E3798">
            <v>85176277</v>
          </cell>
          <cell r="F3798"/>
          <cell r="G3798" t="str">
            <v>8517.62.77</v>
          </cell>
          <cell r="H3798" t="str">
            <v>MODULOS DE COMUNICACAO RF (MJN53R31404-ENEL) PARA MEDIDORES INTELIGENTES DE ENERGIA ELETRICA COM TECNOLOGIA WISUN, CAPAZES DE OPERAR NA FAIXA ISM DE 902 A 928 MHZ EM REDES DE TOPOLOGIA "MESH" OU "ESTRELA" COM ESPALHAMENTO ESPECTRAL POR SALTO EM FREQUENCIA (FHSS), ENDERECAMENTO IPV6 E POTENCIA DE TRANSMISSAO DE ATE +30 DBM, COM INTERFACE DE COMUNICACAO DE DADOS SERIAL TTL E ALIMENTACAO 8VDC, DISPONIVEL COM ANTENA INTERNA.</v>
          </cell>
        </row>
        <row r="3799">
          <cell r="B3799" t="str">
            <v>HXAP1000R31017-CPFL</v>
          </cell>
          <cell r="C3799" t="str">
            <v>HXAP1000R31017-CPFL</v>
          </cell>
          <cell r="E3799">
            <v>85176241</v>
          </cell>
          <cell r="G3799">
            <v>85176241</v>
          </cell>
          <cell r="H3799" t="str">
            <v>ROTEADORES DE BORDA,DIGITAIS, PARA COMUNICACAO BIDIRECIONAL DE DADOS SEM FIO (RECEPCAO, CONVERSAO E TRANSMISSAO), DIGITAIS, EMISSORES DE RADIO FREQUENCIA COM RECEPTOR INCORPORADO, CAPAZES DE OPERAR NA FAIXA ISM DE FREQUENCIAS 902 A 928 MHZ, COM TAXA DE TRANSMISSAO DE ATE 300 KBPS, COMPATIVEIS COM O PADRAO WISUN E IEEE802.15.4G, OPERANDO EM TOPOLOGIA "MESH" OU "ESTRELA" COM ESPALHAMENTO ESPECTRAL POR SALTO EM FREQUENCIA (FHSS), ENDERECAMENTO IPV6 E POTENCIA DE TRANSMISSAO DE ATE +30DBM,  POSSUINDO AINDA, ALIMENTACAO "FULL-RANGE" 110 ~ 240 VAC, MODELO HXAP1000R31017-CPFL, ANO DE FABRICACAO XXXX, NUMEROS DE SERIE YYYY A ZZZZ, MODELO MMMM, MARCA LLLL.</v>
          </cell>
        </row>
        <row r="3800">
          <cell r="B3800">
            <v>7029903030</v>
          </cell>
          <cell r="C3800">
            <v>7029903030</v>
          </cell>
          <cell r="E3800">
            <v>84798999</v>
          </cell>
          <cell r="G3800">
            <v>84798999</v>
          </cell>
          <cell r="H3800" t="str">
            <v>Máquina automática para corte de terminais radiais de componentes eletrônicos, com alimentação por dispositivo vibratório, acionamento por motor elétrico, estrutura em aço, indicada para componentes PTH (through-hole), utilizada na linha de produção de placas eletrônicas, sem comando numérico (CNC). marca AAAA, modelo BBBB, ano de fabricacAo YYYY, numero de serie XXXX</v>
          </cell>
        </row>
        <row r="3801">
          <cell r="B3801">
            <v>2120307170</v>
          </cell>
          <cell r="C3801">
            <v>2120307170</v>
          </cell>
          <cell r="E3801">
            <v>85241100</v>
          </cell>
          <cell r="G3801">
            <v>85241100</v>
          </cell>
          <cell r="H3801" t="str">
            <v>MODULO DE VISUALIZACAO DE TELA (ECRA) PLANA, MOSTRADOR DE CRISTAL LIQUIDO, SEM CONTROLADOR (DRIVER) NEM CIRCUITO DE CONTROLE, PARA MEDIDORES ELETRONICOS DE ENERGIA ELETRICA UTILIZADOS EM PROCESSO DE MONTAGEM POR INSERCAO (PTH), COM TENSAO DE OPERACAO 3V, COM DIMENSOES DE DISPLAY DE 6 MM DE COMPRIMENTO E 18 MM DE LARGURA. COM DIMENSOES GERAIS DE 65 MM DE COMPRIMENTO, 30 MM DE LARGURA, 32.2 MM DE ALTURA E ESPESSURA DE 2 MM.</v>
          </cell>
        </row>
        <row r="3802">
          <cell r="B3802" t="str">
            <v xml:space="preserve">MJN72R12203-CELESC </v>
          </cell>
          <cell r="C3802" t="str">
            <v xml:space="preserve">MJN72R12203-CELESC </v>
          </cell>
          <cell r="E3802">
            <v>85176272</v>
          </cell>
          <cell r="G3802">
            <v>85176272</v>
          </cell>
          <cell r="H3802" t="str">
            <v xml:space="preserve">Módulos de comunicação bidirecional de dados sem fio (recepção, conversão e transmissão), digitais, emissores de rádio frequência com receptor incorporado, capazes de operar na faixa ISM de frequências 902 a 928 MHz, com taxa de transmissão de até 2.4 Mbps, compatíveis com o padrão WiSUN e IEEE802.15.4g, para medidores inteligentes de energia elétrica, operando em topologia "Mesh" ou "Estrela" com espalhamento espectral por salto em frequência (FHSS), endereçamento IPv6 e potência de transmissão de até +30dBm, com interface de comunicação de dados serial TTL, modelo MJN72.R12203 </v>
          </cell>
        </row>
        <row r="3803">
          <cell r="B3803" t="str">
            <v xml:space="preserve">MJN72R12204-CPL.V2 </v>
          </cell>
          <cell r="C3803" t="str">
            <v xml:space="preserve">MJN72R12204-CPL.V2 </v>
          </cell>
          <cell r="E3803">
            <v>85176272</v>
          </cell>
          <cell r="G3803">
            <v>85176272</v>
          </cell>
          <cell r="H3803" t="str">
            <v xml:space="preserve">Módulos de comunicação bidirecional de dados sem fio (recepção, conversão e transmissão), digitais, emissores de rádio frequência com receptor incorporado, capazes de operar na faixa ISM de frequências 902 a 928 MHz, com taxa de transmissão de até 2.4 Mbps, compatíveis com o padrão WiSUN e IEEE802.15.4g, para medidores inteligentes de energia elétrica, operando em topologia "Mesh" ou "Estrela" com espalhamento espectral por salto em frequência (FHSS), endereçamento IPv6 e potência de transmissão de até +30dBm, com interface de comunicação de dados serial TTL, modelo MJN72R12204 </v>
          </cell>
        </row>
        <row r="3804">
          <cell r="B3804" t="str">
            <v>MJN53R31414-COMM</v>
          </cell>
          <cell r="C3804" t="str">
            <v>MJN53R31414-COMM</v>
          </cell>
          <cell r="E3804">
            <v>85176272</v>
          </cell>
          <cell r="G3804">
            <v>85176272</v>
          </cell>
          <cell r="H3804" t="str">
            <v xml:space="preserve">Módulos de comunicação bidirecional de dados sem fio (recepção, conversão e transmissão), digitais, emissores de rádio frequência com receptor incorporado, capazes de operar na faixa ISM de frequências 902 a 928 MHz, com taxa de transmissão de até 2.4 Mbps, compatíveis com o padrão WiSUN e IEEE802.15.4g, para medidores inteligentes de energia elétrica, operando em topologia "Mesh" ou "Estrela" com espalhamento espectral por salto em frequência (FHSS), endereçamento IPv6 e potência de transmissão de até +30dBm, com interface de comunicação de dados serial TTL, modelo MJN53.R31414 </v>
          </cell>
        </row>
        <row r="3805">
          <cell r="B3805" t="str">
            <v xml:space="preserve">HXAP1000R31040-COMM </v>
          </cell>
          <cell r="C3805" t="str">
            <v xml:space="preserve">HXAP1000R31040-COMM </v>
          </cell>
          <cell r="E3805">
            <v>85176241</v>
          </cell>
          <cell r="G3805">
            <v>85176241</v>
          </cell>
          <cell r="H3805" t="str">
            <v>Roteadores de borda, para comunicação bidirecional de dados sem fio (recepção, conversão e transmissão), digitais, emissores de rádio frequência com receptor incorporado, capazes de operar na faixa ISM de frequências 902 a 928 MHz, com taxa de transmissão de até 150 Kbps, compatíveis com o padrão WiSUN e IEEE802.15.4g, operando em topologia "Mesh" ou "Estrela" com espalhamento espectral por salto em frequência (FHSS), endereçamento IPv6 e potência de transmissão de até +30dBm,  possuindo ainda, alimentação "full-range" 85 ~ 336 VAC, modelo HXAP1000R31040</v>
          </cell>
        </row>
        <row r="3806">
          <cell r="B3806" t="str">
            <v>HXWSG100R21114-CPFL</v>
          </cell>
          <cell r="C3806" t="str">
            <v>HXWSG100R21114-CPFL</v>
          </cell>
          <cell r="E3806">
            <v>85176272</v>
          </cell>
          <cell r="G3806">
            <v>85176272</v>
          </cell>
          <cell r="H3806" t="str">
            <v>REPETIDORES DE SINAL DE RADIO FREQUENCIA, PARA COMUNICACAO BIDIRECIONAL DE DADOS SEM FIO (RECEPCAO, CONVERSAO E TRANSMISSAO), DIGITAIS, EMISSORES DE RADIO FREQUENCIA COM RECEPTOR INCORPORADO, CAPAZES DE OPERAR NA FAIXA ISM DE FREQUENCIAS 902 A 928 MHZ, COM TAXA DE TRANSMISSAO DE ATE 50 KBPS, COMPATIVEIS COM O PADRAO WISUN E LORA, OPERANDO EM TOPOLOGIA "MESH" OU "ESTRELA" COM ESPALHAMENTO ESPECTRAL POR SALTO EM FREQUENCIA (FHSS), ENDERECAMENTO IPV6 E POTENCIA DE TRANSMISSAO DE ATE +30DBM, POSSUINDO AINDA, ALIMENTACAO "FULL-RANGE" 90 ~ 288 VAC.</v>
          </cell>
        </row>
        <row r="3807">
          <cell r="B3807" t="str">
            <v>HXD811-15.5.R120</v>
          </cell>
          <cell r="C3807" t="str">
            <v>HXD811-15.5.R120</v>
          </cell>
          <cell r="E3807">
            <v>85353028</v>
          </cell>
          <cell r="G3807">
            <v>85353028</v>
          </cell>
          <cell r="H3807" t="str">
            <v>CHAVE DE MANOBRA (INTERRUPTOR) TRIFASICA C/ INTERRUPCAO POR AMPOLA A VACUO NAO IMERSO EM MEIO LIQUIDO E COM DISPOSITIVO DE ACIONAMENTO AUTOMATICO (ATUADOR DE IMA MAGNETICO PERMANENTE) PARA UMA CORRENTE NOMINAL DE 630A, TENSAO DE 15KV , NUMERO DE FASES: 3; CAPACIDADE DE INTERRUPCAO: 16.3 KA; FREQUENCIA: 50/60HZ; ISOLAMENTO: RESINA EPOXI; GRAU PROTECAO E IP65</v>
          </cell>
        </row>
        <row r="3808">
          <cell r="B3808" t="str">
            <v>HXD820-29.R210</v>
          </cell>
          <cell r="C3808" t="str">
            <v>HXD820-29.R210</v>
          </cell>
          <cell r="E3808">
            <v>85353018</v>
          </cell>
          <cell r="G3808">
            <v>85353018</v>
          </cell>
          <cell r="H3808" t="str">
            <v>RELIGADOR AUTOMATICO AUTOALIMENTADO, TENSAO NOMINAL DE 15KV, CORRENTE NOMINAL DE 200A, COM FUNCAO DE INTERRUPCAO E RELIGAMENTO AUTOMATICO DE CIRCUITOS ELETRICOS DE MEDIA TENSAO, NAO IMERSO EM MEIO LIQUIDO, COM COMANDO ELETRONICO.  MARCA XXX MODELO XXX ANO DE FABRICACAO XXXX, NUMERO DE SERIE YYYY A ZZZZ.</v>
          </cell>
        </row>
        <row r="3809">
          <cell r="B3809" t="str">
            <v>HXD820-29.R320</v>
          </cell>
          <cell r="C3809" t="str">
            <v>HXD820-29.R320</v>
          </cell>
          <cell r="E3809">
            <v>85353018</v>
          </cell>
          <cell r="G3809">
            <v>85353018</v>
          </cell>
          <cell r="H3809" t="str">
            <v>RELIGADOR AUTOMATICO AUTOALIMENTADO COM COMUNICACAO WISUN INTEGRADA, TENSAO NOMINAL DE 29KV, CORRENTE NOMINAL DE 100A, COM FUNCAO DE INTERRUPCAO E RELIGAMENTO AUTOMATICO DE CIRCUITOS ELETRICOS DE MEDIA TENSAO, NAO IMERSO EM MEIO LIQUIDO, COM COMANDO ELETRONICO.  MARCA XXX MODELO XXX ANO DE FABRICACAO XXXX, NUMERO DE SERIE YYYY A ZZZZ.</v>
          </cell>
        </row>
        <row r="3810">
          <cell r="B3810" t="str">
            <v>HXD811-F30.R210</v>
          </cell>
          <cell r="C3810" t="str">
            <v>HXD811-F30.R210</v>
          </cell>
          <cell r="E3810">
            <v>85371090</v>
          </cell>
          <cell r="G3810">
            <v>85371090</v>
          </cell>
          <cell r="H3810" t="str">
            <v>PAINEL DE CONTROLE ELETROELETRONICO PARA CHAVES DE INTERRUPCAO SOB CARGA, MEIO DE INTERUPÇÃO A VACUO , CONSTRUIDO EM CAIXA DE AÇO INOX, COM PRE-DISPOSICAO PARA FIXACAO NA PARTE POSTERIOR, PARA UTILIZACAO EM AMBIENTES EXTERNOS DE MEDIA TENAO, CONTEM FIRMWARE DEDICADO A OPERAÇAO DE MANOBRA DE REDES ELETRICAS, SENSOR DE ABERTURA DE PORTAS E OUTROS ACESSORIOS. TENSAO DE ALIMENTACAO 3P+T FULL-RANGE 95-265VAC 50HZ/60HZ, TENSAO DE COMANDO DE 24VDC. MARCA XXX MODELO XXX ANO DE FABRICACAO XXXX, NUMERO DE SERIE YYYY A ZZZZ.</v>
          </cell>
        </row>
        <row r="3811">
          <cell r="B3811" t="str">
            <v xml:space="preserve">EV500.R360 </v>
          </cell>
          <cell r="C3811" t="str">
            <v xml:space="preserve">EV500.R360 </v>
          </cell>
          <cell r="E3811">
            <v>85312000</v>
          </cell>
          <cell r="G3811">
            <v>85312000</v>
          </cell>
          <cell r="H3811" t="str">
            <v>PAINEL INDICADOR ELETRÔNICO COM DISPLAY DE CRISTAL LÍQUIDO (LCD), MODELO EV500.R360, TENSÃO DE OPERAÇÃO 120V/240V, FREQUÊNCIA 60Hz, COM CAPACIDADE DE COMUNICAÇÃO REMOTA POR RÁDIO FREQUÊNCIA (RF), UTILIZADO PARA INDICAÇÃO VISUAL DE DADOS EM SISTEMAS DE MONITORAMENTO OU CONTROLE INDUSTRIAL, SEM FUNÇÃO AUTÔNOMA DE CONTROLE DE PROCESSO.</v>
          </cell>
        </row>
        <row r="3812">
          <cell r="B3812" t="str">
            <v>5636C70101</v>
          </cell>
          <cell r="C3812" t="str">
            <v>5636C70101</v>
          </cell>
          <cell r="E3812">
            <v>90282010</v>
          </cell>
          <cell r="G3812">
            <v>90282010</v>
          </cell>
          <cell r="H3812" t="str">
            <v>HIDROMETRO ULTRASSONICO (CONTADOR DE LIQUIDOS) RESIDENCIAL COM CARCACA DE LATAO, DIAMETRO NOMINAL DE 25MM, COMPRIMENTO 260 MM, VAZAO DE 10 M3/H, R500 COM SAIDA DE PULSO (ZLW25-10),  COM PESO LIQUIDO UNITARIO APROXIMADO ENTRE 0,5 KG E 2,0 KG.</v>
          </cell>
        </row>
        <row r="3813">
          <cell r="B3813" t="str">
            <v>5648C90011</v>
          </cell>
          <cell r="C3813" t="str">
            <v>5648C90011</v>
          </cell>
          <cell r="E3813">
            <v>90282010</v>
          </cell>
          <cell r="F3813" t="str">
            <v>Not applicable</v>
          </cell>
          <cell r="G3813">
            <v>90282010</v>
          </cell>
          <cell r="H3813" t="str">
            <v>HIDROMETRO ULTRASSONICO (CONTADOR DE LIQUIDOS) DISTRITAL COM CARCACA DE LATAO, DIAMETRO NOMINAL DE 40MM, COMPRIMENTO 300 MM, VAZAO DE 16 M3/H, R500 E SAIDA PULSADA, COM PESO LIQUIDO UNITARIO APROXIMADO ENTRE 2,0 KG E 5,0 KG.</v>
          </cell>
        </row>
        <row r="3814">
          <cell r="B3814" t="str">
            <v>5659C40011</v>
          </cell>
          <cell r="C3814" t="str">
            <v>5659C40011</v>
          </cell>
          <cell r="E3814">
            <v>90282010</v>
          </cell>
          <cell r="F3814" t="str">
            <v>Not applicable</v>
          </cell>
          <cell r="G3814">
            <v>90282010</v>
          </cell>
          <cell r="H3814" t="str">
            <v>HIDROMETRO ULTRASSONICO  (CONTADOR DE LIQUIDOS) INDUSTRIAL COM CARCACA DE FERRO FUNDIDO, DIAMETRO NOMINAL DE 50MM, COMPRIMENTO 200 MM, VAZAO DE 25 M3/H, R500 COM SAIDA DE PULSO, COM PESO LIQUIDO UNITARIO APROXIMADO ENTRE 10,0 KG E 15,0 KG.</v>
          </cell>
        </row>
        <row r="3815">
          <cell r="B3815" t="str">
            <v>5659C80011</v>
          </cell>
          <cell r="C3815" t="str">
            <v>5659C80011</v>
          </cell>
          <cell r="E3815">
            <v>90282010</v>
          </cell>
          <cell r="F3815" t="str">
            <v>Not applicable</v>
          </cell>
          <cell r="G3815">
            <v>90282010</v>
          </cell>
          <cell r="H3815" t="str">
            <v>HIDROMETRO ULTRASSONICO  (CONTADOR DE LIQUIDOS) INDUSTRIAL COM CARCACA DE FERRO FUNDIDO, DIAMETRO NOMINAL DE 50MM, COMPRIMENTO 270 MM, VAZAO DE 25 M3/H, R500 COM SAIDA DE PULSO, COM PESO LIQUIDO UNITARIO APROXIMADO ENTRE 10,0 KG E 15,0 KG.</v>
          </cell>
        </row>
        <row r="3816">
          <cell r="B3816" t="str">
            <v>565AC80011</v>
          </cell>
          <cell r="C3816" t="str">
            <v>565AC80011</v>
          </cell>
          <cell r="E3816">
            <v>90282010</v>
          </cell>
          <cell r="F3816" t="str">
            <v>Not applicable</v>
          </cell>
          <cell r="G3816">
            <v>90282010</v>
          </cell>
          <cell r="H3816" t="str">
            <v>HIDROMETRO ULTRASSONICO  (CONTADOR DE LIQUIDOS) INDUSTRIAL COM CARCACA DE FERRO FUNDIDO, DIAMETRO NOMINAL DE 50MM, COMPRIMENTO 270 MM, VAZAO DE 40 M3/H, R500 COM SAIDA DE PULSO, COM PESO LIQUIDO UNITARIO APROXIMADO ENTRE 10,0 KG E 15,0 KG.</v>
          </cell>
        </row>
        <row r="3817">
          <cell r="B3817" t="str">
            <v>565BC50011</v>
          </cell>
          <cell r="C3817" t="str">
            <v>565BC50011</v>
          </cell>
          <cell r="E3817">
            <v>90282010</v>
          </cell>
          <cell r="F3817" t="str">
            <v>Not applicable</v>
          </cell>
          <cell r="G3817">
            <v>90282010</v>
          </cell>
          <cell r="H3817" t="str">
            <v>HIDROMETRO ULTRASSONICO (CONTADOR DE LIQUIDOS) INDUSTRIAL COM CARCACA DE FERRO FUNDIDO, DIAMETRO NOMINAL DE 80MM, COMPRIMENTO 225 MM, VAZAO DE 63 M3/H COM SAIDA DE PULSO/MODBUS, R500, COM PESO LIQUIDO UNITARIO APROXIMADO ENTRE 15 KG E 20 KG.</v>
          </cell>
        </row>
        <row r="3818">
          <cell r="B3818" t="str">
            <v>565BC50111</v>
          </cell>
          <cell r="C3818" t="str">
            <v>565BC50111</v>
          </cell>
          <cell r="E3818">
            <v>90282010</v>
          </cell>
          <cell r="F3818" t="str">
            <v>Not applicable</v>
          </cell>
          <cell r="G3818">
            <v>90282010</v>
          </cell>
          <cell r="H3818" t="str">
            <v>HIDROMETRO ULTRASSONICO (CONTADOR DE LIQUIDOS) INDUSTRIAL COM CARCACA DE ACO INOXIDAVEL, DIAMETRO NOMINAL DE 80MM, COMPRIMENTO 225 MM, VAZAO DE 63 M3/H COM SAIDA DE PULSO/MODBUS, R500, COM PESO LIQUIDO UNITARIO APROXIMADO ENTRE 15 KG E 20 KG.</v>
          </cell>
        </row>
        <row r="3819">
          <cell r="B3819" t="str">
            <v>565BC90211</v>
          </cell>
          <cell r="C3819" t="str">
            <v>565BC90211</v>
          </cell>
          <cell r="E3819">
            <v>90282010</v>
          </cell>
          <cell r="F3819" t="str">
            <v>Not applicable</v>
          </cell>
          <cell r="G3819">
            <v>90282010</v>
          </cell>
          <cell r="H3819" t="str">
            <v>HIDROMETRO ULTRASSONICO (CONTADOR DE LIQUIDOS) INDUSTRIAL COM CARCACA DE FERRO FUNDIDO, DIAMETRO NOMINAL DE 80MM, COMPRIMENTO 300 MM, VAZAO DE 63 M3/H COM SAIDA DE PULSO/MODBUS, R500, COM PESO LIQUIDO UNITARIO APROXIMADO ENTRE 15 KG E 20 KG.</v>
          </cell>
        </row>
        <row r="3820">
          <cell r="B3820" t="str">
            <v>565CC60011</v>
          </cell>
          <cell r="C3820" t="str">
            <v>565CC60011</v>
          </cell>
          <cell r="E3820">
            <v>90282010</v>
          </cell>
          <cell r="F3820" t="str">
            <v>Not applicable</v>
          </cell>
          <cell r="G3820">
            <v>90282010</v>
          </cell>
          <cell r="H3820" t="str">
            <v>HIDROMETRO ULTRASSONICO  (CONTADOR DE LIQUIDOS)  INDUSTRIAL COM CARCACA DE FERRO FUNDIDO, DIAMETRO NOMINAL DE 100MM, COMPRIMENTO 250 MM, VAZAO DE 100 M3/H, R500 COM SAIDA DE PULSO/MODBUS, COM PESO LIQUIDO UNITARIO APROXIMADO ENTRE 20,0 KG E 30,0 KG.</v>
          </cell>
        </row>
        <row r="3821">
          <cell r="B3821" t="str">
            <v>565CC60211</v>
          </cell>
          <cell r="C3821" t="str">
            <v>565CC60211</v>
          </cell>
          <cell r="E3821">
            <v>90282010</v>
          </cell>
          <cell r="F3821" t="str">
            <v>Not applicable</v>
          </cell>
          <cell r="G3821">
            <v>90282010</v>
          </cell>
          <cell r="H3821" t="str">
            <v>HIDROMETRO ULTRASSONICO  (CONTADOR DE LIQUIDOS)  INDUSTRIAL COM CARCACA DE ACO INOXIDAVEL, DIAMETRO NOMINAL DE 100MM, COMPRIMENTO 250 MM, VAZAO DE 100 M3/H, R500 COM SAIDA DE PULSO/MODBUS, COM PESO LIQUIDO UNITARIO APROXIMADO ENTRE 20,0 KG E 30,0 KG.</v>
          </cell>
        </row>
        <row r="3822">
          <cell r="B3822" t="str">
            <v>565DC90211</v>
          </cell>
          <cell r="C3822" t="str">
            <v>565DC90211</v>
          </cell>
          <cell r="E3822">
            <v>90282010</v>
          </cell>
          <cell r="F3822" t="str">
            <v>Not applicable</v>
          </cell>
          <cell r="G3822">
            <v>90282010</v>
          </cell>
          <cell r="H3822" t="str">
            <v>HIDROMETRO ULTRASSONICO  (CONTADOR DE LIQUIDOS)  INDUSTRIAL COM CARCACA DE ACO INOXIDAVEL, DIAMETRO NOMINAL DE 150MM, COMPRIMENTO 300 MM, VAZAO DE 250 M3/H, R500 COM SAIDA DE PULSO/MODBUS, COM PESO LIQUIDO UNITARIO APROXIMADO ENTRE 20,0 KG E 30,0 KG.</v>
          </cell>
        </row>
        <row r="3823">
          <cell r="B3823" t="str">
            <v>565DC90311</v>
          </cell>
          <cell r="C3823" t="str">
            <v>565DC90311</v>
          </cell>
          <cell r="E3823">
            <v>90282010</v>
          </cell>
          <cell r="F3823" t="str">
            <v>Not applicable</v>
          </cell>
          <cell r="G3823">
            <v>90282010</v>
          </cell>
          <cell r="H3823" t="str">
            <v>HIDROMETRO ULTRASSONICO  (CONTADOR DE LIQUIDOS)  INDUSTRIAL COM CARCACA DE FERRO FUNDIDO, DIAMETRO NOMINAL DE 150MM, COMPRIMENTO 300 MM, VAZAO DE 250 M3/H, R500 COM SAIDA DE PULSO/MODBUS, COM PESO LIQUIDO UNITARIO APROXIMADO ENTRE 20,0 KG E 30,0 KG.</v>
          </cell>
        </row>
        <row r="3824">
          <cell r="B3824" t="str">
            <v>5636B70105</v>
          </cell>
          <cell r="C3824" t="str">
            <v>5636B70105</v>
          </cell>
          <cell r="E3824">
            <v>90282010</v>
          </cell>
          <cell r="F3824" t="str">
            <v>Not applicable</v>
          </cell>
          <cell r="G3824">
            <v>90282010</v>
          </cell>
          <cell r="H3824" t="str">
            <v>HIDROMETRO ULTRASSONICO (CONTADOR DE LIQUIDOS) RESIDENCIAL COM CARCACA DE LATAO, DIAMETRO NOMINAL DE 25MM, COMPRIMENTO 260 MM, R400, VAZAO DE 10 M3/H E SAIDA PULSADA, COM PESO LIQUIDO UNITARIO APROXIMADO ENTRE 1,0 KG E 2,0 KG.</v>
          </cell>
        </row>
        <row r="3825">
          <cell r="B3825" t="str">
            <v>5633B20102</v>
          </cell>
          <cell r="C3825" t="str">
            <v>5633B20102</v>
          </cell>
          <cell r="E3825">
            <v>90282010</v>
          </cell>
          <cell r="F3825" t="str">
            <v>Not applicable</v>
          </cell>
          <cell r="G3825">
            <v>90282010</v>
          </cell>
          <cell r="H3825" t="str">
            <v>HIDROMETRO ULTRASSONICO (CONTADOR DE LIQUIDOS) RESIDENCIAL COM CARCACA DE LATAO, DIAMETRO NOMINAL DE 15MM, COMPRIMENTO 165 MM, VAZAO DE 2,5 M3/H; R400 E SAÍDA PULSADA (ZLW-DN15), COM PESO LÍQUIDO UNITARIO APROXIMADO ENTRE 0,5 KG E 2,0 KG.</v>
          </cell>
        </row>
        <row r="3826">
          <cell r="B3826" t="str">
            <v>5636C70015</v>
          </cell>
          <cell r="C3826" t="str">
            <v>5636C70015</v>
          </cell>
          <cell r="E3826">
            <v>90282010</v>
          </cell>
          <cell r="F3826" t="str">
            <v>Not applicable</v>
          </cell>
          <cell r="G3826">
            <v>90282010</v>
          </cell>
          <cell r="H3826" t="str">
            <v>HIDROMETRO ULTRASSONICO (CONTADOR DE LIQUIDOS) RESIDENCIAL COM CARCACA DE LATAO, DIAMETRO NOMINAL DE 25MM, COMPRIMENTO 260 MM, VAZAO DE 10 M3/H, R500 E SAIDA PULSADA,  COM PESO LIQUIDO UNITÁRIO APROXIMADO ENTRE 1,0 KG E 2,0 KG.</v>
          </cell>
        </row>
        <row r="3827">
          <cell r="B3827" t="str">
            <v>5635C70015</v>
          </cell>
          <cell r="C3827" t="str">
            <v>5635C70015</v>
          </cell>
          <cell r="E3827">
            <v>90282010</v>
          </cell>
          <cell r="F3827" t="str">
            <v>Not applicable</v>
          </cell>
          <cell r="G3827">
            <v>90282010</v>
          </cell>
          <cell r="H3827" t="str">
            <v>HIDROMETRO ULTRASSONICO (CONTADOR DE LIQUIDOS) RESIDENCIAL COM CARCACA DE LATAO, DIAMETRO NOMINAL DE 25MM, COMPRIMENTO 260 MM, VAZAO DE 6,3 M3/H, R500 E SAIDA PULSADA,  COM PESO LIQUIDO UNITÁRIO APROXIMADO ENTRE 1,0 KG E 2,0 KG.</v>
          </cell>
        </row>
        <row r="3828">
          <cell r="B3828">
            <v>5638990015</v>
          </cell>
          <cell r="C3828">
            <v>5638990015</v>
          </cell>
          <cell r="E3828">
            <v>90282010</v>
          </cell>
          <cell r="F3828" t="str">
            <v>Not applicable</v>
          </cell>
          <cell r="G3828">
            <v>90282010</v>
          </cell>
          <cell r="H3828" t="str">
            <v>HIDROMETRO ULTRASSONICO (CONTADOR DE LIQUIDOS) RESIDENCIAL COM CARCACA DE LATAO, DIAMETRO NOMINAL DE 40MM, COMPRIMENTO 300 MM, VAZAO DE 16 M3/H, R250 E SAIDA PULSADA,  COM PESO LIQUIDO UNITÁRIO APROXIMADO ENTRE 2,0 KG E 3,0 KG.</v>
          </cell>
        </row>
        <row r="3829">
          <cell r="B3829" t="str">
            <v>5633C20038</v>
          </cell>
          <cell r="C3829" t="str">
            <v>5633C20038</v>
          </cell>
          <cell r="E3829">
            <v>90282010</v>
          </cell>
          <cell r="F3829" t="str">
            <v>Not applicable</v>
          </cell>
          <cell r="G3829">
            <v>90282010</v>
          </cell>
          <cell r="H3829" t="str">
            <v>HIDROMETRO ULTRASSONICO (CONTADOR DE LIQUIDOS) RESIDENCIAL COM CARCACA DE LATAO, DIAMETRO NOMINAL DE 15MM, COMPRIMENTO 165 MM, VAZAO DE 2,5 M3/H, R500 E SAIDA PULSADA,  COM PESO LIQUIDO UNITÁRIO APROXIMADO ENTRE 1,0 KG E 2,0 KG.</v>
          </cell>
        </row>
        <row r="3830">
          <cell r="B3830" t="str">
            <v>5633B30038</v>
          </cell>
          <cell r="C3830" t="str">
            <v>5633B30038</v>
          </cell>
          <cell r="E3830">
            <v>90282010</v>
          </cell>
          <cell r="F3830" t="str">
            <v>Not applicable</v>
          </cell>
          <cell r="G3830">
            <v>90282010</v>
          </cell>
          <cell r="H3830" t="str">
            <v>HIDROMETRO ULTRASSONICO (CONTADOR DE LIQUIDOS) RESIDENCIAL COM CARCACA DE LATAO, DIAMETRO NOMINAL DE 20MM, COMPRIMENTO 190 MM, VAZAO DE 2,5 M3/H, R400 E SAIDA PULSADA,  COM PESO LIQUIDO UNITÁRIO APROXIMADO ENTRE 1,0 KG E 2,0 KG.</v>
          </cell>
        </row>
        <row r="3831">
          <cell r="B3831" t="str">
            <v>5634B30038</v>
          </cell>
          <cell r="C3831" t="str">
            <v>5634B30038</v>
          </cell>
          <cell r="E3831">
            <v>90282010</v>
          </cell>
          <cell r="F3831" t="str">
            <v>Not applicable</v>
          </cell>
          <cell r="G3831">
            <v>90282010</v>
          </cell>
          <cell r="H3831" t="str">
            <v>HIDROMETRO ULTRASSONICO (CONTADOR DE LIQUIDOS) RESIDENCIAL COM CARCACA DE LATAO, DIAMETRO NOMINAL DE 20MM, COMPRIMENTO 190 MM, VAZAO DE 4 M3/H, R400 E SAIDA PULSADA,  COM PESO LIQUIDO UNITÁRIO APROXIMADO ENTRE 1,0 KG E 2,0 KG.</v>
          </cell>
        </row>
        <row r="3832">
          <cell r="B3832" t="str">
            <v>5635C70038</v>
          </cell>
          <cell r="C3832" t="str">
            <v>5635C70038</v>
          </cell>
          <cell r="E3832">
            <v>90282010</v>
          </cell>
          <cell r="F3832" t="str">
            <v>Not applicable</v>
          </cell>
          <cell r="G3832">
            <v>90282010</v>
          </cell>
          <cell r="H3832" t="str">
            <v>HIDROMETRO ULTRASSONICO (CONTADOR DE LIQUIDOS) RESIDENCIAL COM CARCACA DE LATAO, DIAMETRO NOMINAL DE 25MM, COMPRIMENTO 260 MM, VAZAO DE 6,3 M3/H, R500 E SAIDA PULSADA,  COM PESO LIQUIDO UNITÁRIO APROXIMADO ENTRE 1,0 KG E 2,0 KG.</v>
          </cell>
        </row>
        <row r="3833">
          <cell r="B3833" t="str">
            <v>5634B30039</v>
          </cell>
          <cell r="C3833" t="str">
            <v>5634B30039</v>
          </cell>
          <cell r="E3833">
            <v>90282010</v>
          </cell>
          <cell r="F3833" t="str">
            <v>Not applicable</v>
          </cell>
          <cell r="G3833">
            <v>90282010</v>
          </cell>
          <cell r="H3833" t="str">
            <v>HIDROMETRO ULTRASSONICO (CONTADOR DE LIQUIDOS) RESIDENCIAL COM CARCACA DE LATAO, DIAMETRO NOMINAL DE 20MM, COMPRIMENTO 190 MM, VAZAO DE 4 M3/H, R400 E SAIDA PULSADA,  COM PESO LIQUIDO UNITÁRIO APROXIMADO ENTRE 1,0 KG E 2,0 KG.</v>
          </cell>
        </row>
        <row r="3834">
          <cell r="B3834" t="str">
            <v>5636C70039</v>
          </cell>
          <cell r="C3834" t="str">
            <v>5636C70039</v>
          </cell>
          <cell r="E3834">
            <v>90282010</v>
          </cell>
          <cell r="F3834" t="str">
            <v>Not applicable</v>
          </cell>
          <cell r="G3834">
            <v>90282010</v>
          </cell>
          <cell r="H3834" t="str">
            <v>HIDROMETRO ULTRASSONICO (CONTADOR DE LIQUIDOS) RESIDENCIAL COM CARCACA DE LATAO, DIAMETRO NOMINAL DE 25MM, COMPRIMENTO 260 MM, VAZAO DE 10 M3/H, R500 E SAIDA PULSADA,  COM PESO LIQUIDO UNITÁRIO APROXIMADO ENTRE 1,0 KG E 2,0 KG.</v>
          </cell>
        </row>
        <row r="3835">
          <cell r="B3835">
            <v>5638990039</v>
          </cell>
          <cell r="C3835">
            <v>5638990039</v>
          </cell>
          <cell r="E3835">
            <v>90282010</v>
          </cell>
          <cell r="F3835" t="str">
            <v>Not applicable</v>
          </cell>
          <cell r="G3835">
            <v>90282010</v>
          </cell>
          <cell r="H3835" t="str">
            <v>HIDROMETRO ULTRASSONICO (CONTADOR DE LIQUIDOS) RESIDENCIAL COM CARCACA DE LATAO, DIAMETRO NOMINAL DE 40MM, COMPRIMENTO 300 MM, VAZAO DE 16 M3/H, R250 E SAIDA PULSADA,  COM PESO LIQUIDO UNITÁRIO APROXIMADO ENTRE 2,0 KG E 3,0 KG.</v>
          </cell>
        </row>
        <row r="3836">
          <cell r="B3836" t="str">
            <v>5659C40039</v>
          </cell>
          <cell r="C3836" t="str">
            <v>5659C40039</v>
          </cell>
          <cell r="E3836">
            <v>90282010</v>
          </cell>
          <cell r="F3836" t="str">
            <v>Not applicable</v>
          </cell>
          <cell r="G3836">
            <v>90282010</v>
          </cell>
          <cell r="H3836" t="str">
            <v>HIDROMETRO ULTRASSONICO  (CONTADOR DE LIQUIDOS) INDUSTRIAL COM CARCACA DE FERRO FUNDIDO, DIAMETRO NOMINAL DE 50MM, COMPRIMENTO 200 MM, VAZAO DE 25 M3/H, R500 E COM SAIDA DE PULSO, COM PESO LIQUIDO UNITÁRIO APROXIMADO ENTRE 10,0 KG E 15,0 KG.</v>
          </cell>
        </row>
        <row r="3837">
          <cell r="B3837" t="str">
            <v>565AC80039</v>
          </cell>
          <cell r="C3837" t="str">
            <v>565AC80039</v>
          </cell>
          <cell r="E3837">
            <v>90282010</v>
          </cell>
          <cell r="F3837" t="str">
            <v>Not applicable</v>
          </cell>
          <cell r="G3837">
            <v>90282010</v>
          </cell>
          <cell r="H3837" t="str">
            <v>HIDROMETRO ULTRASSONICO  (CONTADOR DE LIQUIDOS) INDUSTRIAL COM CARCACA DE FERRO FUNDIDO, DIAMETRO NOMINAL DE 50MM, COMPRIMENTO 270 MM, VAZAO DE 40 M3/H, R500 E COM SAIDA DE PULSO, COM PESO LIQUIDO UNITÁRIO APROXIMADO ENTRE 10,0 KG E 15,0 KG.</v>
          </cell>
        </row>
        <row r="3838">
          <cell r="B3838" t="str">
            <v>565BB90039</v>
          </cell>
          <cell r="C3838" t="str">
            <v>565BB90039</v>
          </cell>
          <cell r="E3838">
            <v>90282010</v>
          </cell>
          <cell r="F3838" t="str">
            <v>Not applicable</v>
          </cell>
          <cell r="G3838">
            <v>90282010</v>
          </cell>
          <cell r="H3838" t="str">
            <v>HIDROMETRO ULTRASSONICO  (CONTADOR DE LIQUIDOS) INDUSTRIAL COM CARCACA DE FERRO FUNDIDO, DIAMETRO NOMINAL DE 80MM, COMPRIMENTO 300 MM, VAZAO DE 63 M3/H, R400 E COM SAIDA DE PULSO, COM PESO LIQUIDO UNITÁRIO APROXIMADO ENTRE 10,0 KG E 15,0 KG.</v>
          </cell>
        </row>
        <row r="3839">
          <cell r="B3839" t="str">
            <v>565CCB0039</v>
          </cell>
          <cell r="C3839" t="str">
            <v>565CCB0039</v>
          </cell>
          <cell r="E3839">
            <v>90282010</v>
          </cell>
          <cell r="F3839" t="str">
            <v>Not applicable</v>
          </cell>
          <cell r="G3839">
            <v>90282010</v>
          </cell>
          <cell r="H3839" t="str">
            <v>HIDROMETRO ULTRASSONICO  (CONTADOR DE LIQUIDOS) INDUSTRIAL COM CARCACA DE FERRO FUNDIDO, DIAMETRO NOMINAL DE 100MM, COMPRIMENTO 360 MM, VAZAO DE 100 M3/H, R500 E COM SAIDA DE PULSO, COM PESO LIQUIDO UNITÁRIO APROXIMADO ENTRE 20,0 KG E 30,0 KG.</v>
          </cell>
        </row>
        <row r="3840">
          <cell r="B3840" t="str">
            <v>565DC90039</v>
          </cell>
          <cell r="C3840" t="str">
            <v>565DC90039</v>
          </cell>
          <cell r="E3840">
            <v>90282010</v>
          </cell>
          <cell r="F3840" t="str">
            <v>Not applicable</v>
          </cell>
          <cell r="G3840">
            <v>90282010</v>
          </cell>
          <cell r="H3840" t="str">
            <v>HIDROMETRO ULTRASSONICO  (CONTADOR DE LIQUIDOS) INDUSTRIAL COM CARCACA DE FERRO FUNDIDO, DIAMETRO NOMINAL DE 150MM, COMPRIMENTO 300 MM, VAZAO DE 250 M3/H, R500 E COM SAIDA DE PULSO, COM PESO LIQUIDO UNITÁRIO APROXIMADO ENTRE 20,0 KG E 30,0 KG.</v>
          </cell>
        </row>
        <row r="3841">
          <cell r="B3841" t="str">
            <v>5636C70020</v>
          </cell>
          <cell r="C3841" t="str">
            <v>5636C70020</v>
          </cell>
          <cell r="E3841">
            <v>90282010</v>
          </cell>
          <cell r="F3841" t="str">
            <v>Not applicable</v>
          </cell>
          <cell r="G3841">
            <v>90282010</v>
          </cell>
          <cell r="H3841" t="str">
            <v>HIDROMETRO ULTRASSONICO (CONTADOR DE LIQUIDOS) RESIDENCIAL COM CARCACA DE LATAO, DIAMETRO NOMINAL DE 25MM, COMPRIMENTO 260 MM, VAZAO DE 10 M3/H, R500 E SAIDA PULSADA,  COM PESO LIQUIDO UNITÁRIO APROXIMADO ENTRE 1,0 KG E 2,0 KG.</v>
          </cell>
        </row>
        <row r="3842">
          <cell r="B3842">
            <v>5638990020</v>
          </cell>
          <cell r="C3842">
            <v>5638990020</v>
          </cell>
          <cell r="E3842">
            <v>90282010</v>
          </cell>
          <cell r="F3842" t="str">
            <v>Not applicable</v>
          </cell>
          <cell r="G3842">
            <v>90282010</v>
          </cell>
          <cell r="H3842" t="str">
            <v>HIDROMETRO ULTRASSONICO (CONTADOR DE LIQUIDOS) RESIDENCIAL COM CARCACA DE LATAO, DIAMETRO NOMINAL DE 40MM, COMPRIMENTO 300 MM, VAZAO DE 16 M3/H, R250 E SAIDA PULSADA,  COM PESO LIQUIDO UNITÁRIO APROXIMADO ENTRE 2,0 KG E 3,0 KG.</v>
          </cell>
        </row>
        <row r="3843">
          <cell r="B3843" t="str">
            <v>565AC40020</v>
          </cell>
          <cell r="C3843" t="str">
            <v>565AC40020</v>
          </cell>
          <cell r="E3843">
            <v>90282010</v>
          </cell>
          <cell r="F3843" t="str">
            <v>Not applicable</v>
          </cell>
          <cell r="G3843">
            <v>90282010</v>
          </cell>
          <cell r="H3843" t="str">
            <v>HIDROMETRO ULTRASSONICO  (CONTADOR DE LIQUIDOS) INDUSTRIAL COM CARCACA DE FERRO FUNDIDO, DIAMETRO NOMINAL DE 50MM, COMPRIMENTO 200 MM, VAZAO DE 40 M3/H, R500 E COM SAIDA DE PULSO, COM PESO LIQUIDO UNITÁRIO APROXIMADO ENTRE 10,0 KG E 15,0 KG.</v>
          </cell>
        </row>
        <row r="3844">
          <cell r="B3844" t="str">
            <v>565BC50020</v>
          </cell>
          <cell r="C3844" t="str">
            <v>565BC50020</v>
          </cell>
          <cell r="E3844">
            <v>90282010</v>
          </cell>
          <cell r="F3844" t="str">
            <v>Not applicable</v>
          </cell>
          <cell r="G3844">
            <v>90282010</v>
          </cell>
          <cell r="H3844" t="str">
            <v>HIDROMETRO ULTRASSONICO  (CONTADOR DE LIQUIDOS) INDUSTRIAL COM CARCACA DE FERRO FUNDIDO, DIAMETRO NOMINAL DE 80MM, COMPRIMENTO 225 MM, VAZAO DE 63 M3/H, R500 E COM SAIDA DE PULSO, COM PESO LIQUIDO UNITÁRIO APROXIMADO ENTRE 10,0 KG E 15,0 KG.</v>
          </cell>
        </row>
        <row r="3845">
          <cell r="B3845" t="str">
            <v>565CC60020</v>
          </cell>
          <cell r="C3845" t="str">
            <v>565CC60020</v>
          </cell>
          <cell r="E3845">
            <v>90282010</v>
          </cell>
          <cell r="F3845" t="str">
            <v>Not applicable</v>
          </cell>
          <cell r="G3845">
            <v>90282010</v>
          </cell>
          <cell r="H3845" t="str">
            <v>HIDROMETRO ULTRASSONICO  (CONTADOR DE LIQUIDOS) INDUSTRIAL COM CARCACA DE FERRO FUNDIDO, DIAMETRO NOMINAL DE 100MM, COMPRIMENTO 250 MM, VAZAO DE 100 M3/H, R500 E COM SAIDA DE PULSO, COM PESO LIQUIDO UNITÁRIO APROXIMADO ENTRE 20,0 KG E 30,0 KG.</v>
          </cell>
        </row>
        <row r="3846">
          <cell r="B3846" t="str">
            <v>565DC90020</v>
          </cell>
          <cell r="C3846" t="str">
            <v>565DC90020</v>
          </cell>
          <cell r="E3846">
            <v>90282010</v>
          </cell>
          <cell r="F3846" t="str">
            <v>Not applicable</v>
          </cell>
          <cell r="G3846">
            <v>90282010</v>
          </cell>
          <cell r="H3846" t="str">
            <v>HIDROMETRO ULTRASSONICO  (CONTADOR DE LIQUIDOS) INDUSTRIAL COM CARCACA DE FERRO FUNDIDO, DIAMETRO NOMINAL DE 150MM, COMPRIMENTO 300 MM, VAZAO DE 250 M3/H, R500 E COM SAIDA DE PULSO, COM PESO LIQUIDO UNITÁRIO APROXIMADO ENTRE 20,0 KG E 30,0 KG.</v>
          </cell>
        </row>
        <row r="3847">
          <cell r="B3847">
            <v>5210100840</v>
          </cell>
          <cell r="C3847">
            <v>5210100840</v>
          </cell>
          <cell r="E3847">
            <v>90289090</v>
          </cell>
          <cell r="F3847" t="str">
            <v>Need to update benefit</v>
          </cell>
          <cell r="G3847">
            <v>90289090</v>
          </cell>
          <cell r="H3847" t="str">
            <v>TRANSDUTOR PIEZOELETRICO 4 MHz PARTE PARA MONTAGEM EM HIDROMETROS (CONTADORES DE LIQUIDO) INDUSTRIAIS.</v>
          </cell>
        </row>
        <row r="3848">
          <cell r="B3848">
            <v>2050501951</v>
          </cell>
          <cell r="C3848">
            <v>2050501951</v>
          </cell>
          <cell r="E3848">
            <v>85423221</v>
          </cell>
          <cell r="G3848">
            <v>85423221</v>
          </cell>
          <cell r="H3848" t="str">
            <v>Circuito Integrado (CI) Eletronicos de memória EEPROM montados, próprias para montagem em superfície SMD, dos tipos RAM estatica com tempo de acesso rápido e de tensão de 1.7~5.5V, capacidade de memória 256Kb, comunicação IIC, encapsulamento SOP8 (150mil)</v>
          </cell>
        </row>
        <row r="3849">
          <cell r="B3849">
            <v>7029901210</v>
          </cell>
          <cell r="C3849">
            <v>7029901210</v>
          </cell>
          <cell r="E3849">
            <v>90251990</v>
          </cell>
          <cell r="G3849">
            <v>90251990</v>
          </cell>
          <cell r="H3849" t="str">
            <v>Dispositivo de medição de temperatura modelo KIC 2000, com 9 canais de entrada para sensores termopar. Faixa de medição de –150 °C a 1050 °C, precisão de ±0,5 °C. Acompanha 50 cabos sensores de temperatura. Equipamento utilizado para testes de perfil térmico em fornos de refusão (reflow) em linhas de produção SMT (Surface Mount Technology), permitindo o monitoramento da curva de temperatura em tempo real. Aplicação essencial no controle de processos de soldagem em placas eletrônicas.</v>
          </cell>
        </row>
        <row r="3850">
          <cell r="B3850">
            <v>2020303211</v>
          </cell>
          <cell r="C3850">
            <v>2020303211</v>
          </cell>
          <cell r="E3850">
            <v>85322200</v>
          </cell>
          <cell r="G3850">
            <v>85322200</v>
          </cell>
          <cell r="H3850" t="str">
            <v>CAPACITOR (CONDENSADOR ELETRICO FIXO) ELETROLITICO DE ALUMINIO PARA MONTAGEM PTH; CAPACITENCIA 22UF; TENSÃO NOMINAL 400VDC; TOLERANCIA 20%; TERMINAL RADIAL; DIAMETRO 5MM; COMPRIMENTO 20MM</v>
          </cell>
        </row>
        <row r="3851">
          <cell r="B3851">
            <v>3024509440</v>
          </cell>
          <cell r="C3851">
            <v>3024509440</v>
          </cell>
          <cell r="E3851">
            <v>90289010</v>
          </cell>
          <cell r="G3851">
            <v>90289010</v>
          </cell>
          <cell r="H3851" t="str">
            <v>Conjunto de invólucro para o modelo Pantheon DR com grau de proteção IP68, destinada à acomodação e proteção de componentes de medição elétrica. Fabricada em material resistente à corrosão, com vedação contra poeira e umidade. Classificada como parte e acessório de contador de eletricidade.</v>
          </cell>
        </row>
        <row r="3852">
          <cell r="B3852" t="str">
            <v>3011102210L</v>
          </cell>
          <cell r="C3852" t="str">
            <v>3011102210L</v>
          </cell>
          <cell r="E3852">
            <v>90289010</v>
          </cell>
          <cell r="G3852">
            <v>90289010</v>
          </cell>
          <cell r="H3852" t="str">
            <v>Juntas impermeáveis para o modelo Pantheon DR, com grau de vedação IP68. Fabricadas em material de silicone de alta resistência, garantem vedação contra poeira e umidade em equipamentos de medição elétrica. Classificadas como parte e acessório de contador de eletricidade.</v>
          </cell>
        </row>
        <row r="3853">
          <cell r="B3853">
            <v>4020218950</v>
          </cell>
          <cell r="C3853">
            <v>4020218950</v>
          </cell>
          <cell r="E3853">
            <v>85159000</v>
          </cell>
          <cell r="G3853">
            <v>85159000</v>
          </cell>
          <cell r="H3853" t="str">
            <v>SONOTRODO DE DURALUMINIO, FREQUENCIA 15 KHZ, USADO COMO FERRAMENTA DE SOLDAGEM PARA MAQUINA DE SOLDA POR ULTRASSOM INDUSTRIAL, CODIGO 4020218950.</v>
          </cell>
        </row>
        <row r="3854">
          <cell r="B3854">
            <v>4020218960</v>
          </cell>
          <cell r="C3854">
            <v>4020218960</v>
          </cell>
          <cell r="E3854">
            <v>85159000</v>
          </cell>
          <cell r="G3854">
            <v>85159000</v>
          </cell>
          <cell r="H3854" t="str">
            <v>BERCO USINADO EM BLOCO ÚNICO DE DURALUMÍNIO, UTILIZADO COMO SUPORTE PARA SOLDAGEM ULTRASSONICA DE SUPERFICIE EM MAQUINA DE SOLDA POR ULTRASSOM INDUSTRIAL, REF. 4020218960.</v>
          </cell>
        </row>
        <row r="3855">
          <cell r="B3855">
            <v>4032501600</v>
          </cell>
          <cell r="C3855">
            <v>4032501600</v>
          </cell>
          <cell r="E3855">
            <v>90318099</v>
          </cell>
          <cell r="G3855">
            <v>90318099</v>
          </cell>
          <cell r="H3855" t="str">
            <v>DISPOSITIVO DE TESTE, ACRILICO TRANSPARENTE H20510MM, COM PLACA DE COMUNICACAO, FONTE DE ALIMENTACAO COMUTADA DE 12 V, 232 A 485 PARA VALIDACAO FUNCIONAL DOS MODULOS DE MEDICAO DE ENERGIA. (REF.: 4032501600)</v>
          </cell>
        </row>
        <row r="3856">
          <cell r="B3856">
            <v>4030400680</v>
          </cell>
          <cell r="C3856">
            <v>4030400680</v>
          </cell>
          <cell r="E3856">
            <v>85369090</v>
          </cell>
          <cell r="G3856">
            <v>85369090</v>
          </cell>
          <cell r="H3856" t="str">
            <v>SOQUETE DE TENSAO 120V A 240V PARA CONEXAO DE CIRCUITO ELETRICO PARA PROGRAMACAO DE FIRMWARE UHD-G80F924-QF64 EM MEDIDORES DE ENERGIA ELÉTRICA (REF.4030400680)</v>
          </cell>
        </row>
        <row r="3857">
          <cell r="B3857">
            <v>4030413740</v>
          </cell>
          <cell r="C3857">
            <v>4030413740</v>
          </cell>
          <cell r="E3857">
            <v>85369090</v>
          </cell>
          <cell r="G3857">
            <v>85369090</v>
          </cell>
          <cell r="H3857" t="str">
            <v>SOQUETE DE TENSAO 120V A 240V PARA CONEXAO DE CIRCUITO ELETRICO PARA PROGRAMACAO DE FIRMWARE HD-R5F10X-SS30 EM MEDIDORES DE ENERGIA ELETRICA (REF.4030413740)</v>
          </cell>
        </row>
        <row r="3858">
          <cell r="B3858">
            <v>4020603600</v>
          </cell>
          <cell r="C3858">
            <v>4020603600</v>
          </cell>
          <cell r="E3858">
            <v>39269090</v>
          </cell>
          <cell r="G3858">
            <v>39269090</v>
          </cell>
          <cell r="H3858" t="str">
            <v>SUPORTE PLÁSTICO UTILIZADO EM BANCADA DE TESTES/CALIBRAÇÃO DE MEDIDORES MONOFÁSICOS DE ENERGIA ELÉTRICA, DESTINADO À FIXAÇÃO FÍSICA DO EQUIPAMENTO DURANTE ENSAIOS. (4020603600)</v>
          </cell>
        </row>
        <row r="3859">
          <cell r="B3859">
            <v>4020611920</v>
          </cell>
          <cell r="C3859">
            <v>4020611920</v>
          </cell>
          <cell r="E3859">
            <v>90309090</v>
          </cell>
          <cell r="G3859">
            <v>90309090</v>
          </cell>
          <cell r="H3859" t="str">
            <v>PLACA ELETRÔNICA UTILIZADA NOS GERADORES DE SINAL DAS BANCADAS DE CALIBRAÇÃO PARA AJUSTE/CONTROLE DO RELÓGIO (RTC) DOS MEDIDORES ELETRÔNICOS. (4020611920)</v>
          </cell>
        </row>
        <row r="3860">
          <cell r="B3860">
            <v>4020211860</v>
          </cell>
          <cell r="C3860">
            <v>4020211860</v>
          </cell>
          <cell r="E3860">
            <v>90309090</v>
          </cell>
          <cell r="G3860">
            <v>90309090</v>
          </cell>
          <cell r="H3860" t="str">
            <v>PLACA CONVERSORA DE COMUNICAÇÃO RS232 UTILIZADA COMO ACESSÓRIO DE BANCADA DE ENDEREÇAMENTO/TESTES, PARA INTERFACE ENTRE MEDIDOR DE ENERGIA E SOFTWARE DE TESTE. (4020211860)</v>
          </cell>
        </row>
        <row r="3861">
          <cell r="B3861">
            <v>4020611930</v>
          </cell>
          <cell r="C3861">
            <v>4020611930</v>
          </cell>
          <cell r="E3861">
            <v>90309090</v>
          </cell>
          <cell r="G3861">
            <v>90309090</v>
          </cell>
          <cell r="H3861" t="str">
            <v>PLACA ELETRÔNICA GPCB112A.PCB UTILIZADA NAS BANCADAS DE VERIFICAÇÃO, DESTINADA À AMPLIFICAÇÃO DE SINAIS ELÉTRICOS PROVENIENTES DOS AMPLIFICADORES. PARTE ELETRÔNICA DE EQUIPAMENTO DE TESTE. (4020611930)</v>
          </cell>
        </row>
        <row r="3862">
          <cell r="B3862">
            <v>4020600290</v>
          </cell>
          <cell r="C3862">
            <v>4020600290</v>
          </cell>
          <cell r="E3862">
            <v>90309090</v>
          </cell>
          <cell r="G3862">
            <v>90309090</v>
          </cell>
          <cell r="H3862" t="str">
            <v>PLACA ELETRÔNICA GPCB114B.PCB UTILIZADA NAS BANCADAS DE VERIFICAÇÃO, DESTINADA À AMPLIFICAÇÃO DE SINAIS ELÉTRICOS PROVENIENTES DOS AMPLIFICADORES. PARTE ELETRÔNICA DE EQUIPAMENTO DE TESTE. (4020600290)</v>
          </cell>
        </row>
        <row r="3863">
          <cell r="B3863">
            <v>4020600310</v>
          </cell>
          <cell r="C3863">
            <v>4020600310</v>
          </cell>
          <cell r="E3863">
            <v>90309090</v>
          </cell>
          <cell r="G3863">
            <v>90309090</v>
          </cell>
          <cell r="H3863" t="str">
            <v>PLACA ELETRÔNICA GPCB112A.PCB UTILIZADA NAS BANCADAS DE VERIFICAÇÃO, DESTINADA À AMPLIFICAÇÃO DE SINAIS ELÉTRICOS PROVENIENTES DOS AMPLIFICADORES. PARTE ELETRÔNICA DE EQUIPAMENTO DE TESTE. (4020600310)</v>
          </cell>
        </row>
        <row r="3864">
          <cell r="B3864">
            <v>4020600300</v>
          </cell>
          <cell r="C3864">
            <v>4020600300</v>
          </cell>
          <cell r="E3864">
            <v>90309090</v>
          </cell>
          <cell r="G3864">
            <v>90309090</v>
          </cell>
          <cell r="H3864" t="str">
            <v>PLACA ELETRÔNICA GPCB112A.PCB UTILIZADA NAS BANCADAS DE VERIFICAÇÃO, DESTINADA À AMPLIFICAÇÃO DE SINAIS ELÉTRICOS PROVENIENTES DOS AMPLIFICADORES. PARTE ELETRÔNICA DE EQUIPAMENTO DE TESTE. (4020600300)</v>
          </cell>
        </row>
        <row r="3865">
          <cell r="B3865">
            <v>4020309140</v>
          </cell>
          <cell r="C3865">
            <v>4020309140</v>
          </cell>
          <cell r="E3865">
            <v>85159000</v>
          </cell>
          <cell r="G3865">
            <v>85159000</v>
          </cell>
          <cell r="H3865" t="str">
            <v>TRANSDUTOR ULTRASSÔNICO DE 20KHZ, UTILIZADO COMO ACESSÓRIO DE MÁQUINAS DE SOLDA POR ULTRASSOM, PARA CONVERTER ENERGIA ELÉTRICA EM ENERGIA MECÂNICA. PARTE DE EQUIPAMENTO INDUSTRIAL. (4020309140)</v>
          </cell>
        </row>
        <row r="3866">
          <cell r="B3866">
            <v>4030602100</v>
          </cell>
          <cell r="C3866">
            <v>4030602100</v>
          </cell>
          <cell r="E3866">
            <v>73269090</v>
          </cell>
          <cell r="G3866">
            <v>73269090</v>
          </cell>
          <cell r="H3866" t="str">
            <v>SUPORTE METÁLICA DE FERRO PARA FIXAÇÃO DE EQUIPAMENTO ELÉTRICO, PARA MODELO HLCX-A, 155 X 65 MM, 1 SET/CAIXA.</v>
          </cell>
        </row>
        <row r="3867">
          <cell r="B3867" t="str">
            <v>HXB8021Z.R310(1P2W)</v>
          </cell>
          <cell r="C3867" t="str">
            <v>HXB8021Z.R310(1P2W)</v>
          </cell>
          <cell r="E3867">
            <v>85389010</v>
          </cell>
          <cell r="F3867" t="str">
            <v>Not applicable</v>
          </cell>
          <cell r="G3867">
            <v>85389010</v>
          </cell>
          <cell r="H3867" t="str">
            <v xml:space="preserve">Placa de circuito impresso com componentes eletrônicos, montados, com função de controle e monitoramento de sinais elétricos medidos para medidor de energia elétrica monofásico a 2 fios: Medidor Zeus 8021 NG - 1P2W; 1%; S/Corrente Neutro; SU; c/ R; com interface CIU; --Only PCBA </v>
          </cell>
        </row>
        <row r="3868">
          <cell r="B3868" t="str">
            <v>HXB8021Z.R310(1P3W)</v>
          </cell>
          <cell r="C3868" t="str">
            <v>HXB8021Z.R310(1P3W)</v>
          </cell>
          <cell r="E3868">
            <v>85389010</v>
          </cell>
          <cell r="F3868" t="str">
            <v>Not applicable</v>
          </cell>
          <cell r="G3868">
            <v>85389010</v>
          </cell>
          <cell r="H3868" t="str">
            <v>Placa de circuito impresso com componentes eletrônicos, montados, com função de controle e monitoramento de sinais elétricos medidos para medidor de energia elétrica monofásico a 3 fios: Medidor Zeus 8021 NG - 1P3W; 1%; S/Corrente Neutro; SU; c/ R; com interface CIU; --Only PCBA</v>
          </cell>
        </row>
        <row r="3869">
          <cell r="B3869" t="str">
            <v>HXB8023Z.R310</v>
          </cell>
          <cell r="C3869" t="str">
            <v>HXB8023Z.R310</v>
          </cell>
          <cell r="E3869">
            <v>85389010</v>
          </cell>
          <cell r="F3869" t="str">
            <v>Not applicable</v>
          </cell>
          <cell r="G3869">
            <v>85389010</v>
          </cell>
          <cell r="H3869" t="str">
            <v>Placa de circuito impresso com componentes eletrônicos, montados, com função de controle e monitoramento de sinais elétricos medidos para medidor de energia elétrica bifásico a 3 fios: Medidor Zeus 8022 NG - 2P3W; 1%; S/Corrente Neutro; SU; c/ R; com interface CIU; --Only PCBA</v>
          </cell>
        </row>
        <row r="3870">
          <cell r="B3870" t="str">
            <v>HXB8023Z.R320</v>
          </cell>
          <cell r="C3870" t="str">
            <v>HXB8023Z.R320</v>
          </cell>
          <cell r="E3870">
            <v>85389010</v>
          </cell>
          <cell r="F3870" t="str">
            <v>Not applicable</v>
          </cell>
          <cell r="G3870">
            <v>85389010</v>
          </cell>
          <cell r="H3870" t="str">
            <v>Placa de circuito impresso com componentes eletrônicos, montados, com função de controle e monitoramento de sinais elétricos medidos para medidor de energia elétrica trifásico a 4 fios: Medidor Zeus 8023 NG - 3P4W; 1%; S/Corrente Neutro; SU; c/ R; com interface CIU; --Only PCBA</v>
          </cell>
        </row>
        <row r="3871">
          <cell r="B3871">
            <v>4010401080</v>
          </cell>
          <cell r="C3871">
            <v>4010401080</v>
          </cell>
          <cell r="E3871">
            <v>39231090</v>
          </cell>
          <cell r="F3871" t="str">
            <v>Not applicable</v>
          </cell>
          <cell r="G3871">
            <v>39231090</v>
          </cell>
          <cell r="H3871" t="str">
            <v>CAIXA DE MATERIAL DE PLASTICO, ANTIESTATICA (ESD), PARA ACOMODACAO E TRANSPORTE DE COMPONENTES ELETRONICOS TAMANHO: 600*500*320MM (4010401080)</v>
          </cell>
        </row>
        <row r="3872">
          <cell r="B3872" t="str">
            <v>5634C30001</v>
          </cell>
          <cell r="C3872" t="str">
            <v>5634C30001</v>
          </cell>
          <cell r="E3872">
            <v>90282010</v>
          </cell>
          <cell r="F3872" t="str">
            <v>Not applicable</v>
          </cell>
          <cell r="G3872">
            <v>90282010</v>
          </cell>
          <cell r="H3872" t="str">
            <v>HIDROMETRO ULTRASSONICO (CONTADOR DE LIQUIDOS) RESIDENCIAL COM CARCACA DE LATAO, DIAMETRO NOMINAL DE 20 MM, COMPRIMENTO 190 MM, R500, VAZAO DE 4 M3/H E SAIDA PULSADA, COM PESO LIQUIDO UNITARIO APROXIMADO ENTRE 0,5 KG E 2,0 KGS (ZLW20-4)</v>
          </cell>
        </row>
        <row r="3873">
          <cell r="B3873" t="str">
            <v>5633C20102</v>
          </cell>
          <cell r="C3873" t="str">
            <v>5633C20102</v>
          </cell>
          <cell r="E3873">
            <v>90282010</v>
          </cell>
          <cell r="F3873" t="str">
            <v>Not applicable</v>
          </cell>
          <cell r="G3873">
            <v>90282010</v>
          </cell>
          <cell r="H3873" t="str">
            <v>HIDROMETRO ULTRASSONICO (CONTADOR DE LIQUIDOS) RESIDENCIAL COM CARCACA DE COMPOSITE, DIAMETRO NOMINAL DE 15MM, COMPRIMENTO 165 MM, VAZAO DE 2,5 M3/H, R500 E SAIDA PULSADA (ZLW15-2), COM PESO LIQUIDO UNITARIO APROXIMADO ENTRE 0,5 KG E 2,0 KGS.</v>
          </cell>
        </row>
        <row r="3874">
          <cell r="B3874">
            <v>2150513870</v>
          </cell>
          <cell r="C3874">
            <v>2150513870</v>
          </cell>
          <cell r="E3874">
            <v>85340033</v>
          </cell>
          <cell r="F3874" t="str">
            <v>Not applicable</v>
          </cell>
          <cell r="G3874">
            <v>85340033</v>
          </cell>
          <cell r="H3874" t="str">
            <v>PLACA DE CIRCUITO IMPRESSO, DE NATUREZA DO MATERIAL BASE RÍGIDO, COMPOSIÇÃO DA PLACA DE ISOLANTE DE RESINA EPÓXIDA E TECIDO DE FIBRA DE VIDRO, ESTRUTURA DE DUPLA FACE E INTERLIGAÇÃO ENTRE FACES POR FUROS METALIZADOS; DIMENSOES 177.6mm x 193.0mm.</v>
          </cell>
        </row>
        <row r="3875">
          <cell r="B3875">
            <v>2150157000</v>
          </cell>
          <cell r="C3875">
            <v>2150157000</v>
          </cell>
          <cell r="E3875">
            <v>85340033</v>
          </cell>
          <cell r="F3875" t="str">
            <v>Not applicable</v>
          </cell>
          <cell r="G3875">
            <v>85340033</v>
          </cell>
          <cell r="H3875" t="str">
            <v>PLACA DE CIRCUITO IMPRESSO DE NATUREZA DO MATERIAL BASE RIGIDO, COMPOSICAO DA PLACA COM ISOLANTE DE RESINA EPOXIDA E TECIDO DE FIBRA DE VIDRO, ESTRUTURA DE DUPLA FACE, E INTERLIGACAO ENTRE FACES COM FUROS METALIZADOS, 2 213.23mmx138.11mmx1.6mm, 18 SEÇÕES, ROHS SMD</v>
          </cell>
        </row>
        <row r="3876">
          <cell r="B3876">
            <v>2020104720</v>
          </cell>
          <cell r="C3876">
            <v>2020104720</v>
          </cell>
          <cell r="E3876">
            <v>85322410</v>
          </cell>
          <cell r="F3876" t="str">
            <v>Not Applicable</v>
          </cell>
          <cell r="G3876">
            <v>85322410</v>
          </cell>
          <cell r="H3876" t="str">
            <v>CAPACITOR (CONDENSADOR ELETRICO FIXO) COM DIELETRICO DE CERAMICA, DE CAMADAS MULTIPLAS, PROPRIOS PARA MONTAGEM EM SUPERFÍCIE SMD; CAPACITANCIA 3.3NF; TENSAO NOMINAL 50VDC; TOLERANCIA 10POR CENTO; ENCAPSULAMENTO 0402</v>
          </cell>
        </row>
        <row r="3877">
          <cell r="B3877">
            <v>2020103980</v>
          </cell>
          <cell r="E3877">
            <v>85322310</v>
          </cell>
          <cell r="F3877" t="str">
            <v>Not applicable</v>
          </cell>
          <cell r="G3877">
            <v>85322310</v>
          </cell>
          <cell r="H3877" t="str">
            <v>CAPACITOR (CONDENSDOR ELETRICO FIXO) COM DIELETRICO DE CERAMICA DE UMA SO CAMADA PROPRIO PARA MONTAGEM EM SUPERFICIE SMD 100.0μF 20% 6.3V X5R 1206</v>
          </cell>
        </row>
        <row r="3878">
          <cell r="B3878">
            <v>5210200540</v>
          </cell>
          <cell r="C3878">
            <v>5210200540</v>
          </cell>
          <cell r="E3878">
            <v>73030000</v>
          </cell>
          <cell r="F3878" t="str">
            <v>Need to update benefit</v>
          </cell>
          <cell r="G3878">
            <v>73030000</v>
          </cell>
          <cell r="H3878" t="str">
            <v>TUBO DE FERRO FUNDIDO NAO DUCTIL, FLANGEADO, COM PINTURA DE ACABAMENTO EXTERNO EPOXI AZUL, NAO ALETADO NEM RANHURADO, MONTADO, PARA USO EM HIDROMETROS INDUSTRIAIS COM SECAO DE TRANSVERSAL DE DIAM. EXTERNO - 50mm E COMPRIMENTO do tubo DE 0.200m (FORMA DE TUBO -PONTA-PONTA), REVESTIMENTO INTERNO: TINTA EPOXI, REVESTIMENTO EXTERNO: TINTA EPOXI (5210200540).</v>
          </cell>
        </row>
        <row r="3879">
          <cell r="B3879">
            <v>5210200530</v>
          </cell>
          <cell r="D3879">
            <v>40242369</v>
          </cell>
          <cell r="E3879">
            <v>73030000</v>
          </cell>
          <cell r="F3879" t="str">
            <v>Need to update benefit</v>
          </cell>
          <cell r="H3879" t="str">
            <v>TUBO DE FERRO FUNDIDO NAO DUCTIL, FLANGEADO, COM PINTURA DE ACABAMENTO EXTERNO EPOXI AZUL, NAO ALETADO NEM RANHURADO, MONTADO, PARA USO EM HIDROMETROS INDUSTRIAIS COM SECAO DE TRANSVERSAL DE DIAMETRO EXTERNO - 100MM E COMPRIMENTO DO TUBO DE 0.250M (FORMA DE TUBO -PONTA-PONTA), REVESTIMENTO INTERNO: TINTA EPOXI, REVESTIMENTO EXTERNO: TINTA EPOXI.</v>
          </cell>
        </row>
        <row r="3880">
          <cell r="B3880">
            <v>3030300730</v>
          </cell>
          <cell r="C3880">
            <v>3030300730</v>
          </cell>
          <cell r="E3880">
            <v>73181500</v>
          </cell>
          <cell r="F3880" t="str">
            <v>Not applicable</v>
          </cell>
          <cell r="G3880">
            <v>73181500</v>
          </cell>
          <cell r="H3880" t="str">
            <v>PARAFUSO AUTOATARRAXANTE ST2.9x10MM DE MATERIA-PRIMA BASE EM ACO INOXIDAVEL, DE PROCESSO DE FABRICACAO POR USINAGEM, COM ACABAMENTO SUPERFICIAL ZINCADO NA COR XXXXX, P/ USO EM XXXX, CABECA CILINDRICA COM FENDA CRUZADA, CABECA PANELA PHILIPS E DIAMETRO DE 2,9MM</v>
          </cell>
        </row>
        <row r="3881">
          <cell r="B3881">
            <v>5210200510</v>
          </cell>
          <cell r="C3881">
            <v>5210200510</v>
          </cell>
          <cell r="D3881">
            <v>40242367</v>
          </cell>
          <cell r="E3881">
            <v>73030000</v>
          </cell>
          <cell r="F3881" t="str">
            <v>Need to update benefit</v>
          </cell>
          <cell r="H3881" t="str">
            <v>TUBO DE FERRO FUNDIDO NAO DuCTIL, FLANGEADO, COM PINTURA DE ACABAMENTO EXTERNO EPoXI AZUL, NAO ALETADO NEM RANHURADO,MONTADO, PARA USO EM HIDRoMETROS INDUSTRIAIS COM SEcAO DE TRANSVERSAL DE DIAM. EXTERNO  -50mm E COMPRIMENTO do tubo DE 0.200m (FORMA DE TUBO -PONTA-PONTA), REVESTIMENTO INTERNO: TINTA EPoXI, REVESTIMENTO EXTERNO: TINTA EPoXI (5210200510).</v>
          </cell>
        </row>
        <row r="3882">
          <cell r="B3882">
            <v>4020800200</v>
          </cell>
          <cell r="C3882">
            <v>4020800200</v>
          </cell>
          <cell r="E3882">
            <v>85159000</v>
          </cell>
          <cell r="F3882" t="str">
            <v>Not applicable</v>
          </cell>
          <cell r="G3882">
            <v>85159000</v>
          </cell>
          <cell r="H3882" t="str">
            <v>Partes e peças para máquinas e aparelhos de solda, núcleo de aquecimento modelo 203, 60W, para ferro de solda QK203 (Changzhou Quick)</v>
          </cell>
        </row>
        <row r="3883">
          <cell r="B3883">
            <v>4020800210</v>
          </cell>
          <cell r="C3883">
            <v>4020800210</v>
          </cell>
          <cell r="E3883">
            <v>85159000</v>
          </cell>
          <cell r="F3883" t="str">
            <v>Not applicable</v>
          </cell>
          <cell r="G3883">
            <v>85159000</v>
          </cell>
          <cell r="H3883" t="str">
            <v>PARTES E PEÇAS PARA MÁQUINAS E APARELHOS DE SOLDA, SENSOR DE TEMPERATURA, MODELO 203, 60W, PARA FERRO DE SOLDA QK203 (CHANGZHOU QUICK)</v>
          </cell>
        </row>
        <row r="3884">
          <cell r="B3884">
            <v>4020805440</v>
          </cell>
          <cell r="C3884">
            <v>4020805440</v>
          </cell>
          <cell r="E3884">
            <v>85159000</v>
          </cell>
          <cell r="F3884" t="str">
            <v>Not applicable</v>
          </cell>
          <cell r="G3884">
            <v>85159000</v>
          </cell>
          <cell r="H3884" t="str">
            <v>PARTES E PEÇAS PARA MÁQUINAS E APARELHOS DE SOLDA, NÚCLEO DE AQUECIMENTO, MODELO 203, 90W, PARA FERRO DE SOLDA QK203H (CHANGZHOU QUICK)</v>
          </cell>
        </row>
        <row r="3885">
          <cell r="B3885">
            <v>4020800180</v>
          </cell>
          <cell r="C3885">
            <v>4020800180</v>
          </cell>
          <cell r="E3885">
            <v>85159000</v>
          </cell>
          <cell r="F3885" t="str">
            <v>Not applicable</v>
          </cell>
          <cell r="G3885">
            <v>85159000</v>
          </cell>
          <cell r="H3885" t="str">
            <v>PARTE DE MÁQUINA/APARELHO DE SOLDA ELÉTRICA – CABO/EMPUNHADURA DO FERRO DE SOLDA, MODELO QK203, POTÊNCIA 60W, ORIGINAL CHANGZHOU QUICK. UTILIZADO COMO ACESSÓRIO DE REPOSIÇÃO, DESTINADO A ABRIGAR O NÚCLEO DE AQUECIMENTO, O SENSOR DE TEMPERATURA E A PONTA DE SOLDA, GARANTINDO O CORRETO FUNCIONAMENTO DO EQUIPAMENTO.</v>
          </cell>
        </row>
        <row r="3886">
          <cell r="B3886">
            <v>4020802420</v>
          </cell>
          <cell r="C3886">
            <v>4020802420</v>
          </cell>
          <cell r="E3886">
            <v>85159000</v>
          </cell>
          <cell r="F3886" t="str">
            <v>Not applicable</v>
          </cell>
          <cell r="G3886">
            <v>85159000</v>
          </cell>
          <cell r="H3886" t="str">
            <v>PARTE DE MÁQUINA/APARELHO PARA SOLDAR – CABO/EMPUNHADURA DO FERRO DE SOLDA, MODELO QK203H, POTÊNCIA 90W, ORIGINAL CHANGZHOU QUICK, UTILIZADO COMO REPOSIÇÃO PARA ABRIGAR NÚCLEO DE AQUECIMENTO, SENSOR DE TEMPERATURA E PONTA DE SOLDA</v>
          </cell>
        </row>
        <row r="3887">
          <cell r="B3887">
            <v>4020800260</v>
          </cell>
          <cell r="C3887">
            <v>4020800260</v>
          </cell>
          <cell r="E3887">
            <v>85159000</v>
          </cell>
          <cell r="F3887" t="str">
            <v>Not applicable</v>
          </cell>
          <cell r="G3887">
            <v>85159000</v>
          </cell>
          <cell r="H3887" t="str">
            <v>SUPORTE/PROTEÇÃO PARA FERRO DE SOLDA DE DIMENSÕES Φ9.5MM × 44MM ACESSÓRIO DE REPOSIÇÃO PROJETADO PARA OS FERROS DE SOLDA DA LINHA QK203 (CHANGZHOU QUICK). SUA FUNÇÃO É PROTEGER O CONJUNTO DE AQUECIMENTO E A PONTA DE SOLDA, ALÉM DE AUXILIAR NA FIXAÇÃO ESTÁVEL DA PONTA, GARANTINDO SEGURANÇA E DURABILIDADE DURANTE O USO. (4020802420)</v>
          </cell>
        </row>
        <row r="3888">
          <cell r="B3888">
            <v>4010210610</v>
          </cell>
          <cell r="C3888">
            <v>4010210610</v>
          </cell>
          <cell r="E3888">
            <v>39211900</v>
          </cell>
          <cell r="F3888" t="str">
            <v>Not applicable</v>
          </cell>
          <cell r="G3888">
            <v>39211900</v>
          </cell>
          <cell r="H3888" t="str">
            <v>ESPONJA DE CELULOSE (PASTA DE MADEIRA), DENSIDADE APROXIMADA 50 G/CM³, FORMATO QUADRADO 60 X 60 MM, ESPESSURA EXPANDIDA 7 MM, COM PROPRIEDADE RETARDANTE DE CHAMA, DESTINADA À LIMPEZA DE PONTEIRAS DE FERRO DE SOLDA EM PROCESSOS DE SOLDAGEM ELETRÔNICA. (4010210610)</v>
          </cell>
        </row>
        <row r="3889">
          <cell r="B3889">
            <v>7020603160</v>
          </cell>
          <cell r="C3889">
            <v>7020603160</v>
          </cell>
          <cell r="E3889">
            <v>90312090</v>
          </cell>
          <cell r="F3889" t="str">
            <v>Not applicable</v>
          </cell>
          <cell r="G3889">
            <v>90312090</v>
          </cell>
          <cell r="H3889" t="str">
            <v>BANCADA DE ENSAIO PARA TESTE METROLOGICO DE MEDIDORES DE ENERGIA TRIFASICOS; 24 POSICÕES, CLASSE 0,05 (7020603160)</v>
          </cell>
        </row>
        <row r="3890">
          <cell r="B3890">
            <v>7020603150</v>
          </cell>
          <cell r="C3890">
            <v>7020603150</v>
          </cell>
          <cell r="E3890">
            <v>90312090</v>
          </cell>
          <cell r="F3890" t="str">
            <v>Not applicable</v>
          </cell>
          <cell r="G3890">
            <v>90312090</v>
          </cell>
          <cell r="H3890" t="str">
            <v>BANCADA DE ENSAIO PARA TESTE METROLOGICO DE MEDIDORES DE ENERGIA TRIFASICOS; 16 POSICOES, CLASSE 0,05 (7020603150)</v>
          </cell>
        </row>
        <row r="3891">
          <cell r="B3891">
            <v>7020603170</v>
          </cell>
          <cell r="C3891">
            <v>7020603170</v>
          </cell>
          <cell r="E3891">
            <v>90312090</v>
          </cell>
          <cell r="F3891" t="str">
            <v>Not applicable</v>
          </cell>
          <cell r="G3891">
            <v>90312090</v>
          </cell>
          <cell r="H3891" t="str">
            <v>BANCADA DE ENSAIO PARA TESTE FUNCIONAL DE MEDIDORES DE ENERGIA TRIFASICOS, COM 3 POSICOES COM ACIONAMENTO PNEUMÁTICO, COM CABECOTE PARA COMUNICACAO E ACOPLAMENTO ATIVO, COM COMPUTADOR INDUSTRIAL E SUPORTE PARA MONITOR, UTILIZADO PARA LIGAR O MEDIDOR, COMUNICAR E TESTAR SAIDA DE USUARIO. (7020603170)</v>
          </cell>
        </row>
        <row r="3892">
          <cell r="B3892">
            <v>7020603180</v>
          </cell>
          <cell r="C3892">
            <v>7020603180</v>
          </cell>
          <cell r="E3892">
            <v>90312090</v>
          </cell>
          <cell r="F3892" t="str">
            <v>Not applicable</v>
          </cell>
          <cell r="G3892">
            <v>90312090</v>
          </cell>
          <cell r="H3892" t="str">
            <v>BANCADA DE ENSAIO PARA TESTE FUNCIONAL DE MEDIDORES DE ENERGIA TRIFASICOS, COM 5 POSICOES COM ACIONAMENTO PNEUMATICO, COM CABECOTE PARA COMUNICACAO E ACOPLAMENTO ATIVO, COM COMPUTADOR INDUSTRIAL E SUPORTE PARA MONITOR, UTILIZADO PARA LIGAR O MEDIDOR, COMUNICAR E TESTAR SAIDA DE USUARIO. (7020603180)</v>
          </cell>
        </row>
        <row r="3893">
          <cell r="B3893">
            <v>9110910226</v>
          </cell>
          <cell r="C3893">
            <v>9110910226</v>
          </cell>
          <cell r="E3893">
            <v>39073019</v>
          </cell>
          <cell r="F3893" t="str">
            <v>Not applicable</v>
          </cell>
          <cell r="G3893">
            <v>39073019</v>
          </cell>
          <cell r="H3893" t="str">
            <v>S7532A-COMPOSTOS DE RESINAS (NAO PERIGOSA). EPOXIDA, EM FORMA PRIMARIA, PARA USO EM MEDIDORES DE AGUA (CONTADORES DE LIQUIDOS) RESIDENCIAIS.</v>
          </cell>
        </row>
        <row r="3894">
          <cell r="B3894">
            <v>9110910227</v>
          </cell>
          <cell r="C3894">
            <v>9110910227</v>
          </cell>
          <cell r="E3894">
            <v>29212990</v>
          </cell>
          <cell r="F3894" t="str">
            <v>Not applicable</v>
          </cell>
          <cell r="G3894">
            <v>29212990</v>
          </cell>
          <cell r="H3894" t="str">
            <v>S7532B-COMPOSTOS DE FUNCAO AMINA, LIQUIDA, CORROSIVA, POLIAMINA (POLIOXIPROPILENEDIAMINA), ENDURECEDOR EPOXI, 000112-24-3/TRIENTINA, PARA USO EM MEDIDORES DE AGUA (CONTADORES DE LIQUIDOS) RESIDENCIAIS.</v>
          </cell>
        </row>
        <row r="3895">
          <cell r="B3895" t="str">
            <v>HXD822.R210</v>
          </cell>
          <cell r="C3895" t="str">
            <v>HXD822.R210</v>
          </cell>
          <cell r="E3895">
            <v>85176294</v>
          </cell>
          <cell r="F3895" t="str">
            <v>Not applicable</v>
          </cell>
          <cell r="G3895">
            <v>85176294</v>
          </cell>
          <cell r="H3895" t="str">
            <v>MODULO DE COMUNICACAO BIDIRECIONAL EM DADOS SEM FIO (RECEPCAO, CONVERSAO E TRANSMISSAO), DIGITAL, EMISSOR DE RADIO FREQUENCIA COM RECEPTOR INCORPORADO, CAPAZ DE OPERAR NA FAIXA ISM DE FREQUENCIA 860MHZ-935MHZ, COM TAXA DE TRANSMISSAO DE 0,0768 MBIT/S (76,8 KBPS) ATE 0,9216 MBIT/S (921,6 BPS) NAS PORTAS SERIAIS, COM TRANSMISSAO DE VELOCIDADE NETWORK DE VELOCIDADE DE 10/100MPBS INTEGRADO COM PORTA BLUETOOTH, COM SEGUINTES PROTOCOLOS DE COMUNICACAO DNP3.0, LORA E MODBUS, ALIMENTACAO DE 24VDC. (HXD822.R210).</v>
          </cell>
        </row>
        <row r="3896">
          <cell r="B3896" t="str">
            <v>HXD811-F40.R120</v>
          </cell>
          <cell r="C3896" t="str">
            <v>HXD811-F40.R120</v>
          </cell>
          <cell r="E3896">
            <v>85371090</v>
          </cell>
          <cell r="F3896" t="str">
            <v>Not applicable</v>
          </cell>
          <cell r="G3896">
            <v>85371090</v>
          </cell>
          <cell r="H3896" t="str">
            <v>CONTROLADOR ELETRONICO MICROPROCESSADO PARA RELIGADOR TRIFASICO, EM CAIXA DE AÇO INOX, ALIMENTACAO FULL RANGE 95-265VAC (3P+T), COM TENSAO DE COMANDO 24VDC, EQUIPADO COM SENSOR DE ABERTURA DE PORTA, ACESSORIOS INTERNOS E FIRMWARE DEDICADO A OPERACAO DE MANOBRA DE REDES ELETRICAS DE MEDIA TENSAO, DESTINADO A INSTALACAO EXTERNA.</v>
          </cell>
        </row>
        <row r="3897">
          <cell r="B3897" t="str">
            <v>HXD811-F40.R210</v>
          </cell>
          <cell r="C3897" t="str">
            <v>HXD811-F40.R210</v>
          </cell>
          <cell r="E3897">
            <v>85371090</v>
          </cell>
          <cell r="F3897" t="str">
            <v>Not applicable</v>
          </cell>
          <cell r="G3897">
            <v>85371090</v>
          </cell>
          <cell r="H3897" t="str">
            <v>PAINEL DE CONTROLE ELETRONICO (ODIN-F40-BW.RC ) PARA RELIGADOR TRIFASICO, MONTADO EM CAIXA DE ACO INOXIDAVEL COM SUPORTE PARA FIXACAO TRASEIRA, CONTENDO FONTE DE ALIMENTACAO 3P+T FULL RANGE DE 95-265VAC (50/60HZ) E CIRCUITO DE COMANDO DE 24VDC, PROJETADO PARA USO EXTERNO EM REDES DE MEDIA TENSAO. EQUIPADO COM SENSOR DE ABERTURA DE PORTA E ACESSORIOS INTERNOS PARA INTEGRAÇÃO COM RELE BECHWITH.</v>
          </cell>
        </row>
        <row r="3898">
          <cell r="B3898" t="str">
            <v xml:space="preserve">MXNXL4ENNNNNNSEBESUN </v>
          </cell>
          <cell r="C3898" t="str">
            <v xml:space="preserve">MXNXL4ENNNNNNSEBESUN </v>
          </cell>
          <cell r="E3898">
            <v>85176277</v>
          </cell>
          <cell r="F3898" t="str">
            <v>Not applicable</v>
          </cell>
          <cell r="G3898">
            <v>85176277</v>
          </cell>
          <cell r="H3898" t="str">
            <v>APARELHO DIGITAL PARA RECEPCAO, CONVERSAO, TRANSMISSAO OU REGENERACAO DE VOZ OU OUTROS DADOS, COM FUNCAO DE COMUTACAO E ROTEAMENTO, OPERANDO EM FAIXAS DE FREQUENCIA LICENCIADAS DE 135 A 960 MHz (INCLUINDO 330–406 MHz) E NAO LICENCIADAS (902–928 MHz FHSS), COM INTERFACE WI-FI (IEEE 802.11 b/g/n), 4 PORTAS ETHERNET, 2 PORTAS SERIAIS, TAXA DE TRANSMISSAO DE ATE 240 Kbps (BANDA ESTREITA - NARROWBAND), ATE 1,25 Mbps (900 MHz FHSS) E ATE 100 Mbps (WI-FI/ETHERNET), MODULACOES: QPSK, 16QAM, 32QAM, 64QAM + 3FSK, 7FSK, POTENCIA DE TRANSMISSAO: ATE 10 WATTS, PARA COMUNICACAO ( RECEPCAO, CONVERSAO E TRANSMISSAO) DE DADOS POR REDE SEM FIO (WLAN), DIGITAL, COM TEMPERATURA DE OPERACAO DE –40 A +70 GRAUS CELSIUS, UMIDADE RELATIVA ATE 95PCT A 60oC, MODELO MCR, MARCA GE (MDS ORBIT)) (MXNXL4ENNNNNNS3BESUNN).</v>
          </cell>
        </row>
        <row r="3899">
          <cell r="B3899">
            <v>7020603090</v>
          </cell>
          <cell r="C3899">
            <v>7020603090</v>
          </cell>
          <cell r="E3899">
            <v>90312090</v>
          </cell>
          <cell r="F3899" t="str">
            <v>Not applicable</v>
          </cell>
          <cell r="G3899">
            <v>90312090</v>
          </cell>
          <cell r="H3899" t="str">
            <v>BANCADA DE ENSAIO DE ESTANQUEIDADE , DESTINADA A VERIFICACAO DA RESISTENCIA A PRESSAO E DETECCAO DE VAZAMENTOS EM HIDROMETROS RESIDENCIAIS (CONTADORES DE LIQUIDOS), COM DIAMETRO NOMINAL ENTRE DN15 A DN40, EQUIPADA COM BOMBA ELETRICA PARA AUMENTO DE PRESSAO, TANQUE DE AGUA INCORPORADO, PRESSAO MAXIMA ADMISSIVEL DE ATE 60 BAR, UTILIZANDO AGUA POTAVEL COMO FLUIDO DE TESTE, COM TRAVA DE SEGURANCA.</v>
          </cell>
        </row>
        <row r="3900">
          <cell r="B3900" t="str">
            <v>5634C30201</v>
          </cell>
          <cell r="E3900">
            <v>90282010</v>
          </cell>
          <cell r="G3900">
            <v>90282010</v>
          </cell>
          <cell r="H3900" t="str">
            <v>HIDROMETRO ULTRASSONICO (CONTADOR DE LIQUIDOS) RESIDENCIAL COM CARCACA DE LATAO, DIAMETRO NOMINAL DE 20 MM, COMPRIMENTO 190 MM, VAZAO DE 4,0 M3/H; R500, COM PESO LIQUIDO UNITARIO APROXIMADO ENTRE 1,0 kg e 2,0 kgs, NBIOT COM VALVULA DE CORTE (ZLW20-4).</v>
          </cell>
        </row>
        <row r="3901">
          <cell r="B3901">
            <v>7079903280</v>
          </cell>
          <cell r="E3901">
            <v>84713019</v>
          </cell>
          <cell r="G3901">
            <v>84713019</v>
          </cell>
          <cell r="H3901" t="str">
            <v xml:space="preserve">PDA (unidade portatil para processamento de dados), coletor de Dados, de peso líquido unitario aproximado de 0,250kg a 1,5 kg, contendo unidade central de processamento, teclado virtual e tela, capaz de funcionar sem fonte externa de energia, com tela de area aproximada de 25cm², com comunicacAo em redes LTE, WiFi e Bluetoogh, capacidade de armazenamento de 64GB e 4GB de memoria RAM. </v>
          </cell>
        </row>
        <row r="3902">
          <cell r="B3902">
            <v>5210200520</v>
          </cell>
          <cell r="D3902">
            <v>40242368</v>
          </cell>
          <cell r="E3902">
            <v>73030000</v>
          </cell>
          <cell r="F3902" t="str">
            <v>Need to update benefit</v>
          </cell>
          <cell r="H3902" t="str">
            <v>TUBO DE FERRO FUNDIDO NAO DUCTIL, FLANGEADO, COM PINTURA DE ACABAMENTO EXTERNO EPOXI AZUL, NAO ALETADO NEM RANHURADO,MONTADO, PARA USO EM HIDROMETROS INDUSTRIAIS COM SECAO DE TRANSVERSAL DE DIAM. EXTERNO  -80MM E COMPRIMENTO DO TUBO DE 0.225M (FORMA DE TUBO -PONTA-PONTA), REVESTIMENTO INTERNO: TINTA EPOXI, REVESTIMENTO EXTERNO: TINTA EPOXI.</v>
          </cell>
        </row>
        <row r="3903">
          <cell r="B3903" t="str">
            <v>HXAP1000R21108-CPLV2</v>
          </cell>
          <cell r="C3903" t="str">
            <v>HXAP1000R21108-CPLV2</v>
          </cell>
          <cell r="E3903">
            <v>85176241</v>
          </cell>
          <cell r="G3903">
            <v>85176241</v>
          </cell>
          <cell r="H3903" t="str">
            <v>Roteadores de borda,digitais, para comunicacao bidirecional de dados sem fio (recepcao, conversao e transmissao), digitais, emissores de radio frequencia com receptor incorporado, capazes de operar na faixa ISM de frequencias 902 a 928 MHz, com taxa de transmissao de ate 150 Kbps, compativeis com o padrao WiSUN e IEEE802.15.4g, operando em topologia "Mesh" ou "Estrela" com espalhamento espectral por salto em frequencia (FHSS), enderecamento IPv6 e potencia de transmissao de ate +30dBm,  possuindo ainda, alimentacao "full-range" 85 ~ 336 VAC,Ano de fabricacAo XXXX, numeros de serie YYYY a ZZZZ, modelo MMMM, marca LLLL.</v>
          </cell>
        </row>
        <row r="3904">
          <cell r="B3904" t="str">
            <v xml:space="preserve">MJN53R31404-EGISA   </v>
          </cell>
          <cell r="C3904" t="str">
            <v xml:space="preserve">MJN53R31404-EGISA   </v>
          </cell>
          <cell r="E3904">
            <v>85176277</v>
          </cell>
          <cell r="G3904">
            <v>85176277</v>
          </cell>
          <cell r="H3904" t="str">
            <v>MODULOS DE COMUNICACAO RF (MJN53R31404-COMM) PARA MEDIDORES INTELIGENTES DE ENERGIA ELETRICA COM TECNOLOGIA WISUN, CAPAZES DE OPERAR NA FAIXA ISM DE 902 A 928 MHZ EM REDES DE TOPOLOGIA "MESH" OU "ESTRELA" COM ESPALHAMENTO ESPECTRAL POR SALTO EM FREQUENCIA (FHSS), ENDERECAMENTO IPV6 E POTENCIA DE TRANSMISSAO DE ATE +30 DBM, COM INTERFACE DE COMUNICACAO DE DADOS SERIAL TTL E ALIMENTACAO 8VDC, DISPONIVEL COM ANTENA INTERNA.</v>
          </cell>
        </row>
        <row r="3905">
          <cell r="B3905">
            <v>2030901092</v>
          </cell>
          <cell r="C3905">
            <v>2030901092</v>
          </cell>
          <cell r="E3905">
            <v>85045010</v>
          </cell>
          <cell r="G3905">
            <v>85045010</v>
          </cell>
          <cell r="H3905" t="str">
            <v>BOBINA DE AUTO-INDUCAO (INDUTOR), PARA MONTAGEM por insercao (PTH), DE 80Ω DE RESISTENCIA POR 100MHZ DE FREQUENCIA, DE 20Ω DE RESISTENCIA POR 10MHZ DE FREQUENCIA, INTENSIDADE DE CORRENTE DE 3A, 3.5MM DE COMPRIMENTO, 5.0MM DE LARGURA E 6MM DE ALTURA</v>
          </cell>
        </row>
        <row r="3906">
          <cell r="B3906" t="str">
            <v>M-7679-V6L1ML6SLV2C0</v>
          </cell>
          <cell r="C3906" t="str">
            <v>M-7679-V6L1ML6SLV2C0</v>
          </cell>
          <cell r="E3906">
            <v>85364100</v>
          </cell>
          <cell r="G3906">
            <v>85364100</v>
          </cell>
          <cell r="H3906" t="str">
            <v>RELE MICROPROCESSADO M-7679 R-PAC, SISTEMA AVANÇADO DE PROTECAO, AUTOMACAO E CONTROLE PARA RELIGADORES, SECCIONADORES E APLICACOES DE DISTRIBUICAO. OFERECE MAIS DE 30 ELEMENTOS DE PROTECAO (50/51, 50N/51N, 67, 27, 59, 81, 46, 79, ENTRE OUTROS), ATE OITO GRUPOS DE AJUSTES, REGISTRADOR DE EVENTOS (SOE), GRAVADOR DE FALTAS DIGITAIS (DFR), MONITOR DE QUALIDADE DE ENERGIA (SAGS, SWELLS, HARMONICAS ATE 63a ORDEM), MEDICAO AVANCADA DE GRANDEZAS ELETRICAS E LOGICA PROGRAMAVEL IPSLOGIC. COMPATIVEL COM PROTOCOLOS MODBUS, DNP3, IEC 60870-5-104 E OPCIONAL IEC 61850, COM PORTAS SERIAIS, USB, SD E ETHERNET. ATENDE REQUISITOS DE SEGURANÇA CIBERNETICA NERC/CIP V5. EQUIPAMENTO ADEQUADO PARA INTEGRACAO EM SISTEMAS SCADA E SMART GRID, OPERACAO EM 50/60 HZ, ALIMENTACAO 18–60 VDC OU 90–315 VAC/VDC, PLACAS COM CONFORMAL COATING PARA AMBIENTES SEVEROS. OUTRAS FORMAS CONSTRUTIVAS, COM PESO SUPERIOR A 700(g).</v>
          </cell>
        </row>
        <row r="3907">
          <cell r="B3907" t="str">
            <v>M-2035</v>
          </cell>
          <cell r="C3907" t="str">
            <v>M-2035</v>
          </cell>
          <cell r="E3907">
            <v>85044090</v>
          </cell>
          <cell r="F3907" t="str">
            <v>Not applicable</v>
          </cell>
          <cell r="G3907">
            <v>85044090</v>
          </cell>
          <cell r="H3907" t="str">
            <v>MODULO DE INTERFACE ANALOGICO-DIGITAL MODELO M-2035, UTILIZADO EM SISTEMAS DE RELIGADORES E CONTROLES DE SUBESTACOES, DESTINADO AO MONITORAMENTO DE FONTES EXTERNAS E CARREGADORES DE BATERIAS 12/24 V. EQUIPAMENTO ELETRONICO DE CONVERSAO E MONITORAMENTO DE SINAIS, COM 4 ENTRADAS ANALOGICAS (0–30 VDC), PROCESSADOR INTERNO COM CONVERSOR A/D DE 12 BITS (RESOLUCAO ATE 16 BITS), PROTECAO CONTRA TRANSIENTES E POLARIDADE REVERSA, OPERACAO EM 8–30 VDC. POSSUI FUNÇOES DE TESTE AUTOMATICO DE BATERIAS, DETECCAO DE FALHA DE ALIMENTACAO, COMANDO DE DESLIGAMENTO/RELIGAMENTO VIA COMUNICACAO DIGITAL E INTEGRACAO AO CONTROLADOR BECKWITH M-7679 R-PAC ATRAVES DE INTERFACE SATA/I-2C. SUBMETIDO A CONFORMAL COATING PARA OPERACAO EM AMBIENTE DE SUBESTACAO (-40 °C A +85 °C). DIMENSOES APROXIMADAS: 15,4 × 9,2 × 7,0 CM; PESO 0,27 KG. PRODUTO: OUTROS; TECNOLOGIA DE CONTROLE: MICROPROCESSADO, TENSÃO DE ALIMENTAÇÃO: OUTROS; CORRENTE NOMINAL DE SAIDA: OUTPUT I DC 0 a 10A.</v>
          </cell>
        </row>
        <row r="3908">
          <cell r="B3908">
            <v>2150180470</v>
          </cell>
          <cell r="C3908">
            <v>2150180470</v>
          </cell>
          <cell r="E3908">
            <v>85340033</v>
          </cell>
          <cell r="F3908" t="str">
            <v>Not applicable</v>
          </cell>
          <cell r="G3908">
            <v>85340033</v>
          </cell>
          <cell r="H3908" t="str">
            <v>PLACA DE CIRCUITO IMPRESSO, DE NATUREZA DO MATERIAL BASE RIGIDO, COMPOSICAO DA PLACA DE ISOLANTE DE RESINA EPOXIDA E TECIDO DE FIBRA DE VIDRO, ESTRUTURA DE DUPLA FACE E INTERLIGACAO ENTRE FACES COM FUROS METALIZADOS; dimensões 184.78 mm de comprimento x 158.5 mm de largura e 1.6mm de altura/2 não-RoHs (2150180470).</v>
          </cell>
        </row>
        <row r="3909">
          <cell r="B3909">
            <v>2150180460</v>
          </cell>
          <cell r="C3909">
            <v>2150180460</v>
          </cell>
          <cell r="E3909">
            <v>85340033</v>
          </cell>
          <cell r="F3909" t="str">
            <v>Not applicable</v>
          </cell>
          <cell r="G3909">
            <v>85340033</v>
          </cell>
          <cell r="H3909" t="str">
            <v>PLACA DE CIRCUITO IMPRESSO, DE NATUREZA DO MATERIAL BASE RIGIDO, COMPOSICAO DA PLACA DE ISOLANTE DE RESINA EPOXIDA E TECIDO DE FIBRA DE VIDRO, ESTRUTURA DE DUPLA FACE E INTERLIGACAO ENTRE FACES COM FUROS METALIZADOS; dimensões 252.97 mm de comprimento x 158.5 mm de largura e 1.6mm de altura/2 nao-RoHs (2150180460).</v>
          </cell>
        </row>
        <row r="3910">
          <cell r="B3910">
            <v>3030106081</v>
          </cell>
          <cell r="C3910">
            <v>3030106081</v>
          </cell>
          <cell r="E3910">
            <v>73181500</v>
          </cell>
          <cell r="G3910">
            <v>73181500</v>
          </cell>
          <cell r="H3910" t="str">
            <v>PARAFUSO M3*8MM; CABECA CHATA (CONICA); DIAMETRO 6,3MM; FENDA CRUZADA (PHILLIPS); CAUDA PLANA; MATERIA PRIMA BASE: 0004 - AÇO INOXIDAVEL; PROCESSO DE FABRICACAO: 0003 - TEMPERA/REVENIMENTO; ACABAMENTO SUPERFICIAL: 0002 – GALVANIZACAO; SUS304; PASSIVADO.</v>
          </cell>
        </row>
        <row r="3911">
          <cell r="B3911">
            <v>5210200980</v>
          </cell>
          <cell r="C3911">
            <v>5210200980</v>
          </cell>
          <cell r="E3911">
            <v>90289090</v>
          </cell>
          <cell r="G3911">
            <v>90289090</v>
          </cell>
          <cell r="H3911" t="str">
            <v>TUBO (CARCACA) DE LATAO A BASE DE COBREZINCO, VALVULADO, COM RETIFICADOR DE FLUXO, MONTADO, INCLUI 1 PAR DE TRANSDUTORES, 1 PLACA DE PRESSAO METALICA, 4 PARAFUSOS M4X8 E 2 ANEIS DE VEDACAO, PARA USO EM HIDROMETROS RESIDENCIAIS (CONTADORES DE LIQUIDOS) COM SECAO DE TRANSVERSAL DE 20MM E COMPRIMENTO DE 190MM.</v>
          </cell>
        </row>
        <row r="3912">
          <cell r="B3912">
            <v>3030303230</v>
          </cell>
          <cell r="C3912">
            <v>3030303230</v>
          </cell>
          <cell r="E3912">
            <v>73181400</v>
          </cell>
          <cell r="G3912">
            <v>73181400</v>
          </cell>
          <cell r="H3912" t="str">
            <v xml:space="preserve">PARAFUSO AUTOPERFURANTE, ARTIGO ROSCADO, DE MATERIA PRIMA BASE ACO BAIXO CARBONO, ACABAMENTO SUPERFICIAL SEM TRATAMENTO, PROCESSO DE FABRICAÇÃO TEMPERA/REVENIMENTO, ST2.9*19 PANELA FENDA CRUZADA.        </v>
          </cell>
        </row>
        <row r="3913">
          <cell r="B3913">
            <v>2010101970</v>
          </cell>
          <cell r="C3913">
            <v>2010101970</v>
          </cell>
          <cell r="E3913">
            <v>85332120</v>
          </cell>
          <cell r="G3913">
            <v>85332120</v>
          </cell>
          <cell r="H3913" t="str">
            <v>RESISTOR (RESISTENCIA ELETRICA FIXA) PROPRIO PARA MONTAGEM EM SUPERFÍCIE SMD 20Ω 1PCT, 100.0ppm DE POTENCIA 1/16W 0402.</v>
          </cell>
        </row>
        <row r="3914">
          <cell r="B3914">
            <v>3143300010</v>
          </cell>
          <cell r="C3914">
            <v>3143300010</v>
          </cell>
          <cell r="E3914">
            <v>85011019</v>
          </cell>
          <cell r="G3914">
            <v>85011019</v>
          </cell>
          <cell r="H3914" t="str">
            <v>MOTOR ELETRICO DE PASSO (SERVO MOTOR), JL-08-01-2400-01, DE CORRENTE CONTINUA COM TENSAO DE TRABALHO NOMINAL DE 3,6V, CLASSE DE PROTECAO IP68, TORQUE DE SAIDA DE 2N.M, REDUCAO DE 2400:1, PROJETADO PARA ACIONAMENTO PRECISO DE VALVULAS EM SISTEMAS DE MEDICAO DE AGUA.</v>
          </cell>
        </row>
        <row r="3915">
          <cell r="B3915">
            <v>2120306600</v>
          </cell>
          <cell r="C3915">
            <v>2120306600</v>
          </cell>
          <cell r="E3915">
            <v>85241100</v>
          </cell>
          <cell r="G3915">
            <v>85241100</v>
          </cell>
          <cell r="H3915" t="str">
            <v>MODULO DE VISUALIZACAO DE TELA (ECRA) PLANA (DISPLAY) DE CRISTAL LIQUIDO, SEM CONTROLADOR (DRIVER) NEM CIRCUITO DE CONTROLE, UTILIZADO EM PROCESSO DE MONTAGEM POR INSERCAO (PTH), COM TENSAO DE OPERACAO 3.6V E DIMENSOES 55.0X27.3X5.7 MM.</v>
          </cell>
        </row>
        <row r="3916">
          <cell r="B3916">
            <v>3032904000</v>
          </cell>
          <cell r="C3916">
            <v>3232904000</v>
          </cell>
          <cell r="E3916">
            <v>73202010</v>
          </cell>
          <cell r="G3916">
            <v>73202010</v>
          </cell>
          <cell r="H3916" t="str">
            <v>MOLA HELICOIDAL CILINDRICA DE ACO PARA BOTOES HIDROMETRO (CONTADOR DE LIQUIDO) ULTRASSONICO RESIDENCIAL VALVULADO NBIOT.</v>
          </cell>
        </row>
        <row r="3917">
          <cell r="B3917">
            <v>2080302600</v>
          </cell>
          <cell r="C3917">
            <v>2080302600</v>
          </cell>
          <cell r="E3917">
            <v>85176277</v>
          </cell>
          <cell r="G3917">
            <v>85176277</v>
          </cell>
          <cell r="H3917" t="str">
            <v>MODULOS DE COMUNICACAO DE DADOS SEM FIO, EMISSOR COM RECEPTOR INCORPORADO, DIGITAL, PARA TRANSMISSAO E RECEPCAO DE DADOS, COMPATÍVEIS COM O PADRAO 3GPP-R13/14, 2.2–4.3 V - PARA MONTAGEM EM PLACA DE CIRCUITO IMPRESSO EM TECNOLOGIA SMT (SURFACE MOUNT TECHNOLOGY), TAXA DE TRANSMISSÃO: XXXXMBIT/S, FREQUENCIA: XXXX.  COM TENSAO DE ALIMENTACAO 3.3V B/G/N20/N40 PARA MONTAGEM SMD 3.3V SMD.</v>
          </cell>
        </row>
        <row r="3918">
          <cell r="B3918">
            <v>2051700760</v>
          </cell>
          <cell r="C3918">
            <v>2051700760</v>
          </cell>
          <cell r="E3918">
            <v>85423939</v>
          </cell>
          <cell r="G3918">
            <v>85423939</v>
          </cell>
          <cell r="H3918" t="str">
            <v>CIRCUITO INTEGRADO ELETRONICO TIPO SENSOR DE CAMPO MAGNETICO (EFEITO HALL), MONTADO, PROPRIO PARA MONTAGEM EM SUPERFICIE (SMD), TENSAO 2,4–5,5V, ENCAPSULAMENTO SOT23-6.</v>
          </cell>
        </row>
        <row r="3919">
          <cell r="B3919">
            <v>2052300030</v>
          </cell>
          <cell r="C3919">
            <v>2052300030</v>
          </cell>
          <cell r="E3919">
            <v>85423939</v>
          </cell>
          <cell r="G3919">
            <v>85423939</v>
          </cell>
          <cell r="H3919" t="str">
            <v>CIRCUITO INTEGRADO ELETRONICO TIPO DRIVER DE MOTOR, MONTADO, PROPRIO PARA MONTAGEM EM SUPERFICIE (SMD), TENSAO DE OPERACAO 1,8V A 5,5V, TENSAO DE SAIDA ATE 12V, CORRENTE MAXIMA 1,8A, ENCAPSULAMENTO SOP-8.</v>
          </cell>
        </row>
        <row r="3920">
          <cell r="B3920">
            <v>2070101291</v>
          </cell>
          <cell r="C3920">
            <v>2070101291</v>
          </cell>
          <cell r="E3920">
            <v>85065010</v>
          </cell>
          <cell r="G3920">
            <v>85065010</v>
          </cell>
          <cell r="H3920" t="str">
            <v xml:space="preserve">BATERIA ELETRICA DE LITIO, DE VOLUME EXTERIOR APROXIMADO DE 113CM3, 3,6V 19,0AH/150MM 38MAH, PARA USO EM HIDROMETROS (CONTADORES DE LIQUIDOS)  RESIDENCIAIS, NUMERO DE SERIE XXXX a XXXX, ANO DE FABRICACAO XXXX, MODELO: XXXX, MARCA: XXXX, </v>
          </cell>
        </row>
        <row r="3921">
          <cell r="B3921">
            <v>7020832181</v>
          </cell>
          <cell r="C3921">
            <v>7020832181</v>
          </cell>
          <cell r="E3921">
            <v>84807100</v>
          </cell>
          <cell r="G3921">
            <v>84807100</v>
          </cell>
          <cell r="H3921" t="str">
            <v>MOLDE DE INJECAO PARA FABRICACAO DE PECAS PLASTICAS, MODELO BASE DA CAIXA DO MODULO DE MEDIDORES DE AGUA-NB (CONTADORES DE LIQUIDOS), FABRICADO EM ACO, DESTINADO A PROCESSOS INDUSTRIAIS DE MOLDAGEM POR INJECAO, UTILIZADO EM MAQUINAS INJETORAS - CÓDIGO W25229.</v>
          </cell>
        </row>
        <row r="3922">
          <cell r="B3922">
            <v>7020832131</v>
          </cell>
          <cell r="C3922">
            <v>7020832131</v>
          </cell>
          <cell r="E3922">
            <v>84807100</v>
          </cell>
          <cell r="G3922">
            <v>84807100</v>
          </cell>
          <cell r="H3922" t="str">
            <v>MOLDE DE INJECAO PARA FABRICACAO DE PECAS PLASTICAS, MODELO TAMPA FLIP  DE MEDIDORES DE AGUA-NB (CONTADORES DE LIQUIDOS), FABRICADO EM ACO, DESTINADO A PROCESSOS INDUSTRIAIS DE MOLDAGEM POR INJECAO, UTILIZADO EM MAQUINAS INJETORAS - CÓDIGO W25224.</v>
          </cell>
        </row>
        <row r="3923">
          <cell r="B3923">
            <v>7020832141</v>
          </cell>
          <cell r="C3923">
            <v>7020832141</v>
          </cell>
          <cell r="E3923">
            <v>84807100</v>
          </cell>
          <cell r="G3923">
            <v>84807100</v>
          </cell>
          <cell r="H3923" t="str">
            <v>MOLDE DE INJECAO PARA FABRICACAO DE PECAS PLASTICAS, MODELO PLACA DE IDENTIFICAÇÃO DE MEDIDORES DE AGUA-NB (CONTADORES DE LIQUIDOS), FABRICADO EM ACO, DESTINADO A PROCESSOS INDUSTRIAIS DE MOLDAGEM POR INJECAO, UTILIZADO EM MAQUINAS INJETORAS - CÓDIGO W25225.</v>
          </cell>
        </row>
        <row r="3924">
          <cell r="B3924">
            <v>7020832151</v>
          </cell>
          <cell r="C3924">
            <v>7020832151</v>
          </cell>
          <cell r="E3924">
            <v>84807100</v>
          </cell>
          <cell r="G3924">
            <v>84807100</v>
          </cell>
          <cell r="H3924" t="str">
            <v>MOLDE DE INJECAO PARA FABRICACAO DE PECAS PLASTICAS,MODELO BASE DE MEDIDORES DE AGUA-NB (CONTADORES DE LIQUIDOS), FABRICADO EM ACO, DESTINADO A PROCESSOS INDUSTRIAIS DE MOLDAGEM POR INJECAO, UTILIZADO EM MAQUINAS INJETORAS - CÓDIGO W25226.</v>
          </cell>
        </row>
        <row r="3925">
          <cell r="B3925">
            <v>7020832161</v>
          </cell>
          <cell r="C3925">
            <v>7020832161</v>
          </cell>
          <cell r="E3925">
            <v>84807100</v>
          </cell>
          <cell r="G3925">
            <v>84807100</v>
          </cell>
          <cell r="H3925" t="str">
            <v>MOLDE DE INJECAO PARA FABRICACAO DE PECAS PLASTICAS, MODELO PARTE INFERIOR DE MEDIDORES DE AGUA-NB (CONTADORES DE LIQUIDOS), FABRICADO EM ACO, DESTINADO A PROCESSOS INDUSTRIAIS DE MOLDAGEM POR INJECAO, UTILIZADO EM MAQUINAS INJETORAS - CÓDIGO W25227.</v>
          </cell>
        </row>
        <row r="3926">
          <cell r="B3926">
            <v>7020832171</v>
          </cell>
          <cell r="C3926">
            <v>7020832171</v>
          </cell>
          <cell r="E3926">
            <v>84807100</v>
          </cell>
          <cell r="G3926">
            <v>84807100</v>
          </cell>
          <cell r="H3926" t="str">
            <v>MOLDE DE INJECAO PARA FABRICACAO DE PECAS PLASTICAS, MODELO TAMPA DA CAIXA DO MÓDULO DE MEDIDORES DE AGUA-NB (CONTADORES DE LIQUIDOS), FABRICADO EM ACO, DESTINADO A PROCESSOS INDUSTRIAIS DE MOLDAGEM POR INJECAO, UTILIZADO EM MAQUINAS INJETORAS - CÓDIGO W25228.</v>
          </cell>
        </row>
        <row r="3927">
          <cell r="B3927">
            <v>4010203180</v>
          </cell>
          <cell r="C3927">
            <v>4010203180</v>
          </cell>
          <cell r="E3927">
            <v>84672992</v>
          </cell>
          <cell r="F3927" t="str">
            <v>Not applicable</v>
          </cell>
          <cell r="G3927">
            <v>84672992</v>
          </cell>
          <cell r="H3927" t="str">
            <v>PARAFUSADEIRA RETA DE USO MANUAL, COM MOTOR ELETRICO INCORPORADO, DESTINADA A OPERACOES DE FIXACAO DE PARAFUSOS.</v>
          </cell>
        </row>
        <row r="3928">
          <cell r="B3928">
            <v>4070404050</v>
          </cell>
          <cell r="C3928">
            <v>4070404050</v>
          </cell>
          <cell r="E3928">
            <v>84716052</v>
          </cell>
          <cell r="F3928" t="str">
            <v>Not applicable</v>
          </cell>
          <cell r="G3928">
            <v>84716052</v>
          </cell>
          <cell r="H3928" t="str">
            <v>LEITOR OPTICO DE CODIGO DE BARRAS, PARA LEITURA DE CODIGOS LINEARES, 2D E QR CODE, TIPO PISTOLA, MODELO: XXXX, MARCA: XXX COM INTERFACE USB.</v>
          </cell>
        </row>
        <row r="3929">
          <cell r="B3929">
            <v>4010200690</v>
          </cell>
          <cell r="C3929">
            <v>4010200690</v>
          </cell>
          <cell r="E3929">
            <v>84289090</v>
          </cell>
          <cell r="F3929" t="str">
            <v>Not applicable</v>
          </cell>
          <cell r="G3929">
            <v>84289090</v>
          </cell>
          <cell r="H3929" t="str">
            <v>BALANCIM CAPACIDADE 1,5 A 3,0 KG, INDICADO PARA FIXAÇÃO EM LINHAS DE PRODUÇÃO DE FERRAMENTAS ELÉTRICAS, PNEUMÁTICAS OU A BATERIA, COM FURO DE FIXAÇÃO, MANOPLA DE AJUSTE DE PRESSÃO, TRAVA DE AJUSTE, LIMITADOR E GANCHO DE FIXAÇÃO</v>
          </cell>
        </row>
        <row r="3930">
          <cell r="B3930">
            <v>4010302320</v>
          </cell>
          <cell r="C3930">
            <v>4010302320</v>
          </cell>
          <cell r="E3930">
            <v>90304090</v>
          </cell>
          <cell r="F3930" t="str">
            <v>Not applicable</v>
          </cell>
          <cell r="G3930">
            <v>90304090</v>
          </cell>
          <cell r="H3930" t="str">
            <v>MODULO DE COMUNICACAO NB-IOT HISILICON HI2115, FORMATO TRIPLE-CUT (110×60×26 MM), INTEGRADO PARA APLICACOES DE MEDICAO INTELIGENTE E TESTE DE SINAL NB-IOT, COM MCU, MEMORIA E INTERFACES PERIFERICAS.</v>
          </cell>
        </row>
        <row r="3931">
          <cell r="B3931">
            <v>4030413850</v>
          </cell>
          <cell r="C3931">
            <v>4030413850</v>
          </cell>
          <cell r="E3931">
            <v>39269090</v>
          </cell>
          <cell r="F3931" t="str">
            <v>Not applicable</v>
          </cell>
          <cell r="G3931">
            <v>39269090</v>
          </cell>
          <cell r="H3931" t="str">
            <v>GABARITO DE 710×600 MM FEITA EM BAQUELITE (PLASTICO), UTILIZADA PARA FIXACAO DE DURANTE O PROCESSO DE ENCAPSULAMENTO COM COLA NA PRODUCAO DE MEDIDORES DE AGUA (CONTADORES DE LIQUIDOS)</v>
          </cell>
        </row>
        <row r="3932">
          <cell r="B3932">
            <v>4032501710</v>
          </cell>
          <cell r="C3932">
            <v>4032501710</v>
          </cell>
          <cell r="E3932">
            <v>39269090</v>
          </cell>
          <cell r="F3932" t="str">
            <v>Not applicable</v>
          </cell>
          <cell r="G3932">
            <v>39269090</v>
          </cell>
          <cell r="H3932" t="str">
            <v>GABARITO DE ACOMODACAO E FIXACAO EM FR4 COM ACRILICO, UTILIZADO PARA POSICIONAMENTO E SUPORTE DURANTE A PRODUCAO DE MEDIDORES DE AGUA (CONTADORES DE LIQUIDOS)</v>
          </cell>
        </row>
        <row r="3933">
          <cell r="B3933" t="str">
            <v>HXCRJR11002</v>
          </cell>
          <cell r="C3933" t="str">
            <v>HXCRJR11002</v>
          </cell>
          <cell r="E3933">
            <v>85447090</v>
          </cell>
          <cell r="F3933" t="str">
            <v>Not applicable</v>
          </cell>
          <cell r="G3933">
            <v>85447090</v>
          </cell>
          <cell r="H3933" t="str">
            <v>CABO OPTICO DE COMUNICACAO COM CONVERSOR RS‑232 INTEGRADO, ACOPLAMENTO MAGNETICO E CONECTOR DB9, PROJETADO PARA TRANSMISSAO DE DADOS VIA FIBRA OPTICA CONFORME PADRAO IEC.</v>
          </cell>
        </row>
        <row r="3934">
          <cell r="B3934" t="str">
            <v>HXCRJ1BPNCD</v>
          </cell>
          <cell r="C3934" t="str">
            <v>HXCRJ1BPNCD</v>
          </cell>
          <cell r="E3934">
            <v>85447090</v>
          </cell>
          <cell r="F3934" t="str">
            <v>Not applicable</v>
          </cell>
          <cell r="G3934">
            <v>85447090</v>
          </cell>
          <cell r="H3934" t="str">
            <v>CABO OPTICO DE COMUNICACAO COM CONVERSOR RS‑232 INTEGRADO, ACOPLAMENTO MAGNETICO E CONECTOR USB, PROJETADO PARA TRANSMISSAO DE DADOS VIA FIBRA OPTICA CONFORME PADRAO IEC.</v>
          </cell>
        </row>
        <row r="3935">
          <cell r="B3935">
            <v>2011101941</v>
          </cell>
          <cell r="C3935">
            <v>2011101941</v>
          </cell>
          <cell r="E3935">
            <v>85334012</v>
          </cell>
          <cell r="G3935">
            <v>85334012</v>
          </cell>
          <cell r="H3935" t="str">
            <v xml:space="preserve"> VARISTOR (RESISTENCIA ELETRICA VARIAVEL NAO-LINEAR SEMICONDUTORA) TENSAO DE 680V, TOLERANCIA DE 10POR CENTO, TENSAO DE 420VAC, CORRENTE DE 6000A, DIMENSOES 15.5*20/7.5MM±0.5MM</v>
          </cell>
        </row>
        <row r="3936">
          <cell r="B3936">
            <v>4020120050</v>
          </cell>
          <cell r="C3936">
            <v>4020120050</v>
          </cell>
          <cell r="E3936">
            <v>85176259</v>
          </cell>
          <cell r="G3936">
            <v>85176259</v>
          </cell>
          <cell r="H3936" t="str">
            <v>Conversor eletrônico de interface USB para portas seriais RS232, RS485, RS422 e TTL, com isolamento industrial. Utilizado para comunicação e transmissão de dados entre computadores e dispositivos industriais, por meio de conexões seriais diversas. Equipamento eletrônico completo, tipo módulo conversor de sinal.</v>
          </cell>
        </row>
        <row r="3937">
          <cell r="B3937">
            <v>7020705500</v>
          </cell>
          <cell r="C3937">
            <v>7020705500</v>
          </cell>
          <cell r="E3937">
            <v>85158090</v>
          </cell>
          <cell r="G3937">
            <v>85158090</v>
          </cell>
          <cell r="H3937" t="str">
            <v>Máquina de soldagem ultrassônica industrial, modelo 15 kHz com 4 cabeçotes, potência nominal conforme placa de identificação, tensão de operação 220 V / 50–60 Hz.</v>
          </cell>
        </row>
        <row r="3938">
          <cell r="B3938">
            <v>4010203450</v>
          </cell>
          <cell r="C3938">
            <v>4010203450</v>
          </cell>
          <cell r="E3938">
            <v>84718000</v>
          </cell>
          <cell r="G3938">
            <v>84718000</v>
          </cell>
          <cell r="H3938" t="str">
            <v>GRAVADORA J-LINK V9, UTILIZADA PARA UNIÃO E SOLDAGEM DE PEÇAS PLÁSTICAS POR MEIO DE VIBRAÇÕES ULTRASSÔNICAS DE ALTA FREQUÊNCIA. EQUIPAMENTO COMPLETO DE USO INDUSTRIAL.</v>
          </cell>
        </row>
        <row r="3939">
          <cell r="B3939">
            <v>4010402610</v>
          </cell>
          <cell r="C3939">
            <v>4010402610</v>
          </cell>
          <cell r="E3939">
            <v>39239090</v>
          </cell>
          <cell r="G3939">
            <v>39239090</v>
          </cell>
          <cell r="H3939" t="str">
            <v>DIVISÓRIA MODULAR LONGA PARA CAIXA ORGANIZADORA PLÁSTICA ESD, DIMENSÕES APROXIMADAS 564×125×3,8 MM, INCLUINDO BORDAS. FABRICADA EM MATERIAL PLÁSTICO ESD (POLIPROPILENO CONDUTIVO OU DISSIPATIVO), DESTINADA À ORGANIZAÇÃO, SEPARAÇÃO E PROTEÇÃO DE COMPONENTES ELETRÔNICOS SENSÍVEIS DURANTE ARMAZENAMENTO E TRANSPORTE. ESTRUTURA MODULAR ENCAIXÁVEL NO FORMATO DE GRELHA.</v>
          </cell>
        </row>
        <row r="3940">
          <cell r="B3940">
            <v>4010402620</v>
          </cell>
          <cell r="C3940">
            <v>4010402620</v>
          </cell>
          <cell r="E3940">
            <v>39239090</v>
          </cell>
          <cell r="G3940">
            <v>39239090</v>
          </cell>
          <cell r="H3940" t="str">
            <v>DIVISÓRIA MODULAR PEQUENA PARA CAIXA ORGANIZADORA PLÁSTICA ESD, DIMENSÕES APROXIMADAS 365×125×3,8 MM, INCLUINDO BORDAS. PRODUZIDA EM MATERIAL PLÁSTICO ESD (POLIPROPILENO CONDUTIVO OU DISSIPATIVO), UTILIZADA PARA COMPARTIMENTAÇÃO E PROTEÇÃO DE COMPONENTES ELETRÔNICOS SENSÍVEIS DENTRO DE CAIXAS ESD, DURANTE ARMAZENAMENTO E TRANSPORTE. ESTRUTURA INTERNA ENCAIXÁVEL CONFIGURÁVEL.</v>
          </cell>
        </row>
        <row r="3941">
          <cell r="B3941">
            <v>4010402630</v>
          </cell>
          <cell r="C3941">
            <v>4010402630</v>
          </cell>
          <cell r="E3941">
            <v>39239090</v>
          </cell>
          <cell r="G3941">
            <v>39239090</v>
          </cell>
          <cell r="H3941" t="str">
            <v>DIVISÓRIA MODULAR CENTRAL PARA CAIXA ORGANIZADORA PLÁSTICA ESD, DIMENSÕES APROXIMADAS 564×365×3,8 MM, SEM BORDAS. CONFECCIONADA EM PLÁSTICO ESD (POLIPROPILENO CONDUTIVO OU DISSIPATIVO), DESTINADA À SEPARAÇÃO E ORGANIZAÇÃO DE PEÇAS ELETRÔNICAS SENSÍVEIS À ELETRICIDADE ESTÁTICA, EM SISTEMAS DE ARMAZENAMENTO E TRANSPORTE. ESTRUTURA ENCAIXÁVEL TIPO GRELHA MODULAR.</v>
          </cell>
        </row>
        <row r="3942">
          <cell r="B3942">
            <v>4020413550</v>
          </cell>
          <cell r="C3942">
            <v>4020413550</v>
          </cell>
          <cell r="E3942">
            <v>85389090</v>
          </cell>
          <cell r="G3942">
            <v>85389090</v>
          </cell>
          <cell r="H3942" t="str">
            <v>PLACA ELETRÔNICA MONTADA MODELO PROCESSOR BOARD-NT-A8 (VISION PROCESSOR), UTILIZADA EM MÁQUINAS SMT HANWHA/SAMSUNG PARA PROCESSAMENTO DE IMAGEM E CONTROLE DE VISÃO. PLACA MULTILAYER ESPECÍFICA PARA SISTEMAS DE MONTAGEM AUTOMÁTICA DE COMPONENTES ELETRÔNICOS.</v>
          </cell>
        </row>
        <row r="3943">
          <cell r="B3943">
            <v>4020413560</v>
          </cell>
          <cell r="C3943">
            <v>4020413560</v>
          </cell>
          <cell r="E3943">
            <v>85389010</v>
          </cell>
          <cell r="G3943">
            <v>85389010</v>
          </cell>
          <cell r="H3943" t="str">
            <v>PLACA DO SENSOR DE PRESSAO VERSÃO 1.0 - SM471, PARTE PARA USO EM MAQUINA DE INSERCAO AUTOMATICA DE COMPONENTES ELETRONICOS POR MONTAGEM EM SUPERFÍCIE SMD - AM03-005340A (REF.4020413560)</v>
          </cell>
        </row>
        <row r="3944">
          <cell r="B3944">
            <v>4020413580</v>
          </cell>
          <cell r="C3944">
            <v>4020413580</v>
          </cell>
          <cell r="E3944">
            <v>85389010</v>
          </cell>
          <cell r="G3944">
            <v>85389010</v>
          </cell>
          <cell r="H3944" t="str">
            <v>PLACAS DE CIRCUITO IMPRESSO JÁ MONTADAS COM COMPONENTES ELETRÔNICOS AM03-007225A - SM481_HDCB, USADAS COMO PARTES ESPECÍFICAS DE EQUIPAMENTOS ELÉTRICOS DE CONTROLE, DISTRIBUIÇÃO DE ENERGIA.</v>
          </cell>
        </row>
        <row r="3945">
          <cell r="B3945">
            <v>4020413590</v>
          </cell>
          <cell r="C3945">
            <v>4020413590</v>
          </cell>
          <cell r="E3945">
            <v>85044090</v>
          </cell>
          <cell r="G3945">
            <v>85044090</v>
          </cell>
          <cell r="H3945" t="str">
            <v>MÓDULO ELETRÔNICO DE CONTROLE PARA SERVO MOTOR (DRIVE), MODELO EP06-000182 / F5PAD075P120, MICROPROCESSADO, COM ALIMENTAÇÃO EM CORRENTE ALTERNADA TRIFÁSICA DE 220 A 240 V, UTILIZADO COMO PARTE ESPECÍFICA DE EQUIPAMENTO INDUSTRIAL. ATUA NO ACIONAMENTO, COMANDO E CONTROLE PRECISO DO MOVIMENTO DO MOTOR, REALIZANDO A CONVERSÃO E REGULAÇÃO DE ENERGIA ELÉTRICA PARA O FUNCIONAMENTO DO SISTEMA DE SERVOACIONAMENTO.</v>
          </cell>
        </row>
        <row r="3946">
          <cell r="B3946">
            <v>4020413600</v>
          </cell>
          <cell r="C3946">
            <v>4020413600</v>
          </cell>
          <cell r="E3946">
            <v>84716052</v>
          </cell>
          <cell r="G3946">
            <v>84716052</v>
          </cell>
          <cell r="H3946" t="str">
            <v>CONJUNTO MONTADO DE TECLADO (KEYBOARD ASSY) AM03-005237A, COM COBERTURA E CABO DE CONEXÃO USB, UTILIZADO COMO PARTE ESPECÍFICA DE EQUIPAMENTO INDUSTRIAL TIPO SMT, DESTINADO À INSERÇÃO DE COMANDOS E OPERAÇÃO DO SISTEMA.</v>
          </cell>
        </row>
        <row r="3947">
          <cell r="B3947">
            <v>4020413610</v>
          </cell>
          <cell r="C3947">
            <v>4020413610</v>
          </cell>
          <cell r="E3947">
            <v>84716053</v>
          </cell>
          <cell r="G3947">
            <v>84716053</v>
          </cell>
          <cell r="H3947" t="str">
            <v>MOUSE ÓPTICO PARA COMPUTADOR, MODELO MS622, UTILIZADO COMO PERIFÉRICO DE ENTRADA EM EQUIPAMENTOS ELETRÔNICOS OU INDUSTRIAIS.</v>
          </cell>
        </row>
        <row r="3948">
          <cell r="B3948">
            <v>4020413620</v>
          </cell>
          <cell r="C3948">
            <v>4020413620</v>
          </cell>
          <cell r="E3948">
            <v>84839000</v>
          </cell>
          <cell r="G3948">
            <v>84839000</v>
          </cell>
          <cell r="H3948" t="str">
            <v>MÓDULO ELETRÔNICO COM CÂMERA INTEGRADA, UTILIZADO COMO PARTE ESPECÍFICA DO EQUIPAMENTO SMT MODELO SM411PLUS, DESTINADO À CAPTURA DE IMAGEM E ALINHAMENTO DE COMPONENTES DURANTE O PROCESSO DE MONTAGEM AUTOMÁTICA DE PLACAS ELETRÔNICAS.</v>
          </cell>
        </row>
        <row r="3949">
          <cell r="B3949">
            <v>4020413630</v>
          </cell>
          <cell r="C3949">
            <v>4020413630</v>
          </cell>
          <cell r="E3949">
            <v>85044090</v>
          </cell>
          <cell r="G3949">
            <v>85044090</v>
          </cell>
          <cell r="H3949" t="str">
            <v>MÓDULO ELETRÔNICO TRIFÁSICO DE ACIONAMENTO PARA SERVO MOTOR (SERVOCONVERSOR), MODELO EP06-000445 / A5E MADHT1505E, MICROPROCESSADO, TENSÃO DE ALIMENTAÇÃO EM CORRENTE ALTERNADA DE 220 A 240 V, UTILIZADO COMO PARTE ESPECÍFICA DE EQUIPAMENTOS INDUSTRIAIS PARA CONTROLE PRECISO DE MOVIMENTO. REALIZA O ACIONAMENTO E CONTROLE DE TORQUE E POSIÇÃO DO MOTOR. (REF. 4020413630)</v>
          </cell>
        </row>
        <row r="3950">
          <cell r="B3950">
            <v>4020413640</v>
          </cell>
          <cell r="C3950">
            <v>4020413640</v>
          </cell>
          <cell r="E3950">
            <v>85044090</v>
          </cell>
          <cell r="G3950">
            <v>85044090</v>
          </cell>
          <cell r="H3950" t="str">
            <v>MÓDULO ELETRÔNICO DE ACIONAMENTO PARA SERVO MOTOR (SERVOCONVERSOR), MODELO EP06-000389 / A5E MCDHT3520E, MICROPROCESSADO, TENSÃO DE ALIMENTAÇÃO EM CORRENTE ALTERNADA TRIFÁSICA DE 220 A 240 V, COM CORRENTE NOMINAL DE SAÍDA SUPERIOR A 16 A E ATÉ 30 A, UTILIZADO COMO PARTE ESPECÍFICA DE EQUIPAMENTOS INDUSTRIAIS PARA CONTROLE PRECISO DE MOVIMENTO. (REF. 4020413640)</v>
          </cell>
        </row>
        <row r="3951">
          <cell r="B3951">
            <v>4020413650</v>
          </cell>
          <cell r="C3951">
            <v>4020413650</v>
          </cell>
          <cell r="E3951">
            <v>85044090</v>
          </cell>
          <cell r="G3951">
            <v>85044090</v>
          </cell>
          <cell r="H3951" t="str">
            <v>MÓDULO ELETRÔNICO DE ACIONAMENTO PARA SERVO MOTOR (DRIVER), MODELO A5E EP06-000393 / MDDHT5540E, MICROPROCESSADO, ALIMENTAÇÃO EM CORRENTE ALTERNADA TRIFÁSICA DE 220 A 240 V, COM CORRENTE NOMINAL DE SAÍDA SUPERIOR A 30 A E ATÉ 45 A. UTILIZADO COMO PARTE ESPECÍFICA DE EQUIPAMENTOS INDUSTRIAIS PARA CONTROLE DE MOVIMENTO DE ALTA POTÊNCIA E PRECISÃO. (REF. 4020413650)</v>
          </cell>
        </row>
        <row r="3952">
          <cell r="B3952">
            <v>4020413660</v>
          </cell>
          <cell r="C3952">
            <v>4020413660</v>
          </cell>
          <cell r="E3952">
            <v>85389010</v>
          </cell>
          <cell r="G3952">
            <v>85389010</v>
          </cell>
          <cell r="H3952" t="str">
            <v>PLACA ELETRÔNICA MONTADA COM FUNÇÃO DE SEGURANÇA, UTILIZADA COMO PARTE ESPECÍFICA DE EQUIPAMENTO SMT, VERSÃO FROP 2.0, DESTINADA A PROTEÇÃO E CONTROLE SEGURO DURANTE O PROCESSO DE MONTAGEM AUTOMÁTICA DE COMPONENTES ELETRÔNICOS.</v>
          </cell>
        </row>
        <row r="3953">
          <cell r="B3953">
            <v>4020413670</v>
          </cell>
          <cell r="C3953">
            <v>4020413670</v>
          </cell>
          <cell r="E3953">
            <v>73269090</v>
          </cell>
          <cell r="G3953">
            <v>73269090</v>
          </cell>
          <cell r="H3953" t="str">
            <v>SUPORTE METÁLICO COM FUNÇÃO ESTRUTURAL, UTILIZADO COMO PARTE ESPECÍFICA NA FIXAÇÃO DA TAMPA INFERIOR DO EQUIPAMENTO FLY IO.</v>
          </cell>
        </row>
        <row r="3954">
          <cell r="B3954">
            <v>4020413680</v>
          </cell>
          <cell r="C3954">
            <v>4020413680</v>
          </cell>
          <cell r="E3954">
            <v>90029090</v>
          </cell>
          <cell r="G3954">
            <v>90029090</v>
          </cell>
          <cell r="H3954" t="str">
            <v>ESPELHO ÓPTICO DIVISOR DE FEIXE (BEAM SPLITTER) UTILIZADO EM EQUIPAMENTO SMT MODELO SM411 PLUS, DESTINADO AO SISTEMA ÓPTICO DE DETECÇÃO E ALINHAMENTO DE COMPONENTES ELETRÔNICOS.</v>
          </cell>
        </row>
        <row r="3955">
          <cell r="B3955">
            <v>4020413690</v>
          </cell>
          <cell r="C3955">
            <v>4020413690</v>
          </cell>
          <cell r="E3955">
            <v>85389010</v>
          </cell>
          <cell r="G3955">
            <v>85389010</v>
          </cell>
          <cell r="H3955" t="str">
            <v>PLACA DE CIRCUITO IMPRESSO (PCB) MONTADA COM COMPONENTES ELETRÔNICOS, INCLUINDO CONECTORES COAXIAIS, UTILIZADA COMO MÓDULO ELETRÔNICO NO EQUIPAMENTO FLY. DESTINA-SE À TRANSMISSÃO E CONEXÃO DE SINAIS ELÉTRICOS OU DADOS DENTRO DO SISTEMA, FUNCIONANDO COMO CONJUNTO ELETRÔNICO COMPLETO E RECONHECÍVEL COMO PARTE ESSENCIAL DO EQUIPAMENTO.</v>
          </cell>
        </row>
        <row r="3956">
          <cell r="B3956">
            <v>4020413700</v>
          </cell>
          <cell r="C3956">
            <v>4020413700</v>
          </cell>
          <cell r="E3956">
            <v>84836090</v>
          </cell>
          <cell r="G3956">
            <v>84836090</v>
          </cell>
          <cell r="H3956" t="str">
            <v>ACOPLADOR MECÂNICO METÁLICO, UTILIZADO COMO PARTE ESPECÍFICA PARA ACOPLAMENTO DE EIXOS OU TRANSMISSÕES EM EQUIPAMENTOS INDUSTRIAIS, MODELO KD-M5-SA34697KR, APRESENTADO SEPARADAMENTE</v>
          </cell>
        </row>
        <row r="3957">
          <cell r="B3957">
            <v>4020413710</v>
          </cell>
          <cell r="C3957">
            <v>4020413710</v>
          </cell>
          <cell r="E3957">
            <v>84818092</v>
          </cell>
          <cell r="G3957">
            <v>84818092</v>
          </cell>
          <cell r="H3957" t="str">
            <v>VÁLVULA PNEUMÁTICA PARA USO EM SISTEMA DE SOPRO DE AR, PARTE ESPECÍFICA DE EQUIPAMENTO INDUSTRIAL AUTOMATIZADO, UTILIZADA PARA LIMPEZA OU MOVIMENTAÇÃO DE COMPONENTES. (REF. 4020413710)</v>
          </cell>
        </row>
        <row r="3958">
          <cell r="B3958">
            <v>4020413720</v>
          </cell>
          <cell r="C3958">
            <v>4020413720</v>
          </cell>
          <cell r="E3958">
            <v>85371090</v>
          </cell>
          <cell r="G3958">
            <v>85371090</v>
          </cell>
          <cell r="H3958" t="str">
            <v>PLACA ELETRÔNICA MONTADA, UTILIZADA COMO PARTE ESPECÍFICA DA CAIXA DE ENSINO EM EQUIPAMENTO ELETRÔNICO, COM FUNÇÃO DE CONTROLE OU INTERFACE.</v>
          </cell>
        </row>
        <row r="3959">
          <cell r="B3959">
            <v>4020413730</v>
          </cell>
          <cell r="C3959">
            <v>4020413730</v>
          </cell>
          <cell r="E3959">
            <v>84141000</v>
          </cell>
          <cell r="G3959">
            <v>84141000</v>
          </cell>
          <cell r="H3959" t="str">
            <v>BOMBA DE VÁCUO INDUSTRIAL UTILIZADA COMO PARTE ESPECÍFICA DE EQUIPAMENTO ELETRONICO, MODELO KHA400A-301-G1, GERAÇÃO DE PRESSÃO.</v>
          </cell>
        </row>
        <row r="3960">
          <cell r="B3960">
            <v>4020413740</v>
          </cell>
          <cell r="C3960">
            <v>4020413740</v>
          </cell>
          <cell r="E3960">
            <v>40101900</v>
          </cell>
          <cell r="G3960">
            <v>40101900</v>
          </cell>
          <cell r="H3960" t="str">
            <v>CORREIA DE TRANSMISSÃO, DE BORRACHA NITRILICA, REFORÇADA COM MATERIAS TEXTEIS, MODELO MC05-900068 CORREIA 410 1MAM-5P-1235-7W, PARA MOVIMENTAÇÃO.</v>
          </cell>
        </row>
        <row r="3961">
          <cell r="B3961">
            <v>4020413750</v>
          </cell>
          <cell r="C3961">
            <v>4020413750</v>
          </cell>
          <cell r="E3961">
            <v>40101900</v>
          </cell>
          <cell r="G3961">
            <v>40101900</v>
          </cell>
          <cell r="H3961" t="str">
            <v>CORREIA DE TRANSMISSÃO, DE BORRACHA NITRILICA, REFORÇADA COM MATERIAS TEXTEIS, MODELO MC05-900070 BELT_410_R MAM-5P-1482-7W, PARA MOVIMENTAÇÃO.</v>
          </cell>
        </row>
        <row r="3962">
          <cell r="B3962">
            <v>2020302672</v>
          </cell>
          <cell r="C3962">
            <v>2020302672</v>
          </cell>
          <cell r="E3962">
            <v>85322200</v>
          </cell>
          <cell r="G3962">
            <v>85322200</v>
          </cell>
          <cell r="H3962" t="str">
            <v>CAPACITOR (CONDENSADOR ELETRICO FIXO) ELETROLITICO DE ALUMINIO PARA MONTAGEM PTH; CAPACITANCIA 100UF; TENSÃO NOMINAL 35VDC; TOLERANCIA 20%; TERMINAL RADIAL; DIAMETRO 2.5MM; COMPRIMENTO 11MM. Ref. (2020302672)</v>
          </cell>
        </row>
        <row r="3963">
          <cell r="B3963">
            <v>2020502870</v>
          </cell>
          <cell r="C3963">
            <v>2020502870</v>
          </cell>
          <cell r="E3963">
            <v>85322590</v>
          </cell>
          <cell r="G3963">
            <v>85322590</v>
          </cell>
          <cell r="H3963" t="str">
            <v>CAPACITOR DE FILME (DIELÉTRICO PLÁSTICO), PARA MONTAGEM PTH; CAPACITÂNCIA 22.0NF, TENSÃO NOMINAL 330V, TOLERÂNCIA 10%, TERMINAL RADIAL, DIÂMETRO 10MM, COMPRIMENTO 5MM</v>
          </cell>
        </row>
        <row r="3964">
          <cell r="B3964">
            <v>2020701451</v>
          </cell>
          <cell r="C3964">
            <v>2020701451</v>
          </cell>
          <cell r="E3964">
            <v>85322420</v>
          </cell>
          <cell r="G3964">
            <v>85322420</v>
          </cell>
          <cell r="H3964" t="str">
            <v>CAPACITOR ELÉTRICO FIXO, DIELÉTRICO CERÂMICO MULTICAMADAS, PRÓPRIO PARA MONTAGEM POR INSERÇÃO (PTH); CAPACITÂNCIA 1NF, TOLERÂNCIA 20%, TENSÃO NOMINAL 300V</v>
          </cell>
        </row>
        <row r="3965">
          <cell r="B3965">
            <v>2020304080</v>
          </cell>
          <cell r="C3965">
            <v>2020304080</v>
          </cell>
          <cell r="E3965">
            <v>85322200</v>
          </cell>
          <cell r="G3965">
            <v>85322200</v>
          </cell>
          <cell r="H3965" t="str">
            <v>CAPACITOR ELETROLÍTICO DE ALUMÍNIO PARA MONTAGEM PTH; CAPACITÂNCIA 10.0ΜF, TENSÃO NOMINAL 450V, TOLERÂNCIA 20%; TERMINAL RADIAL, DIÂMETRO 10MM; COMPRIMENTO 20MM</v>
          </cell>
        </row>
        <row r="3966">
          <cell r="B3966">
            <v>2020701470</v>
          </cell>
          <cell r="C3966">
            <v>2020701470</v>
          </cell>
          <cell r="E3966">
            <v>85322420</v>
          </cell>
          <cell r="G3966">
            <v>85322420</v>
          </cell>
          <cell r="H3966" t="str">
            <v>CAPACITOR ELÉTRICO FIXO, DIELÉTRICO CERÂMICO MULTICAMADAS, PRÓPRIO PARA MONTAGEM POR INSERÇÃO (PTH); CAPACITÂNCIA 2.2NF, TOLERÂNCIA 20%, TENSÃO NOMINAL 300V</v>
          </cell>
        </row>
        <row r="3967">
          <cell r="B3967">
            <v>2020500112</v>
          </cell>
          <cell r="C3967">
            <v>2020500112</v>
          </cell>
          <cell r="E3967">
            <v>85322590</v>
          </cell>
          <cell r="G3967">
            <v>85322590</v>
          </cell>
          <cell r="H3967" t="str">
            <v>CAPACITOR DE FILME (DIELÉTRICO PLÁSTICO), PARA MONTAGEM PTH; CAPACITÂNCIA 0.68UF, TENSÃO NOMINAL 330V, TOLERÂNCIA 10%, TERMINAL RADIAL, DIÂMETRO 22.5MM, COMPRIMENTO 22MM</v>
          </cell>
        </row>
        <row r="3968">
          <cell r="B3968">
            <v>2052700090</v>
          </cell>
          <cell r="C3968">
            <v>2052700090</v>
          </cell>
          <cell r="E3968">
            <v>85423939</v>
          </cell>
          <cell r="G3968">
            <v>85423939</v>
          </cell>
          <cell r="H3968" t="str">
            <v>Circuito integrado eletrônico do tipo regulador de tensão Low Drop-out montado, próprio para montagem em superfície SMD; Tensão de saída ajustável 4.6~30V; Encapsulamento SOT89; Corrente nominal de saída 120mA</v>
          </cell>
        </row>
        <row r="3969">
          <cell r="B3969">
            <v>7070700240</v>
          </cell>
          <cell r="C3969">
            <v>7070700240</v>
          </cell>
          <cell r="E3969">
            <v>84713019</v>
          </cell>
          <cell r="F3969" t="str">
            <v>Not applicable</v>
          </cell>
          <cell r="G3969">
            <v>84713019</v>
          </cell>
          <cell r="H3969" t="str">
            <v>Coletor de dados capaz de funcionar sem fonte externa de energia, de peso aproximado 370g e area de tela de 9cm², marca Supoin, modelo X5, com display LCD de alta definicAo com toque capacitivo (ref.7070700240)</v>
          </cell>
        </row>
        <row r="3970">
          <cell r="B3970">
            <v>3090312700</v>
          </cell>
          <cell r="C3970">
            <v>3090312700</v>
          </cell>
          <cell r="E3970">
            <v>85444200</v>
          </cell>
          <cell r="G3970">
            <v>85444200</v>
          </cell>
          <cell r="H3970" t="str">
            <v>CABO ELÉTRICO ISOLADO, COM CONECTORES/TERMINAIS MONTADOS NAS DUAS EXTREMIDADES, PRÓPRIO PARA CONDUÇÃO DE CORRENTE EM BAIXA TENSÃO, COMPOSTO POR 4 CONDUTORES INDIVIDUAIS DE COBRE ESTANHADO, SEÇÃO 22 AWG, PADRÃO UL1007, TENSÃO NOMINAL ATÉ 300V. POSSUI ISOLAMENTO INDIVIDUAL EM PVC, NAS CORES VERMELHO, AZUL, AMARELO E PRETO, CADA CONDUTOR COM 200 MM DE COMPRIMENTO</v>
          </cell>
        </row>
        <row r="3971">
          <cell r="B3971">
            <v>2140105190</v>
          </cell>
          <cell r="C3971">
            <v>2140105190</v>
          </cell>
          <cell r="E3971">
            <v>85291090</v>
          </cell>
          <cell r="G3971">
            <v>85291090</v>
          </cell>
          <cell r="H3971" t="str">
            <v>ANTENA EXTERNA DE COMUNICAÇÃO, TIPO OMNIDIRECIONAL, FORMATO “COGUMELO”, PROJETADA PARA OPERAÇÃO NA FAIXA DE 902 A 928 MHZ, COM GANHO NOMINAL DE 2 DBI, IMPEDÂNCIA DE 50 OHMS, E VSWR ≤ 1,8. POSSUI CONECTOR SMA MACHO PARA INTERLIGAÇÃO, CORPO COM DIMENSÕES APROXIMADAS DE 46 MM X 16 MM E CABO DUPLO DE 1.300 ± 30 MM.</v>
          </cell>
        </row>
        <row r="3972">
          <cell r="B3972">
            <v>3090312690</v>
          </cell>
          <cell r="C3972">
            <v>3090312690</v>
          </cell>
          <cell r="E3972">
            <v>85444200</v>
          </cell>
          <cell r="G3972">
            <v>85444200</v>
          </cell>
          <cell r="H3972" t="str">
            <v>CABO ELÉTRICO ISOLADO, TIPO PAR TRANÇADO, COMPOSTO POR DOIS CONDUTORES INDIVIDUAIS DE COBRE ESTANHADO, BITOLA 22 AWG, PADRÃO UL1007, TENSÃO NOMINAL DE OPERAÇÃO ATÉ 20 V. POSSUI ISOLAMENTO INDIVIDUAL EM PVC NAS CORES VERMELHO E PRETO, COM 1150 MM DE COMPRIMENTO TOTAL. FORNECIDO COM CONECTOR/TERMINAL MONTADO EM UMA DAS EXTREMIDADES, DESTINADO A INTERLIGAÇÕES ELÉTRICAS DE BAIXA TENSÃO EM EQUIPAMENTOS ELETRÔNICOS</v>
          </cell>
        </row>
        <row r="3973">
          <cell r="B3973">
            <v>2090906280</v>
          </cell>
          <cell r="C3973">
            <v>2090906280</v>
          </cell>
          <cell r="E3973">
            <v>85369090</v>
          </cell>
          <cell r="G3973">
            <v>85369090</v>
          </cell>
          <cell r="H3973" t="str">
            <v>CONECTOR ELÉTRICO TIPO BLOCO TERMINAL, FÊMEA, DESTINADO À MONTAGEM EM PLACA DE CIRCUITO IMPRESSO (PCI) POR INSERÇÃO PTH. CONFIGURAÇÃO 1 X 4 VIAS, COM ÂNGULO DE 90°, ESPAÇAMENTO ENTRE CONTATOS DE 3,81 MM. DIMENSÕES APROXIMADAS: 16,24 MM X 9,2 MM X 7,2 MM. CAPACIDADE ELÉTRICA TÍPICA DE 7 A, PARA OPERAÇÃO EM TENSÃO APROXIMADA ENTRE 0 E 100 V. APLICAÇÃO EM INTERLIGAÇÃO DE CIRCUITOS ELETRÔNICOS.</v>
          </cell>
        </row>
        <row r="3974">
          <cell r="B3974">
            <v>2090906290</v>
          </cell>
          <cell r="C3974">
            <v>2090906290</v>
          </cell>
          <cell r="E3974">
            <v>85369090</v>
          </cell>
          <cell r="G3974">
            <v>85369090</v>
          </cell>
          <cell r="H3974" t="str">
            <v>CONECTOR ELÉTRICO TIPO BLOCO TERMINAL, FÊMEA, DESTINADO À MONTAGEM EM PLACA DE CIRCUITO IMPRESSO (PCI) POR INSERÇÃO PTH. CONFIGURAÇÃO 1 X 2 VIAS, COM ÂNGULO DE 90°, ESPAÇAMENTO ENTRE CONTATOS DE 3,81 MM. DIMENSÕES APROXIMADAS: 8,62 MM X 9,2 MM X 7,2 MM. CAPACIDADE ELÉTRICA TÍPICA DE 7 A, PARA OPERAÇÃO EM TENSÃO APROXIMADA ENTRE 0 E 100 V. APLICADO PARA INTERLIGAÇÃO ELÉTRICA EM EQUIPAMENTOS ELETRÔNICOS.</v>
          </cell>
        </row>
        <row r="3975">
          <cell r="B3975">
            <v>2054300520</v>
          </cell>
          <cell r="C3975">
            <v>2054300520</v>
          </cell>
          <cell r="E3975">
            <v>85423221</v>
          </cell>
          <cell r="G3975">
            <v>85423221</v>
          </cell>
          <cell r="H3975" t="str">
            <v>CIRCUITO INTEGRADO DE MEMÓRIA FLASH, MONTADO, PRÓPRIO PARA MONTAGEM EM SUPERFÍCIE (SMD); TIPO NOR; CAPACIDADE DE 64 MEBIBITS (64MB); INTERFACE SPI; TENSÃO DE OPERAÇÃO DE 2,3 A 3,6V; ENCAPSULAMENTO SOIC DE 8 PINOS (208 MIL). REF. 2054300520</v>
          </cell>
        </row>
        <row r="3976">
          <cell r="B3976">
            <v>2051301971</v>
          </cell>
          <cell r="C3976">
            <v>2051301971</v>
          </cell>
          <cell r="E3976">
            <v>85423120</v>
          </cell>
          <cell r="G3976">
            <v>85423120</v>
          </cell>
          <cell r="H3976" t="str">
            <v>CIRCUITO INTEGRADO ELETRÔNICO, DO TIPO MICROCONTROLADOR DE 8 BITS, MONTADO, PRÓPRIO PARA MONTAGEM EM SUPERFÍCIE (SMD), COM FREQUÊNCIA DE CLOCK DE 20 MHZ ATÉ 4 GHZ, TENSÃO DE OPERAÇÃO DE 1,65 A 3,6 V, ENCAPSULAMENTO SOT363-6L, ROHS. (2051301971)</v>
          </cell>
        </row>
        <row r="3977">
          <cell r="B3977">
            <v>2020304121</v>
          </cell>
          <cell r="C3977">
            <v>2020304121</v>
          </cell>
          <cell r="E3977">
            <v>85322200</v>
          </cell>
          <cell r="G3977">
            <v>85322200</v>
          </cell>
          <cell r="H3977" t="str">
            <v>CAPACITOR (CONDENSADOR ELETRICO FIXO) ELETROLITICO DE ALUMINIO 470uF 20por cento 10V 6000, YXJ RAD-2.5MM(C07537) PTH (REF. 2020304121)</v>
          </cell>
        </row>
        <row r="3978">
          <cell r="B3978">
            <v>2140105290</v>
          </cell>
          <cell r="C3978">
            <v>2140105290</v>
          </cell>
          <cell r="E3978">
            <v>85177190</v>
          </cell>
          <cell r="G3978">
            <v>85177190</v>
          </cell>
          <cell r="H3978" t="str">
            <v>ANTENA DE COMUNICACAO POR RADIOFREQUENCIA, PARA UTILIZACAO EM CONJUNTO COM EQUIPAMENTOS DE COMUNICACAO DE DADOS POR REDES SEM FIO, PARA MEDIDORES DE AGUA (CONTADORIES DE LIQUIDOS) B28, APT 700MHZ.</v>
          </cell>
        </row>
        <row r="3979">
          <cell r="B3979">
            <v>2050502010</v>
          </cell>
          <cell r="C3979">
            <v>2050502010</v>
          </cell>
          <cell r="E3979">
            <v>85423221</v>
          </cell>
          <cell r="G3979">
            <v>85423221</v>
          </cell>
          <cell r="H3979" t="str">
            <v>CIRCUITO INTEGRADO (CI) ELETRONICOS DE MEMORIA EEPROM MONTADOS, PROPRIAS PARA MONTAGEM EM SUPERFICIE SMD, DOS TIPOS RAM ESTATICA COM TEMPO DE ACESSO RAPIDO E DE TENSAO DE 1.7~5.5V, CAPACIDADE DE MEMORIA 2MB, COMUNICACAO IIC, ENCAPSULAMENTO SOP8 (150MIL).</v>
          </cell>
        </row>
        <row r="3980">
          <cell r="B3980">
            <v>2150517090</v>
          </cell>
          <cell r="C3980">
            <v>2150517090</v>
          </cell>
          <cell r="E3980">
            <v>85340033</v>
          </cell>
          <cell r="F3980" t="str">
            <v>Not applicable</v>
          </cell>
          <cell r="G3980">
            <v>85340033</v>
          </cell>
          <cell r="H3980" t="str">
            <v>PLACA DE CIRCUITO IMPRESSO, DE NATUREZA DO MATERIAL BASE RIGIDO, COMPOSICAO DA PLACA DE ISOLANTE DE RESINA EPOXIDA E TECIDO DE FIBRA DE VIDRO, ESTRUTURA DE DUPLA FACE E INTERLIGACAO ENTRE FACES POR FUROS METALIZADOS; DIMENSOES 177.6mm x 193.0mm.</v>
          </cell>
        </row>
        <row r="3981">
          <cell r="B3981">
            <v>2071700041</v>
          </cell>
          <cell r="C3981">
            <v>2071700041</v>
          </cell>
          <cell r="E3981">
            <v>85423920</v>
          </cell>
          <cell r="G3981">
            <v>85423920</v>
          </cell>
          <cell r="H3981" t="str">
            <v>CIRCUITO INTEGRADO ELETRONICO DO TIPO SENSOR DE CAMPO MAGNETICO, NAO MONTADO; TENSAO DE SAÍDA  1,8V~5,0V; ENCAPSULAMENTO SOT-23-3; CORRENTE NOMINAL DE SAÍDA 3MA.</v>
          </cell>
        </row>
        <row r="3982">
          <cell r="B3982">
            <v>2150182110</v>
          </cell>
          <cell r="C3982">
            <v>2150182110</v>
          </cell>
          <cell r="E3982">
            <v>85340033</v>
          </cell>
          <cell r="F3982" t="str">
            <v>Not applicable</v>
          </cell>
          <cell r="G3982">
            <v>85340033</v>
          </cell>
          <cell r="H3982" t="str">
            <v>PLACA DE CIRCUITO IMPRESSO DE NATUREZA DO MATERIAL BASE RIGIDO, COMPOSICAO DA PLACA COM ISOLANTE DE RESINA EPOXIDA E TECIDO DE FIBRA DE VIDRO, ESTRUTURA DE DUPLA FACE, E INTERLIGACAO ENTRE FACES COM FUROS METALIZADOS, 2 213.23mmx138.11mmx1.6mm, 18 SEÇÕES, ROHS SMD.</v>
          </cell>
        </row>
        <row r="3983">
          <cell r="B3983" t="str">
            <v>HXB8031ZR21001</v>
          </cell>
          <cell r="C3983" t="str">
            <v>HXB8031ZR21001</v>
          </cell>
          <cell r="E3983">
            <v>85177900</v>
          </cell>
          <cell r="G3983">
            <v>85177900</v>
          </cell>
          <cell r="H3983" t="str">
            <v>PLACA DE CIRCUITO IMPRESSO MONTADA (PCBA) COM MÓDULO RF LORA INTEGRADO, COM ANTENA, DESTINADA À TRANSMISSÃO DE DADOS SEM FIO, OPERA NA FAIXA DE FREQUENCIA DE 902 - 928 MHz, PARTE E ACESSÓRIO DE EQUIPAMENTO DE MEDIÇÃO DE ENERGIA ELÉTRICA</v>
          </cell>
        </row>
        <row r="3984">
          <cell r="B3984">
            <v>4020119260</v>
          </cell>
          <cell r="C3984">
            <v>4020119260</v>
          </cell>
          <cell r="E3984">
            <v>85043119</v>
          </cell>
          <cell r="G3984">
            <v>85043119</v>
          </cell>
          <cell r="H3984" t="str">
            <v>TRANSFORMADOR DE TENSÃO MODELO KPB12.029C, POTÊNCIA 15 VA POR SAÍDA, TENSÃO DE ENTRADA VARIÁVEL 0–140 VOLTS, TENSÃO DE SAÍDA AJUSTÁVEL 0–300 VOLTS, FREQUÊNCIA DE OPERAÇÃO 50/60 HZ, (REF. 4020119260)</v>
          </cell>
        </row>
        <row r="3985">
          <cell r="B3985">
            <v>3051512540</v>
          </cell>
          <cell r="C3985">
            <v>3051512540</v>
          </cell>
          <cell r="E3985">
            <v>73269090</v>
          </cell>
          <cell r="G3985">
            <v>73269090</v>
          </cell>
          <cell r="H3985" t="str">
            <v>ANEL DE ATERRAMENTO DE DIAMETRO INTERNO E EXTERNO DE 102X154, RESPECTIVAMENTE, FEITO EM CHAPA DE AÇO INOXIDÁVEL DE ESPESSURA DE 2MM PARA PROTEÇÃO DE MEDIDORES DE ÁGUA (CONTADORES DE LIQUIDOS) INDUSTRIAIS DE DIÂMETRO NOMINAL DE 100MM</v>
          </cell>
        </row>
        <row r="3986">
          <cell r="B3986">
            <v>3030300370</v>
          </cell>
          <cell r="C3986">
            <v>3030300370</v>
          </cell>
          <cell r="E3986">
            <v>73181500</v>
          </cell>
          <cell r="G3986">
            <v>73181500</v>
          </cell>
          <cell r="H3986" t="str">
            <v>PARAFUSO AUTOATARAXANTE (SELF-TAPPING), MATERIAL AÇO CARBONO, DIÂMETRO 3,5 MM, COMPRIMENTO 14 MM, CABEÇA TIPO PANELA (PAN HEAD) COM FLANGE, REVESTIMENTO ZINCADO AMARELO.</v>
          </cell>
        </row>
        <row r="3987">
          <cell r="B3987" t="str">
            <v xml:space="preserve">MJN53R31404-EDP </v>
          </cell>
          <cell r="C3987" t="str">
            <v xml:space="preserve">MJN53R31404-EDP </v>
          </cell>
          <cell r="E3987">
            <v>85176277</v>
          </cell>
          <cell r="G3987">
            <v>85176277</v>
          </cell>
          <cell r="H3987" t="str">
            <v>MODULOS DE COMUNICACAO RF (MJN53R31404-COMM) PARA MEDIDORES INTELIGENTES DE ENERGIA ELETRICA COM TECNOLOGIA WISUN, CAPAZES DE OPERAR NA FAIXA ISM DE 902 A 928 MHZ EM REDES DE TOPOLOGIA "MESH" OU "ESTRELA" COM ESPALHAMENTO ESPECTRAL POR SALTO EM FREQUENCIA (FHSS), ENDERECAMENTO IPV6 E POTENCIA DE TRANSMISSAO DE ATE +30 DBM, COM INTERFACE DE COMUNICACAO DE DADOS SERIAL TTL E ALIMENTACAO 8VDC, DISPONIVEL COM ANTENA INTERNA.(MJN53R31404-EDP)</v>
          </cell>
        </row>
        <row r="3988">
          <cell r="B3988" t="str">
            <v>GADGET.R130</v>
          </cell>
          <cell r="C3988" t="str">
            <v>GADGET.R130</v>
          </cell>
          <cell r="E3988">
            <v>90283090</v>
          </cell>
          <cell r="G3988">
            <v>90283090</v>
          </cell>
          <cell r="H3988" t="str">
            <v xml:space="preserve">ADAPTADOR ELÉTRICO PARA AFERIÇÃO DE MÓDULOS DE MEDIÇÃO DE SISTEMAS DE MEDIÇÃO CENTRALIZADA EM BANCADAS DE MEDIDORES ELETRÔNICO CONVENCIONAIS MONOFASICOS, BIFASICOS E TRIFASICOS  </v>
          </cell>
        </row>
        <row r="3989">
          <cell r="B3989">
            <v>5210201050</v>
          </cell>
          <cell r="C3989">
            <v>5210201050</v>
          </cell>
          <cell r="E3989">
            <v>90289090</v>
          </cell>
          <cell r="G3989">
            <v>90289090</v>
          </cell>
          <cell r="H3989" t="str">
            <v>CARCAÇA/TUBO DE COBRE COM NÚCLEO PLÁSTICO, PARTE EXCLUSIVA PARA HIDRÔMETRO RESIDENCIAL DN20, COM COMPRIMENTO 190 mm, MATERIAL 60% COBRE, DECAPADO, ESPESSURA 3,3 mm, ACOMPANHADA DE 1 PAR DE TRANSDUTORES, 1 PLACA DE PRESSÃO METÁLICA, 2 ANÉIS DE VEDAÇÃO E 4 PARAFUSOS – PARTE PARA HIDRÔMETRO.</v>
          </cell>
        </row>
        <row r="3990">
          <cell r="B3990">
            <v>7079902850</v>
          </cell>
          <cell r="C3990">
            <v>7079902850</v>
          </cell>
          <cell r="E3990">
            <v>84705010</v>
          </cell>
          <cell r="G3990">
            <v>84705010</v>
          </cell>
          <cell r="H3990" t="str">
            <v>TERMINAL ELETRONICO INTELIGENTE POS (POINT OF SALE) PARA COLETA DE DADOS DE MEDIÇÃO INTELIGENTE PARA FATURAMENTO (MODELO POS10Q), COM FUNÇÃO DE CÁLCULO INCORPORADA, CAPAZ DE EMITIR BILHETES, DOTADO DE MÓDULO DE COMUNICAÇÃO REMOTA SEM FIO (WIFI/CELULAR) E GPS INTEGRADO, USADO PARA REGISTRO, PROCESSAMENTO, CAPTURA E TRANSMISSÃO DE DADOS.</v>
          </cell>
        </row>
        <row r="3991">
          <cell r="B3991">
            <v>3080107090</v>
          </cell>
          <cell r="C3991">
            <v>3080107090</v>
          </cell>
          <cell r="E3991">
            <v>40169300</v>
          </cell>
          <cell r="G3991">
            <v>40169300</v>
          </cell>
          <cell r="H3991" t="str">
            <v>GAXETA DE VEDACAO DE MATERIAL EVA, DO VISOR DE HIDROMETROS (CONTADORES DE LIQUIDOS) RESIDENCIAIS + NBIOT, 30801-LCXA-04; 64x38x10; EVA; 60±5°; não retardante de chama; cor preta (PANTONE Black C); adesivo em ambos os lados; não RoHS.</v>
          </cell>
        </row>
        <row r="3992">
          <cell r="B3992">
            <v>7020832261</v>
          </cell>
          <cell r="C3992">
            <v>7020832261</v>
          </cell>
          <cell r="E3992">
            <v>84807100</v>
          </cell>
          <cell r="G3992">
            <v>84807100</v>
          </cell>
          <cell r="H3992" t="str">
            <v>MOLDE DE INJECAO PARA FABRICACAO DE PECAS PLASTICAS, MODELO BASE DO MEDIDOR DE AGUA NB (CONTADOR DE LIQUIDO), SEM VALVULA, FABRICADO EM ACO, DESTINADO A PROCESSOS INDUSTRIAIS DE MOLDAGEM POR INJECAO, UTILIZADO EM MAQUINAS INJETORAS  - CODIGO W25237.</v>
          </cell>
        </row>
        <row r="3993">
          <cell r="B3993">
            <v>4020119940</v>
          </cell>
          <cell r="C3993">
            <v>4020119940</v>
          </cell>
          <cell r="E3993">
            <v>84719012</v>
          </cell>
          <cell r="G3993">
            <v>84719012</v>
          </cell>
          <cell r="H3993" t="str">
            <v>LEITOR DE CÓDIGO DE BARRAS BIDIMENSIONAL (2D), FIXO, INDUSTRIAL, MARCA DATALOGIC, MODELO MATRIX 210 (M120 210-010), TECNOLOGIA DE LEITURA ÓPTICA POR IMAGEM, DESTINADO À CAPTURA E DECODIFICAÇÃO DE CÓDIGOS PARA INTEGRAÇÃO COM SISTEMAS AUTOMÁTICOS DE PROCESSAMENTO DE DADOS, ACOMPANHADO DE CABOS DE COMUNICAÇÃO E FONTE DE ALIMENTAÇÃO.</v>
          </cell>
        </row>
        <row r="3994">
          <cell r="B3994">
            <v>4020119950</v>
          </cell>
          <cell r="C3994">
            <v>4020119950</v>
          </cell>
          <cell r="E3994">
            <v>85258913</v>
          </cell>
          <cell r="G3994">
            <v>85258913</v>
          </cell>
          <cell r="H3994" t="str">
            <v>CÂMERA INDUSTRIAL DE VISÃO ARTIFICIAL (MACHINE VISION), MARCA HIKVISION, MODELO MV-CA060-11GM, COM SENSOR DE IMAGEM TIPO CMOS, INTERFACE GIGABIT ETHERNET (GIGE), DESTINADA À CAPTURA DE IMAGENS EM TEMPO REAL PARA SISTEMAS DE AUTOMAÇÃO E INSPEÇÃO INDUSTRIAL</v>
          </cell>
        </row>
        <row r="3995">
          <cell r="B3995">
            <v>4020611540</v>
          </cell>
          <cell r="C3995">
            <v>4020611540</v>
          </cell>
          <cell r="E3995">
            <v>85044040</v>
          </cell>
          <cell r="G3995">
            <v>85044040</v>
          </cell>
          <cell r="H3995" t="str">
            <v>FONTE DE ALIMENTAÇÃO AC PROGRAMÁVEL, MODELO AN9602B, FAIXA DE TENSÃO DE 0,10 KV A 5,00 KV, CORRENTE MÁXIMA DE 100 MA, POTÊNCIA NOMINAL DE 500 VA, EQUIPAMENTO PARA TESTES ELÉTRICOS, PRODUTO NOVO, DESTINADO A USO INDUSTRIAL</v>
          </cell>
        </row>
        <row r="3996">
          <cell r="B3996">
            <v>2011102170</v>
          </cell>
          <cell r="C3996">
            <v>2011102170</v>
          </cell>
          <cell r="E3996">
            <v>85334012</v>
          </cell>
          <cell r="G3996">
            <v>85334012</v>
          </cell>
          <cell r="H3996" t="str">
            <v>VARISTOR, RESISTÊNCIA ELÉTRICA NÃO LINEAR, TENSÃO NOMINAL 820V, TOLERÂNCIA 10%, TENSÃO DE OPERAÇÃO 510VAC, CORRENTE MÁXIMA 10000A, MONTAGEM PTH, DIMENSÕES 18,0 X 8,4/9,7 MM</v>
          </cell>
        </row>
        <row r="3997">
          <cell r="B3997">
            <v>3020131549</v>
          </cell>
          <cell r="C3997">
            <v>3020131549</v>
          </cell>
          <cell r="E3997">
            <v>90289010</v>
          </cell>
          <cell r="G3997">
            <v>90289010</v>
          </cell>
          <cell r="H3997" t="str">
            <v>BASE PARA MEDIDOR DE ENERGIA ELETRICA PANTHEON NG-MM1, PARTE PARA MONTAGEM DE CONTADORES DE ELETRICIDADE (3020131549)</v>
          </cell>
        </row>
        <row r="3998">
          <cell r="B3998">
            <v>3020312139</v>
          </cell>
          <cell r="C3998">
            <v>3020312139</v>
          </cell>
          <cell r="E3998">
            <v>90289010</v>
          </cell>
          <cell r="G3998">
            <v>90289010</v>
          </cell>
          <cell r="H3998" t="str">
            <v>TAMPA PARA MEDIDOR DE ENERGIA ELETRICA PANTHEON NG-MM1, PARTE PARA MONTAGEM DE CONTADORES DE ELETRICIDADE (3020312139)</v>
          </cell>
        </row>
        <row r="3999">
          <cell r="B3999">
            <v>3080703010</v>
          </cell>
          <cell r="C3999">
            <v>3080703010</v>
          </cell>
          <cell r="E3999">
            <v>40169300</v>
          </cell>
          <cell r="G3999">
            <v>40169300</v>
          </cell>
          <cell r="H3999" t="str">
            <v>ORING (GAXETA) DE VEDACAO DE TRANSDUTOR,DE MATERIAL DE BORRACHA VULCANIZADA NAO ENDURECIDA DE SILICONE PARA HIDROMETROS (CONTADORES DE LIQUIDOS) INDUSTRIAIS, DIAM 2MM.</v>
          </cell>
        </row>
        <row r="4000">
          <cell r="B4000">
            <v>4031000510</v>
          </cell>
          <cell r="C4000">
            <v>4031000510</v>
          </cell>
          <cell r="E4000">
            <v>84807100</v>
          </cell>
          <cell r="G4000">
            <v>84807100</v>
          </cell>
          <cell r="H4000" t="str">
            <v>POSTIÇO CENTRAL DE ALOJAMENTO DOS TERMINAIS, COMPONENTE EXCLUSIVO DE MOLDE DE INJEÇÃO PLÁSTICA, USINADO EM AÇO FERRAMENTA, PROJETADO PARA POSICIONAMENTO E CONFORMAÇÃO DOS TERMINAIS METÁLICOS DURANTE O PROCESSO DE INJEÇÃO, SEM APLICAÇÃO AUTÔNOMA, DESTINADO EXCLUSIVAMENTE AO MOLDE CÓDIGO S25045, POSICAO SI-I</v>
          </cell>
        </row>
        <row r="4001">
          <cell r="B4001">
            <v>4031000520</v>
          </cell>
          <cell r="C4001">
            <v>4031000520</v>
          </cell>
          <cell r="E4001">
            <v>84807100</v>
          </cell>
          <cell r="G4001">
            <v>84807100</v>
          </cell>
          <cell r="H4001" t="str">
            <v>POSTIÇO CENTRAL DE ALOJAMENTO DOS TERMINAIS, COMPONENTE EXCLUSIVO DE MOLDE DE INJEÇÃO PLÁSTICA, USINADO EM AÇO FERRAMENTA, PROJETADO PARA POSICIONAMENTO E CONFORMAÇÃO DOS TERMINAIS METÁLICOS DURANTE O PROCESSO DE INJEÇÃO, SEM APLICAÇÃO AUTÔNOMA, DESTINADO EXCLUSIVAMENTE AO MOLDE CÓDIGO S25045, POSICAO B2</v>
          </cell>
        </row>
        <row r="4002">
          <cell r="B4002">
            <v>4031000530</v>
          </cell>
          <cell r="C4002">
            <v>4031000530</v>
          </cell>
          <cell r="E4002">
            <v>84807100</v>
          </cell>
          <cell r="G4002">
            <v>84807100</v>
          </cell>
          <cell r="H4002" t="str">
            <v>POSTIÇO DE PASSAGEM DO LACRE, COMPONENTE EXCLUSIVO DE MOLDE DE INJEÇÃO PLÁSTICA, USINADO EM AÇO FERRAMENTA, PROJETADO PARA FORMAR E PERMITIR A PASSAGEM DO LACRE NA PEÇA INJETADA DURANTE O PROCESSO PRODUTIVO, SEM APLICAÇÃO AUTÔNOMA, DESTINADO EXCLUSIVAMENTE AO MOLDE CÓDIGO S25045, POSICAO B3</v>
          </cell>
        </row>
        <row r="4003">
          <cell r="B4003">
            <v>4031000540</v>
          </cell>
          <cell r="C4003">
            <v>4031000540</v>
          </cell>
          <cell r="E4003">
            <v>84807100</v>
          </cell>
          <cell r="G4003">
            <v>84807100</v>
          </cell>
          <cell r="H4003" t="str">
            <v>POSTIÇO DE PASSAGEM DO LACRE, COMPONENTE EXCLUSIVO DE MOLDE DE INJEÇÃO PLÁSTICA, USINADO EM AÇO FERRAMENTA, PROJETADO PARA FORMAR E PERMITIR A PASSAGEM DO LACRE NA PEÇA INJETADA DURANTE O PROCESSO PRODUTIVO, SEM APLICAÇÃO AUTÔNOMA, DESTINADO EXCLUSIVAMENTE AO MOLDE CÓDIGO S25045, POSICAO B4</v>
          </cell>
        </row>
        <row r="4004">
          <cell r="B4004">
            <v>4031000550</v>
          </cell>
          <cell r="C4004">
            <v>4031000550</v>
          </cell>
          <cell r="E4004">
            <v>84807100</v>
          </cell>
          <cell r="G4004">
            <v>84807100</v>
          </cell>
          <cell r="H4004" t="str">
            <v>POSTIÇO DE ENCAIXE DOS TERMINAIS, COMPONENTE EXCLUSIVO DE MOLDE DE INJEÇÃO PLÁSTICA, USINADO EM AÇO FERRAMENTA, PROJETADO PARA O CORRETO POSICIONAMENTO E ENCAIXE DOS TERMINAIS METÁLICOS DURANTE O PROCESSO DE INJEÇÃO, SEM APLICAÇÃO AUTÔNOMA, DESTINADO EXCLUSIVAMENTE AO MOLDE CÓDIGO S25045, POSICAO B5</v>
          </cell>
        </row>
        <row r="4005">
          <cell r="B4005">
            <v>4031000560</v>
          </cell>
          <cell r="C4005">
            <v>4031000560</v>
          </cell>
          <cell r="E4005">
            <v>84807100</v>
          </cell>
          <cell r="G4005">
            <v>84807100</v>
          </cell>
          <cell r="H4005" t="str">
            <v>POSTIÇO DIVISÓRIA DE ALOJAMENTO DO TERMINAL, COMPONENTE EXCLUSIVO DE MOLDE DE INJEÇÃO PLÁSTICA, USINADO EM AÇO FERRAMENTA, PROJETADO PARA SEPARAR, POSICIONAR E CONFORMAR O ALOJAMENTO DOS TERMINAIS DURANTE O PROCESSO DE INJEÇÃO, SEM APLICAÇÃO AUTÔNOMA, DESTINADO EXCLUSIVAMENTE AO MOLDE CÓDIGO S25045, POSICAO B6</v>
          </cell>
        </row>
        <row r="4006">
          <cell r="B4006">
            <v>4031000570</v>
          </cell>
          <cell r="C4006">
            <v>4031000570</v>
          </cell>
          <cell r="E4006">
            <v>84807100</v>
          </cell>
          <cell r="G4006">
            <v>84807100</v>
          </cell>
          <cell r="H4006" t="str">
            <v>POSTIÇO DIVISÓRIA DE ALOJAMENTO DO TERMINAL, COMPONENTE EXCLUSIVO DE MOLDE DE INJEÇÃO PLÁSTICA, USINADO EM AÇO FERRAMENTA, PROJETADO PARA SEPARAR, POSICIONAR E CONFORMAR O ALOJAMENTO DOS TERMINAIS DURANTE O PROCESSO DE INJEÇÃO, SEM APLICAÇÃO AUTÔNOMA, DESTINADO EXCLUSIVAMENTE AO MOLDE CÓDIGO S25045, POSICAO B7</v>
          </cell>
        </row>
        <row r="4007">
          <cell r="B4007">
            <v>4031000580</v>
          </cell>
          <cell r="C4007">
            <v>4031000580</v>
          </cell>
          <cell r="E4007">
            <v>84807100</v>
          </cell>
          <cell r="G4007">
            <v>84807100</v>
          </cell>
          <cell r="H4007" t="str">
            <v>POSTIÇO DE ENCAIXE DO TERMINAL, COMPONENTE EXCLUSIVO DE MOLDE DE INJEÇÃO PLÁSTICA, USINADO EM AÇO FERRAMENTA, PROJETADO PARA O CORRETO POSICIONAMENTO E ENCAIXE DO TERMINAL METÁLICO DURANTE O PROCESSO DE INJEÇÃO, SEM APLICAÇÃO AUTÔNOMA, DESTINADO EXCLUSIVAMENTE AO MOLDE CÓDIGO S25045, POSICAO B8</v>
          </cell>
        </row>
        <row r="4008">
          <cell r="B4008">
            <v>4031000590</v>
          </cell>
          <cell r="C4008">
            <v>4031000590</v>
          </cell>
          <cell r="E4008">
            <v>84807100</v>
          </cell>
          <cell r="G4008">
            <v>84807100</v>
          </cell>
          <cell r="H4008" t="str">
            <v>POSTIÇO PARTE EXTERNA FRONTAL, COMPONENTE EXCLUSIVO DE MOLDE DE INJEÇÃO PLÁSTICA, USINADO EM AÇO FERRAMENTA, PROJETADO PARA CONFORMAR A GEOMETRIA EXTERNA FRONTAL DA PEÇA INJETADA DURANTE O PROCESSO PRODUTIVO, SEM APLICAÇÃO AUTÔNOMA, DESTINADO EXCLUSIVAMENTE AO MOLDE CÓDIGO S25046, POSICAO B1</v>
          </cell>
        </row>
        <row r="4009">
          <cell r="B4009">
            <v>4031000600</v>
          </cell>
          <cell r="C4009">
            <v>4031000600</v>
          </cell>
          <cell r="E4009">
            <v>84807100</v>
          </cell>
          <cell r="G4009">
            <v>84807100</v>
          </cell>
          <cell r="H4009" t="str">
            <v>POSTIÇO PARTE EXTERNA FRONTAL, COMPONENTE EXCLUSIVO DE MOLDE DE INJEÇÃO PLÁSTICA, USINADO EM AÇO FERRAMENTA, PROJETADO PARA CONFORMAR A GEOMETRIA EXTERNA FRONTAL DA PEÇA INJETADA DURANTE O PROCESSO PRODUTIVO, SEM APLICAÇÃO AUTÔNOMA, DESTINADO EXCLUSIVAMENTE AO MOLDE CÓDIGO S25046, POSICAO B2</v>
          </cell>
        </row>
        <row r="4010">
          <cell r="B4010">
            <v>4031000610</v>
          </cell>
          <cell r="C4010">
            <v>4031000610</v>
          </cell>
          <cell r="E4010">
            <v>84807100</v>
          </cell>
          <cell r="G4010">
            <v>84807100</v>
          </cell>
          <cell r="H4010" t="str">
            <v>CAME DE EXTRAÇÃO, COMPONENTE EXCLUSIVO DE MOLDE DE INJEÇÃO PLÁSTICA, USINADO EM AÇO FERRAMENTA, PROJETADO PARA PROMOVER A MOVIMENTAÇÃO LATERAL E A EXTRAÇÃO DA PEÇA INJETADA DURANTE O CICLO DE ABERTURA DO MOLDE, SEM APLICAÇÃO AUTÔNOMA, DESTINADO EXCLUSIVAMENTE AO MOLDE CÓDIGO S25049, POSICAO S3-3</v>
          </cell>
        </row>
        <row r="4011">
          <cell r="B4011">
            <v>4031000620</v>
          </cell>
          <cell r="C4011">
            <v>4031000620</v>
          </cell>
          <cell r="E4011">
            <v>84807100</v>
          </cell>
          <cell r="G4011">
            <v>84807100</v>
          </cell>
          <cell r="H4011" t="str">
            <v>CAME DE EXTRAÇÃO, COMPONENTE EXCLUSIVO DE MOLDE DE INJEÇÃO PLÁSTICA, USINADO EM AÇO FERRAMENTA, PROJETADO PARA PROMOVER A MOVIMENTAÇÃO LATERAL E A EXTRAÇÃO DA PEÇA INJETADA DURANTE O CICLO DE ABERTURA DO MOLDE, SEM APLICAÇÃO AUTÔNOMA, DESTINADO EXCLUSIVAMENTE AO MOLDE CÓDIGO S25049, POSICAO S3-4</v>
          </cell>
        </row>
        <row r="4012">
          <cell r="B4012">
            <v>4031000630</v>
          </cell>
          <cell r="C4012">
            <v>4031000630</v>
          </cell>
          <cell r="E4012">
            <v>84807100</v>
          </cell>
          <cell r="G4012">
            <v>84807100</v>
          </cell>
          <cell r="H4012" t="str">
            <v>POSTIÇO DE ENCAIXE DA TAMPA DA BATERIA, COMPONENTE EXCLUSIVO DE MOLDE DE INJEÇÃO PLÁSTICA, USINADO EM AÇO FERRAMENTA, PROJETADO PARA CONFORMAR E GARANTIR O CORRETO ENCAIXE DA TAMPA DA BATERIA NA PEÇA INJETADA DURANTE O PROCESSO PRODUTIVO, SEM APLICAÇÃO AUTÔNOMA, DESTINADO EXCLUSIVAMENTE AO MOLDE CÓDIGO S25049, POSICAO S2-2</v>
          </cell>
        </row>
        <row r="4013">
          <cell r="B4013">
            <v>4031000640</v>
          </cell>
          <cell r="C4013">
            <v>4031000640</v>
          </cell>
          <cell r="E4013">
            <v>84807100</v>
          </cell>
          <cell r="G4013">
            <v>84807100</v>
          </cell>
          <cell r="H4013" t="str">
            <v>POSTIÇO DE ENCAIXE DO TERMINAL, COMPONENTE EXCLUSIVO DE MOLDE DE INJEÇÃO PLÁSTICA, USINADO EM AÇO FERRAMENTA, PROJETADO PARA O CORRETO POSICIONAMENTO E ENCAIXE DO TERMINAL METÁLICO DURANTE O PROCESSO DE INJEÇÃO, SEM APLICAÇÃO AUTÔNOMA, DESTINADO EXCLUSIVAMENTE AO MOLDE CÓDIGO S25049, POSIÇÃO A15 + INTERCAMBIÁVEL</v>
          </cell>
        </row>
        <row r="4014">
          <cell r="B4014">
            <v>4031000650</v>
          </cell>
          <cell r="C4014">
            <v>4031000650</v>
          </cell>
          <cell r="E4014">
            <v>84807100</v>
          </cell>
          <cell r="G4014">
            <v>84807100</v>
          </cell>
          <cell r="H4014" t="str">
            <v>POSTIÇO DE ENCAIXE DO TERMINAL, COMPONENTE EXCLUSIVO DE MOLDE DE INJEÇÃO PLÁSTICA, USINADO EM AÇO FERRAMENTA, PROJETADO PARA O CORRETO POSICIONAMENTO E ENCAIXE DO TERMINAL METÁLICO DURANTE O PROCESSO DE INJEÇÃO, SEM APLICAÇÃO AUTÔNOMA, DESTINADO EXCLUSIVAMENTE AO MOLDE CÓDIGO S25049, POSIÇÃO A16 + INTERCAMBIÁVEL</v>
          </cell>
        </row>
        <row r="4015">
          <cell r="B4015">
            <v>4031000660</v>
          </cell>
          <cell r="C4015">
            <v>4031000660</v>
          </cell>
          <cell r="E4015">
            <v>84807100</v>
          </cell>
          <cell r="G4015">
            <v>84807100</v>
          </cell>
          <cell r="H4015" t="str">
            <v>POSTIÇO DE ENCAIXE DO TERMINAL, COMPONENTE EXCLUSIVO DE MOLDE DE INJEÇÃO PLÁSTICA, USINADO EM AÇO FERRAMENTA, PROJETADO PARA O CORRETO POSICIONAMENTO E ENCAIXE DO TERMINAL METÁLICO DURANTE O PROCESSO DE INJEÇÃO, SEM APLICAÇÃO AUTÔNOMA, DESTINADO EXCLUSIVAMENTE AO MOLDE CÓDIGO S25049, POSICAO A17</v>
          </cell>
        </row>
        <row r="4016">
          <cell r="B4016">
            <v>4031000670</v>
          </cell>
          <cell r="C4016">
            <v>4031000670</v>
          </cell>
          <cell r="E4016">
            <v>84807100</v>
          </cell>
          <cell r="G4016">
            <v>84807100</v>
          </cell>
          <cell r="H4016" t="str">
            <v>POSTIÇO DE ENCAIXE DO TERMINAL, COMPONENTE EXCLUSIVO DE MOLDE DE INJEÇÃO PLÁSTICA, USINADO EM AÇO FERRAMENTA, PROJETADO PARA O CORRETO POSICIONAMENTO E ENCAIXE DO TERMINAL METÁLICO DURANTE O PROCESSO DE INJEÇÃO, SEM APLICAÇÃO AUTÔNOMA, DESTINADO EXCLUSIVAMENTE AO MOLDE CÓDIGO S25049, POSICAO A18</v>
          </cell>
        </row>
        <row r="4017">
          <cell r="B4017">
            <v>4031000680</v>
          </cell>
          <cell r="C4017">
            <v>4031000680</v>
          </cell>
          <cell r="E4017">
            <v>84807100</v>
          </cell>
          <cell r="G4017">
            <v>84807100</v>
          </cell>
          <cell r="H4017" t="str">
            <v>POSTIÇO DE ENCAIXE DA ÁREA DO VISOR, COMPONENTE EXCLUSIVO DE MOLDE DE INJEÇÃO PLÁSTICA, USINADO EM AÇO FERRAMENTA, PROJETADO PARA CONFORMAR E GARANTIR O CORRETO ENCAIXE DA ÁREA DO VISOR NA PEÇA INJETADA DURANTE O PROCESSO PRODUTIVO, SEM APLICAÇÃO AUTÔNOMA, DESTINADO EXCLUSIVAMENTE AO MOLDE CÓDIGO S25049, POSICAO A14</v>
          </cell>
        </row>
        <row r="4018">
          <cell r="B4018">
            <v>4031000690</v>
          </cell>
          <cell r="C4018">
            <v>4031000690</v>
          </cell>
          <cell r="E4018">
            <v>84807100</v>
          </cell>
          <cell r="G4018">
            <v>84807100</v>
          </cell>
          <cell r="H4018" t="str">
            <v>POSTIÇO DA REGIÃO DE GUIA PARA ENCAIXE DA TAMPA DO BLOCO, COMPONENTE EXCLUSIVO DE MOLDE DE INJEÇÃO PLÁSTICA, USINADO EM AÇO FERRAMENTA, PROJETADO PARA ORIENTAR E GARANTIR O CORRETO ENCAIXE DA TAMPA DO BLOCO DURANTE O PROCESSO DE INJEÇÃO, SEM APLICAÇÃO AUTÔNOMA, DESTINADO EXCLUSIVAMENTE AO MOLDE CÓDIGO S25050, POSICAO B9</v>
          </cell>
        </row>
        <row r="4019">
          <cell r="B4019">
            <v>4031000700</v>
          </cell>
          <cell r="C4019">
            <v>4031000700</v>
          </cell>
          <cell r="E4019">
            <v>84807100</v>
          </cell>
          <cell r="G4019">
            <v>84807100</v>
          </cell>
          <cell r="H4019" t="str">
            <v>POSTIÇO DA REGIÃO DE GUIA PARA ENCAIXE DA TAMPA DO BLOCO, COMPONENTE EXCLUSIVO DE MOLDE DE INJEÇÃO PLÁSTICA, USINADO EM AÇO FERRAMENTA, PROJETADO PARA ORIENTAR E GARANTIR O CORRETO ENCAIXE DA TAMPA DO BLOCO DURANTE O PROCESSO DE INJEÇÃO, SEM APLICAÇÃO AUTÔNOMA, DESTINADO EXCLUSIVAMENTE AO MOLDE CÓDIGO S25050, POSICAO B11</v>
          </cell>
        </row>
        <row r="4020">
          <cell r="B4020">
            <v>2070700600</v>
          </cell>
          <cell r="C4020">
            <v>2070700600</v>
          </cell>
          <cell r="E4020">
            <v>85076000</v>
          </cell>
          <cell r="G4020">
            <v>85076000</v>
          </cell>
          <cell r="H4020" t="str">
            <v>ACUMULADOR ELÉTRICO DE ÍONS DE LÍTIO (LIFEPO4), CILÍNDRICO, MODELO IFR18650, 12,8V, 1,5AH, DIMENSÕES 65,2±0,2MM (ALTURA) X 18,3±0,2MM (DIÂMETRO), REVESTIDO, RECARREGÁVEL (2070700600)</v>
          </cell>
        </row>
        <row r="4021">
          <cell r="B4021">
            <v>4032502080</v>
          </cell>
          <cell r="C4021">
            <v>4032502080</v>
          </cell>
          <cell r="E4021">
            <v>90319010</v>
          </cell>
          <cell r="F4021" t="str">
            <v>Not applicable</v>
          </cell>
          <cell r="G4021">
            <v>90319010</v>
          </cell>
          <cell r="H4021" t="str">
            <v>DISPOSITIVO PARA TESTE FUNCIONAL (FCT) DE PLACAS ELETRONICAS, PARTE PARA USO EM BANCADA DE ENSAIO DE TESTES DE CONTADORES (4032502080).</v>
          </cell>
        </row>
        <row r="4022">
          <cell r="B4022">
            <v>7020705690</v>
          </cell>
          <cell r="C4022">
            <v>7020705690</v>
          </cell>
          <cell r="E4022">
            <v>84193900</v>
          </cell>
          <cell r="G4022">
            <v>84193900</v>
          </cell>
          <cell r="H4022" t="str">
            <v>SECADOR DE AR COMPRIMIDO POR REFRIGERAÇÃO, TIPO INDUSTRIAL, MARCA RISHENG, MODELO RSLF-200-PD, UTILIZADO EM SISTEMAS INDUSTRIAIS PARA REMOÇÃO DE UMIDADE DO AR COMPRIMIDO, ASSEGURANDO MAIOR EFICIÊNCIA OPERACIONAL, QUALIDADE DO AR E PROTEÇÃO DOS COMPONENTES PNEUMÁTICOS CONECTADOS AO SISTEMA. EQUIPAMENTO COM CAPACIDADE DE VAZÃO NOMINAL DE 22 M³/MIN, PONTO DE ORVALHO ENTRE 2 E 10 °C, REFRIGERANTE R407C, ALIMENTAÇÃO ELÉTRICA DE 380–400 V, TRIFÁSICA, FREQUÊNCIA DE 50 HZ, POTÊNCIA INSTALADA DE 4,5 KW, EQUIPAMENTO COMPLETO, COM FUNÇÃO PRÓPRIA, PRODUTO NOVO, DESTINADO A USO INDUSTRIAL. NUMERO DE SERIE XXXXXX E ANO DE FABRICAÇÃO XXXXX</v>
          </cell>
        </row>
        <row r="4023">
          <cell r="B4023">
            <v>7020502510</v>
          </cell>
          <cell r="C4023">
            <v>7020502510</v>
          </cell>
          <cell r="E4023">
            <v>90221999</v>
          </cell>
          <cell r="G4023">
            <v>90221999</v>
          </cell>
          <cell r="H4023" t="str">
            <v>MAQUINA DE CONTAGEM POR RAIOS X (X-RAY COUNTING MACHINE), MODELO XC-3100, UTILIZADA PARA INSPEÇÃO E CONTAGEM INDUSTRIAL DE COMPONENTES ELETRÔNICOS, EQUIPADA COM TUBO DE RAIOS X, TENSAO MAXIMA DE 50 KV, POTENCIA DE 1200 W, ALIMENTACAO ELETRICA 110 V / 220 V – 50/60 HZ, SISTEMA DE ANALISE POR IMAGEM</v>
          </cell>
        </row>
        <row r="4024">
          <cell r="B4024">
            <v>4020603150</v>
          </cell>
          <cell r="C4024">
            <v>4020603150</v>
          </cell>
          <cell r="E4024">
            <v>85177900</v>
          </cell>
          <cell r="G4024">
            <v>85177900</v>
          </cell>
          <cell r="H4024" t="str">
            <v>CABO DE COMUNICACAO POR INFRAVERMELHO  9 PIN, PARTE PARA MONTAGEM DE EQUIPAMENTO DE COMUNICACAO DE DADOS</v>
          </cell>
        </row>
        <row r="4025">
          <cell r="B4025">
            <v>4020219930</v>
          </cell>
          <cell r="C4025">
            <v>4020219930</v>
          </cell>
          <cell r="E4025">
            <v>76169900</v>
          </cell>
          <cell r="G4025">
            <v>76169900</v>
          </cell>
          <cell r="H4025" t="str">
            <v>ADAPTADOR PARA MANGUEIRA PNEUMÁTICA MODELO PC6-M12*1.5G, FABRICADO EM AÇO INOXIDÁVEL 304, DESTINADO À CONEXÃO DE SISTEMAS DE AR COMPRIMIDO, PRODUTO NOVO, PARA USO INDUSTRIAL</v>
          </cell>
        </row>
        <row r="4026">
          <cell r="B4026">
            <v>3061900200</v>
          </cell>
          <cell r="C4026">
            <v>3061900200</v>
          </cell>
          <cell r="E4026">
            <v>85389090</v>
          </cell>
          <cell r="G4026">
            <v>85389090</v>
          </cell>
          <cell r="H4026" t="str">
            <v xml:space="preserve">ADAPTADOR PARA TAMPA DE COBERTURA DE BATERIA DE RELÉ, FABRICADO EM MATERIAL PLÁSTICO DE ALTA RESISTÊNCIA, UTILIZADO EM EQUIPAMENTOS DE TESTE DE ESTANQUEIDADE, PRODUTO NOVO, DESTINADO A USO INDUSTRIAL (3061900200)
</v>
          </cell>
        </row>
        <row r="4027">
          <cell r="B4027">
            <v>4020810980</v>
          </cell>
          <cell r="C4027">
            <v>4020810980</v>
          </cell>
          <cell r="E4027">
            <v>84679900</v>
          </cell>
          <cell r="G4027">
            <v>84679900</v>
          </cell>
          <cell r="H4027" t="str">
            <v>BIT INTERCAMBIÁVEL PARA PARAFUSADEIRA ELÉTRICA, FABRICADO EM AÇO TEMPERADO, COM PONTA TIPO ALLEN TAMANHO 3, COMPRIMENTO TOTAL DE 100 MM, DIÂMETRO M5, DESTINADO À FIXAÇÃO DE PARAFUSOS, UTILIZADO EM FERRAMENTAS MANUAIS MECÂNICAS OU MÁQUINAS-FERRAMENTAS.  NÃO REVESTIDO, PARA USO GERAL EM APLICAÇÕES INDUSTRIAIS (4020810980)</v>
          </cell>
        </row>
        <row r="4028">
          <cell r="B4028">
            <v>4020811060</v>
          </cell>
          <cell r="C4028">
            <v>4020811060</v>
          </cell>
          <cell r="E4028">
            <v>84679900</v>
          </cell>
          <cell r="G4028">
            <v>84679900</v>
          </cell>
          <cell r="H4028" t="str">
            <v>BIT INTERCAMBIÁVEL PARA PARAFUSADEIRA ELÉTRICA, FABRICADO EM AÇO TEMPERADO, COM PONTA TIPO FENDA DE 2,5 MM, COMPRIMENTO TOTAL DE 100 MM, DIÂMETRO M5, DESTINADO À FIXAÇÃO DE PARAFUSOS, UTILIZADO EM FERRAMENTAS MANUAIS MECÂNICAS OU MÁQUINAS-FERRAMENTAS. NÃO REVESTIDO, PARA USO GERAL EM APLICAÇÕES INDUSTRIAIS(4020811060)</v>
          </cell>
        </row>
        <row r="4029">
          <cell r="B4029">
            <v>4020811050</v>
          </cell>
          <cell r="C4029">
            <v>4020811050</v>
          </cell>
          <cell r="E4029">
            <v>84679900</v>
          </cell>
          <cell r="G4029">
            <v>84679900</v>
          </cell>
          <cell r="H4029" t="str">
            <v>BIT INTERCAMBIÁVEL PARA PARAFUSADEIRA ELÉTRICA, FABRICADO EM AÇO TEMPERADO, COM PONTA TIPO TORX T10, COMPRIMENTO TOTAL DE 100 MM, DIÂMETRO M5, DESTINADO À FIXAÇÃO DE PARAFUSOS, UTILIZADO EM FERRAMENTAS MANUAIS MECÂNICAS OU MÁQUINAS-FERRAMENTAS. PRODUTO NOVO, NÃO REVESTIDO, PARA USO GERAL EM APLICAÇÕES INDUSTRIAIS (4020811050)</v>
          </cell>
        </row>
        <row r="4030">
          <cell r="B4030">
            <v>4020810970</v>
          </cell>
          <cell r="C4030">
            <v>4020810970</v>
          </cell>
          <cell r="E4030">
            <v>84679900</v>
          </cell>
          <cell r="G4030">
            <v>84679900</v>
          </cell>
          <cell r="H4030" t="str">
            <v>BIT INTERCAMBIÁVEL PARA PARAFUSADEIRA ELÉTRICA, FABRICADO EM AÇO TEMPERADO, COM PONTA TIPO TORX T25, COMPRIMENTO TOTAL DE 100 MM, DIÂMETRO M5, DESTINADO À FIXAÇÃO DE PARAFUSOS, UTILIZADO EM FERRAMENTAS MANUAIS MECÂNICAS OU MÁQUINAS-FERRAMENTAS. PRODUTO NOVO, NÃO REVESTIDO, PARA USO GERAL EM APLICAÇÕES INDUSTRIAIS</v>
          </cell>
        </row>
        <row r="4031">
          <cell r="B4031">
            <v>4020811000</v>
          </cell>
          <cell r="C4031">
            <v>4020811000</v>
          </cell>
          <cell r="E4031">
            <v>84679900</v>
          </cell>
          <cell r="G4031">
            <v>84679900</v>
          </cell>
          <cell r="H4031" t="str">
            <v>BIT INTERCAMBIÁVEL PARA PARAFUSADEIRA ELÉTRICA, FABRICADO EM AÇO TEMPERADO, COM PONTA PARA PORCA M3, TAMANHO 5 MM, COMPRIMENTO TOTAL DE 60 MM, DESTINADO À FIXAÇÃO DE PARAFUSOS E PORCAS, UTILIZADO EM FERRAMENTAS MANUAIS MECÂNICAS OU MÁQUINAS-FERRAMENTAS. PRODUTO NOVO, NÃO REVESTIDO, PARA USO GERAL EM APLICAÇÕES INDUSTRIAIS (4020811000)</v>
          </cell>
        </row>
        <row r="4032">
          <cell r="B4032">
            <v>4020811070</v>
          </cell>
          <cell r="C4032">
            <v>4020811070</v>
          </cell>
          <cell r="E4032">
            <v>84679900</v>
          </cell>
          <cell r="G4032">
            <v>84679900</v>
          </cell>
          <cell r="H4032" t="str">
            <v>BIT INTERCAMBIÁVEL PARA PARAFUSADEIRA ELÉTRICA, FABRICADO EM AÇO TEMPERADO, COM PONTA TIPO CANHÃO, DIÂMETRO INTERNO DE 5,5 MM, PROFUNDIDADE DE 28 MM, DESTINADO À FIXAÇÃO DE PARAFUSOS, UTILIZADO EM FERRAMENTAS MANUAIS MECÂNICAS OU MÁQUINAS-FERRAMENTAS. PRODUTO NOVO, NÃO REVESTIDO, PARA USO GERAL EM APLICAÇÕES INDUSTRIAIS (4020811070)</v>
          </cell>
        </row>
        <row r="4033">
          <cell r="B4033">
            <v>4020810990</v>
          </cell>
          <cell r="C4033">
            <v>4020810990</v>
          </cell>
          <cell r="E4033">
            <v>84679900</v>
          </cell>
          <cell r="G4033">
            <v>84679900</v>
          </cell>
          <cell r="H4033" t="str">
            <v>BIT INTERCAMBIÁVEL PARA PARAFUSADEIRA ELÉTRICA, FABRICADO EM AÇO TEMPERADO, COM PONTA TIPO CANHÃO, DIÂMETRO INTERNO DE 7 MM, PROFUNDIDADE DE 28 MM, DESTINADO À FIXAÇÃO DE PARAFUSOS, UTILIZADO EM FERRAMENTAS MANUAIS MECÂNICAS OU MÁQUINAS-FERRAMENTAS. PRODUTO NOVO, NÃO REVESTIDO, PARA USO GERAL EM APLICAÇÕES INDUSTRIAIS (4020810990)</v>
          </cell>
        </row>
        <row r="4034">
          <cell r="B4034">
            <v>4020811080</v>
          </cell>
          <cell r="C4034">
            <v>4020811080</v>
          </cell>
          <cell r="E4034">
            <v>84679900</v>
          </cell>
          <cell r="G4034">
            <v>84679900</v>
          </cell>
          <cell r="H4034" t="str">
            <v>BIT INTERCAMBIÁVEL PARA PARAFUSADEIRA ELÉTRICA, FABRICADO EM AÇO TEMPERADO, COM PONTA TIPO FENDA CRUZADA, COMPRIMENTO TOTAL DE 60 MM, DIÂMETRO M5, DESTINADO À FIXAÇÃO DE PARAFUSOS M2, UTILIZADO EM FERRAMENTAS MANUAIS MECÂNICAS OU MÁQUINAS-FERRAMENTAS. PRODUTO NOVO, NÃO REVESTIDO, PARA USO GERAL EM APLICAÇÕES INDUSTRIAIS (4020811080)</v>
          </cell>
        </row>
        <row r="4035">
          <cell r="B4035">
            <v>3090312800</v>
          </cell>
          <cell r="C4035">
            <v>3090312800</v>
          </cell>
          <cell r="E4035">
            <v>85444200</v>
          </cell>
          <cell r="G4035">
            <v>85444200</v>
          </cell>
          <cell r="H4035" t="str">
            <v>CABO DE COMUNICAÇÃO USB PARA SERIAL RS232, COMPRIMENTO DE 1200 MM, DESTINADO À INTERLIGAÇÃO DE EQUIPAMENTOS ELETRÔNICOS, PRODUTO NOVO, PARA USO EM SISTEMAS DE AUTOMAÇÃO E REDES DE DADOS INDUSTRIAIS (3090312800)</v>
          </cell>
        </row>
        <row r="4036">
          <cell r="B4036">
            <v>4020811020</v>
          </cell>
          <cell r="C4036">
            <v>4020811020</v>
          </cell>
          <cell r="E4036">
            <v>82041200</v>
          </cell>
          <cell r="G4036">
            <v>82041200</v>
          </cell>
          <cell r="H4036" t="str">
            <v>CHAVE AJUSTÁVEL DE 4 POLEGADAS, FABRICADA EM AÇO CARBONO, COM ACABAMENTO CROMADO, CAPACIDADE DE ABERTURA DE 15 MM, DESTINADA AO APERTO E DESAPERTAR PORCAS E PARAFUSOS DE DIFERENTES DIMENSÕES. PRODUTO NOVO, PARA USO MANUAL EM MANUTENÇÃO MECÂNICA E APLICAÇÕES INDUSTRIAIS (4020811020)</v>
          </cell>
        </row>
        <row r="4037">
          <cell r="B4037">
            <v>4020811030</v>
          </cell>
          <cell r="C4037">
            <v>4020811030</v>
          </cell>
          <cell r="E4037">
            <v>82041200</v>
          </cell>
          <cell r="G4037">
            <v>82041200</v>
          </cell>
          <cell r="H4037" t="str">
            <v>CHAVE AJUSTÁVEL DE 6 POLEGADAS, FABRICADA EM AÇO CARBONO, COM ACABAMENTO CROMADO, CAPACIDADE DE ABERTURA DE 20 MM, DESTINADA AO APERTO E DESAPERTAR PORCAS E PARAFUSOS DE DIFERENTES DIMENSÕES. PRODUTO NOVO, PARA USO MANUAL EM MANUTENÇÃO MECÂNICA E APLICAÇÕES INDUSTRIAIS (4020811030)</v>
          </cell>
        </row>
        <row r="4038">
          <cell r="B4038">
            <v>4020811010</v>
          </cell>
          <cell r="C4038">
            <v>4020811010</v>
          </cell>
          <cell r="E4038">
            <v>82041100</v>
          </cell>
          <cell r="G4038">
            <v>82041100</v>
          </cell>
          <cell r="H4038" t="str">
            <v>JOGO DE 10 PEÇAS DE CHAVE FIXA DUPLA, FABRICADAS EM AÇO CARBONO, COM ACABAMENTO CROMADO, TAMANHOS VARIANDO DE 5 MM A 27 MM, COM EXTENSÃO TOTAL ENTRE 5 CM E 27 CM, DESTINADAS AO APERTO E DESAPERTAR PORCAS E PARAFUSOS, UTILIZADAS EM MANUTENÇÃO MECÂNICA E APLICAÇÕES INDUSTRIAIS. PRODUTO NOVO, PARA USO MANUAL</v>
          </cell>
        </row>
        <row r="4039">
          <cell r="B4039">
            <v>4020610540</v>
          </cell>
          <cell r="C4039">
            <v>4020610540</v>
          </cell>
          <cell r="E4039">
            <v>84718000</v>
          </cell>
          <cell r="G4039">
            <v>84718000</v>
          </cell>
          <cell r="H4039" t="str">
            <v>CONVERSOR DE INTERFACE USB PARA SERIAL TTL, COM ISOLAMENTO ELÉTRICO, MODELO CP2102+3725, COMPATÍVEL COM NÍVEIS LÓGICOS DE 5 V E 3,3 V, DESTINADO À CONVERSÃO E INTERFACE DE COMUNICAÇÃO DE DADOS ENTRE DISPOSITIVOS ELETRÔNICOS, PARA USO EM SISTEMAS DE AUTOMAÇÃO E DESENVOLVIMENTO INDUSTRIAIS.</v>
          </cell>
        </row>
        <row r="4040">
          <cell r="B4040">
            <v>7030103240</v>
          </cell>
          <cell r="C4040">
            <v>7030103240</v>
          </cell>
          <cell r="E4040">
            <v>90318099</v>
          </cell>
          <cell r="G4040">
            <v>90318099</v>
          </cell>
          <cell r="H4040" t="str">
            <v>EQUIPAMENTO PARA TESTE DE ESTANQUEIDADE, MODELO SLZ-1-050LMC, UTILIZADO PARA VERIFICAÇÃO DE VEDAÇÃO EM COMPONENTES INDUSTRIAIS, PRODUTO NOVO, DESTINADO A USO EM LINHAS DE PRODUÇÃO</v>
          </cell>
        </row>
        <row r="4041">
          <cell r="B4041">
            <v>4010402640</v>
          </cell>
          <cell r="C4041">
            <v>4010402640</v>
          </cell>
          <cell r="E4041">
            <v>94032090</v>
          </cell>
          <cell r="G4041">
            <v>94032090</v>
          </cell>
          <cell r="H4041" t="str">
            <v>ESTANTE METÁLICA PARA ARMAZENAMENTO, FABRICADA EM AÇO COM TRATAMENTO ANTICORROSIVO, EQUIPADA COM 4 PRATELEIRAS, DIMENSÕES 1,2 M X 0,4 M X 1,2 M, PRODUTO NOVO, DESTINADO A ORGANIZAÇÃO DE MATERIAIS EM AMBIENTES INDUSTRIAIS</v>
          </cell>
        </row>
        <row r="4042">
          <cell r="B4042">
            <v>4020611540</v>
          </cell>
          <cell r="C4042">
            <v>4020611540</v>
          </cell>
          <cell r="E4042">
            <v>85044040</v>
          </cell>
          <cell r="G4042">
            <v>85044040</v>
          </cell>
          <cell r="H4042" t="str">
            <v>FONTE DE ALIMENTAÇÃO AC PROGRAMÁVEL, MODELO AN9602B, FAIXA DE TENSÃO DE 0,10 KV A 5,00 KV, CORRENTE MÁXIMA DE 100 MA, POTÊNCIA NOMINAL DE 500 VA, EQUIPAMENTO PARA TESTES ELÉTRICOS, PRODUTO NOVO, DESTINADO A USO INDUSTRIAL</v>
          </cell>
        </row>
        <row r="4043">
          <cell r="B4043">
            <v>4032501060</v>
          </cell>
          <cell r="C4043">
            <v>4032501060</v>
          </cell>
          <cell r="E4043">
            <v>85044040</v>
          </cell>
          <cell r="G4043">
            <v>85044040</v>
          </cell>
          <cell r="H4043" t="str">
            <v>FONTE DE ALIMENTAÇÃO AC, TENSÃO DE SAÍDA 220 V, EQUIPAMENTO PARA SUPRIMENTO DE ENERGIA ELÉTRICA, PRODUTO NOVO, DESTINADO A USO INDUSTRIAL</v>
          </cell>
        </row>
        <row r="4044">
          <cell r="B4044">
            <v>4020120400</v>
          </cell>
          <cell r="C4044">
            <v>4020120400</v>
          </cell>
          <cell r="E4044">
            <v>85044040</v>
          </cell>
          <cell r="G4044">
            <v>85044040</v>
          </cell>
          <cell r="H4044" t="str">
            <v>FONTE DE ALIMENTAÇÃO AC PROGRAMÁVEL, MODELO NAPUI PA9510, POTÊNCIA NOMINAL DE 1 KW, COM CONTROLE DE TENSÃO E CORRENTE, EQUIPAMENTO PARA TESTES ELÉTRICOS, PRODUTO NOVO, DESTINADO A USO INDUSTRIAL E LABORATORIAL</v>
          </cell>
        </row>
        <row r="4045">
          <cell r="B4045">
            <v>4020811040</v>
          </cell>
          <cell r="C4045">
            <v>4020811040</v>
          </cell>
          <cell r="E4045">
            <v>85394900</v>
          </cell>
          <cell r="G4045">
            <v>85394900</v>
          </cell>
          <cell r="H4045" t="str">
            <v>LÂMPADA MANUAL PARA CURA DE RESINA UV, POTÊNCIA DE 3 WATTS, EMISSÃO DE LUZ ULTRAVIOLETA PARA PROCESSOS DE POLIMERIZAÇÃO DE RESINAS, EQUIPAMENTO PORTÁTIL, ALIMENTAÇÃO ELÉTRICA, PRODUTO NOVO, DESTINADO A USO INDUSTRIAL</v>
          </cell>
        </row>
        <row r="4046">
          <cell r="B4046">
            <v>4010204520</v>
          </cell>
          <cell r="C4046">
            <v>4010204520</v>
          </cell>
          <cell r="E4046">
            <v>84719012</v>
          </cell>
          <cell r="G4046">
            <v>84719012</v>
          </cell>
          <cell r="H4046" t="str">
            <v>LEITOR DE CÓDIGO DE BARRAS BIDIMENSIONAL (2D) COM FIO, MODELO HONEYWELL 1470G, COMPATÍVEL COM PADRÕES DE LEITURA LINEAR E QR CODE, PRODUTO NOVO, DESTINADO A USO INDUSTRIAL</v>
          </cell>
        </row>
        <row r="4047">
          <cell r="B4047">
            <v>7020705570</v>
          </cell>
          <cell r="C4047">
            <v>7020705570</v>
          </cell>
          <cell r="E4047">
            <v>84283300</v>
          </cell>
          <cell r="G4047">
            <v>84283300</v>
          </cell>
          <cell r="H4047" t="str">
            <v>LINHA DE PRODUÇÃO COM ESTEIRA DE TRANSPORTE, COMPRIMENTO DE 2 METROS, CAMADA DUPLA, EQUIPADA COM LÂMPADA FLUORESCENTE E SISTEMA TESTADOR ANTIESTÁTICO, PRODUTO NOVO, DESTINADO A PROCESSOS INDUSTRIAIS DE MONTAGEM</v>
          </cell>
        </row>
        <row r="4048">
          <cell r="B4048">
            <v>4010210910</v>
          </cell>
          <cell r="C4048">
            <v>4010210910</v>
          </cell>
          <cell r="E4048">
            <v>90049020</v>
          </cell>
          <cell r="G4048">
            <v>90049020</v>
          </cell>
          <cell r="H4048" t="str">
            <v>ÓCULOS DE SEGURANÇA PARA PROTEÇÃO CONTRA RADIAÇÃO ULTRAVIOLETA, FABRICADO EM MATERIAL POLICARBONATO RESISTENTE, COM LENTES ESPECIAIS PARA BLOQUEIO DE LUZ UV, PRODUTO NOVO, DESTINADO À PROTEÇÃO INDIVIDUAL EM AMBIENTES INDUSTRIAIS</v>
          </cell>
        </row>
        <row r="4049">
          <cell r="B4049">
            <v>4020804830</v>
          </cell>
          <cell r="C4049">
            <v>4020804830</v>
          </cell>
          <cell r="E4049">
            <v>85176259</v>
          </cell>
          <cell r="G4049">
            <v>85176259</v>
          </cell>
          <cell r="H4049" t="str">
            <v>REPETIDOR DE SINAL PARA TELECOMUNICAÇÕES, DIMENSÕES 350 X 250 X 235 MM, FAIXA DE AJUSTE DE SINAL DE 0 A 31 DB COM INCREMENTOS DE 0,5 DB, PRODUTO NOVO, DESTINADO A AMPLIFICAÇÃO DE SINAL EM REDES DE COMUNICAÇÃO INDUSTRIAIS</v>
          </cell>
        </row>
        <row r="4050">
          <cell r="B4050">
            <v>4070410320</v>
          </cell>
          <cell r="C4050">
            <v>4070410320</v>
          </cell>
          <cell r="E4050">
            <v>85176259</v>
          </cell>
          <cell r="G4050">
            <v>85176259</v>
          </cell>
          <cell r="H4050" t="str">
            <v>ROTEADOR SEM FIO TP-LINK MODELO AC1200, PADRÃO WI-FI IEEE 802.11AC, VELOCIDADE DE ATÉ 1200 MBPS, EQUIPADO COM PORTAS LAN/WAN, PRODUTO NOVO, DESTINADO À DISTRIBUIÇÃO DE SINAL DE INTERNET EM AMBIENTES INDUSTRIAIS</v>
          </cell>
        </row>
        <row r="4051">
          <cell r="B4051">
            <v>4010303550</v>
          </cell>
          <cell r="C4051">
            <v>4010303550</v>
          </cell>
          <cell r="E4051">
            <v>90258000</v>
          </cell>
          <cell r="G4051">
            <v>90258000</v>
          </cell>
          <cell r="H4051" t="str">
            <v>TERMOHIGRÔMETRO DIGITAL MODELO TH20R, PARA MEDIÇÃO DE TEMPERATURA E UMIDADE RELATIVA DO AR, EQUIPAMENTO PORTÁTIL, PRODUTO NOVO, DESTINADO A USO INDUSTRIAL</v>
          </cell>
        </row>
        <row r="4052">
          <cell r="B4052">
            <v>4020305930</v>
          </cell>
          <cell r="E4052">
            <v>84779000</v>
          </cell>
          <cell r="G4052">
            <v>84779000</v>
          </cell>
          <cell r="H4052" t="str">
            <v>Rosca completa com flange e canhAo D-45, parte para uso em maquina de moldagem por injecAo (4020305930)</v>
          </cell>
        </row>
        <row r="4053">
          <cell r="B4053">
            <v>2150516890</v>
          </cell>
          <cell r="C4053">
            <v>2150516890</v>
          </cell>
          <cell r="E4053">
            <v>85340033</v>
          </cell>
          <cell r="F4053" t="str">
            <v>Not applicable</v>
          </cell>
          <cell r="G4053">
            <v>85340033</v>
          </cell>
          <cell r="H4053" t="str">
            <v>PLACA DE CIRCUITO IMPRESSO, DE NATUREZA DO MATERIAL BASE RÍGIDO, COMPOSIÇÃO DA PLACA DE ISOLANTE DE RESINA EPÓXIDA E TECIDO DE FIBRA DE VIDRO, ESTRUTURA DE DUPLA FACE E INTERLIGAÇÃO ENTRE FACES POR FUROS METALIZADOS; DIMENSOES 165.6mm x 193.0mm  / 165.6MM*193.0MM*1.6MM/6 NAO-ROHS SMT.</v>
          </cell>
        </row>
        <row r="4054">
          <cell r="B4054">
            <v>2150181620</v>
          </cell>
          <cell r="C4054">
            <v>2150181620</v>
          </cell>
          <cell r="E4054">
            <v>85340033</v>
          </cell>
          <cell r="F4054" t="str">
            <v>Not applicable</v>
          </cell>
          <cell r="G4054">
            <v>85340033</v>
          </cell>
          <cell r="H4054" t="str">
            <v>PLACA DE CIRCUITO IMPRESSO, DE NATUREZA DO MATERIAL BASE RÍGIDO, COMPOSIcAO DA PLACA DE ISOLANTE DE RESINA EPoXIDA E TECIDO DE FIBRA DE VIDRO, ESTRUTURA DE DUPLA FACE E INTERLIGAcAO ENTRE FACES POR FUROS METALIZADOS; dimensoes 213.2mm x 214.1mm.</v>
          </cell>
        </row>
        <row r="4055">
          <cell r="B4055">
            <v>3013200940</v>
          </cell>
          <cell r="C4055">
            <v>3013200940</v>
          </cell>
          <cell r="E4055">
            <v>85363090</v>
          </cell>
          <cell r="G4055">
            <v>85363090</v>
          </cell>
          <cell r="H4055" t="str">
            <v xml:space="preserve">PROTETOR DE SURTO, PARA PROTECAO DE CIRCUITOS ELETRICOS,  DE TENSÃO NOMINAL 220/380V - MODELO GS-B+C/4X, 4P (3013200940)  </v>
          </cell>
        </row>
        <row r="4056">
          <cell r="B4056">
            <v>4010402670</v>
          </cell>
          <cell r="C4056">
            <v>4010402670</v>
          </cell>
          <cell r="E4056">
            <v>94032090</v>
          </cell>
          <cell r="G4056">
            <v>94032090</v>
          </cell>
          <cell r="H4056" t="str">
            <v>ESTANTE METÁLICA MÓVEL INDUSTRIAL ANTI-ESTÁTICO (ESD), COM MÚLTIPLAS PRATELEIRAS BASCULANTES E GIRATÓRIAS, DESTINADO AO ARMAZENAMENTO E TRANSPORTE INTERNOS DE COMPONENTES ELÉTRÔNICOS, USO INDUSTRIAL.</v>
          </cell>
        </row>
        <row r="4057">
          <cell r="B4057">
            <v>2150184130</v>
          </cell>
          <cell r="C4057">
            <v>2150184130</v>
          </cell>
          <cell r="E4057">
            <v>85340033</v>
          </cell>
          <cell r="G4057">
            <v>85340033</v>
          </cell>
          <cell r="H4057" t="str">
            <v>PLACA DE CIRCUITO IMPRESSO, DE NATUREZA DO MATERIAL BASE RÍGIDO, COMPOSIÇÃO DA PLACA DE ISOLANTE DE RESINA EPÓXIDA E TECIDO DE FIBRA DE VIDRO, ESTRUTURA DE DUPLA FACE E INTERLIGAÇÃO ENTRE FACES POR FUROS METALIZADOS; dimensões 310.33mm x 167.13mm x 1.6mm/2 não-RoHS (2150184130)</v>
          </cell>
        </row>
        <row r="4058">
          <cell r="B4058">
            <v>2054300540</v>
          </cell>
          <cell r="C4058">
            <v>2054300540</v>
          </cell>
          <cell r="E4058">
            <v>85423221</v>
          </cell>
          <cell r="G4058">
            <v>85423221</v>
          </cell>
          <cell r="H4058" t="str">
            <v>Circuito integrado eletrônico do tipo memória montado, próprio para montagem em superfície SMD, do tipo FLASH; Capacidade de armazenamento 32 Mbytes; encapsulamento 8pin SOP 208-mil (2054300540)</v>
          </cell>
        </row>
        <row r="4059">
          <cell r="B4059">
            <v>2054300550</v>
          </cell>
          <cell r="C4059">
            <v>2054300550</v>
          </cell>
          <cell r="E4059">
            <v>85423221</v>
          </cell>
          <cell r="G4059">
            <v>85423221</v>
          </cell>
          <cell r="H4059" t="str">
            <v>Circuito integrado eletrônico do tipo memória montado, próprio para montagem em superfície SMD, do tipo FLASH; Capacidade de armazenamento 4 Mbytes; encapsulamento 8pin SOP 105-mil (2054300550)</v>
          </cell>
        </row>
        <row r="4060">
          <cell r="B4060">
            <v>4020415800</v>
          </cell>
          <cell r="C4060">
            <v>4020415800</v>
          </cell>
          <cell r="E4060">
            <v>84799090</v>
          </cell>
          <cell r="G4060">
            <v>84799090</v>
          </cell>
          <cell r="H4060" t="str">
            <v>HASTE DO BICO DO EIXO Z, parte para uso em máquina de inserção automática de componentes eletrônicos SM482 por montagem em superfície SMD - MC13-000124 (ref.4020415800)</v>
          </cell>
        </row>
        <row r="4061">
          <cell r="B4061">
            <v>4020415810</v>
          </cell>
          <cell r="C4061">
            <v>4020415810</v>
          </cell>
          <cell r="E4061">
            <v>85371090</v>
          </cell>
          <cell r="G4061">
            <v>85371090</v>
          </cell>
          <cell r="H4061" t="str">
            <v>PLACA ELETRÔNICA DE CONTROLE INDUSTRIAL (PCB MONTADA), MODELO AM03-008311A-NIT-CA179, EQUIPADA COM CIRCUITOS INTEGRADOS, COMPONENTES ELETRÔNICOS ATIVOS E PASSIVOS, DESTINADA AO COMANDO E CONTROLE DE EQUIPAMENTO ELETRÔNICO/INDUSTRIAL, PARA TENSÃO DE OPERAÇÃO ATÉ 1.000V, SEM FUNÇÃO DE TELECOMUNICAÇÃO, DE USO EXCLUSIVO EM SISTEMA ELETRÔNICO. (REF. 4020415810)</v>
          </cell>
        </row>
        <row r="4062">
          <cell r="B4062">
            <v>4020308960</v>
          </cell>
          <cell r="C4062">
            <v>4020308960</v>
          </cell>
          <cell r="E4062">
            <v>40103900</v>
          </cell>
          <cell r="G4062">
            <v>40103900</v>
          </cell>
          <cell r="H4062" t="str">
            <v>Correia sincronizada de transmissão de potencia, modelo 255-GT 867J, de borracha vulcanizada não endurecida, não alveolar, dentada, de perfil AA (13A), comprimento AB (Até 38(15)), utilizada em sistemas de transmissão de potência em máquinas e equipamentos.</v>
          </cell>
        </row>
        <row r="4063">
          <cell r="B4063">
            <v>4020309060</v>
          </cell>
          <cell r="C4063">
            <v>4020309060</v>
          </cell>
          <cell r="E4063">
            <v>40103900</v>
          </cell>
          <cell r="G4063">
            <v>40103900</v>
          </cell>
          <cell r="H4063" t="str">
            <v>Correia sincronizada de transmissão de potencia, modelo HTD8M15, de borracha vulcanizada não endurecida, não alveolar, dentada, de perfil AA (13A), comprimento AB (Até 38(15)), utilizada em sistemas de transmissão de potência em máquinas e equipamentos.</v>
          </cell>
        </row>
        <row r="4064">
          <cell r="B4064">
            <v>4020308970</v>
          </cell>
          <cell r="C4064">
            <v>4020308970</v>
          </cell>
          <cell r="E4064">
            <v>40103900</v>
          </cell>
          <cell r="G4064">
            <v>40103900</v>
          </cell>
          <cell r="H4064" t="str">
            <v>Correia sincronizada de transmissão de potencia, modelo 25-HTD8M+PAZ, de borracha vulcanizada não endurecida, não alveolar, dentada, de perfil AA (13A), comprimento AB (Até 38(15)), utilizada em sistemas de transmissão de potência em máquinas e equipamentos.</v>
          </cell>
        </row>
        <row r="4065">
          <cell r="B4065">
            <v>4020309050</v>
          </cell>
          <cell r="C4065">
            <v>4020309050</v>
          </cell>
          <cell r="E4065">
            <v>84123110</v>
          </cell>
          <cell r="G4065">
            <v>84123110</v>
          </cell>
          <cell r="H4065" t="str">
            <v>Cilindro pneumático de ação simples CH42-DL 10, utilizado em sistemas de automação e controle pneumático industrial.CH42-DL 10</v>
          </cell>
        </row>
        <row r="4066">
          <cell r="B4066">
            <v>4020308980</v>
          </cell>
          <cell r="C4066">
            <v>4020308980</v>
          </cell>
          <cell r="E4066">
            <v>85365090</v>
          </cell>
          <cell r="G4066">
            <v>85365090</v>
          </cell>
          <cell r="H4066" t="str">
            <v>Sensor indutivo magnético tipo PNP, modelo AN-07D DC, faixa de tensão 5–120V, destinado à detecção de posição e presença em circuitos elétricos e sistemas de automação industrial.</v>
          </cell>
        </row>
        <row r="4067">
          <cell r="B4067">
            <v>4020308990</v>
          </cell>
          <cell r="C4067">
            <v>4020308990</v>
          </cell>
          <cell r="E4067">
            <v>84812090</v>
          </cell>
          <cell r="G4067">
            <v>84812090</v>
          </cell>
          <cell r="H4067" t="str">
            <v>Válvula pneumática de acionamento elétrico, tipo solenóide, utilizada para controle de fluxo de ar comprimido em sistemas pneumáticos industriais, modelo: 4N110068</v>
          </cell>
        </row>
        <row r="4068">
          <cell r="B4068">
            <v>4020309000</v>
          </cell>
          <cell r="C4068">
            <v>4020309000</v>
          </cell>
          <cell r="E4068">
            <v>85044090</v>
          </cell>
          <cell r="G4068">
            <v>85044090</v>
          </cell>
          <cell r="H4068" t="str">
            <v>Fonte de alimentação chaveada, modelo PMT-24V50W2BA, tensão de saída 24V, potência 50W, tipo colmeia, destinada à energização de circuitos e equipamentos eletrônicos industriais.</v>
          </cell>
        </row>
        <row r="4069">
          <cell r="B4069">
            <v>4020309010</v>
          </cell>
          <cell r="C4069">
            <v>4020309010</v>
          </cell>
          <cell r="E4069">
            <v>85044090</v>
          </cell>
          <cell r="G4069">
            <v>85044090</v>
          </cell>
          <cell r="H4069" t="str">
            <v>Fonte de alimentação chaveada, modelo PMT-24V100W2BA, tensão de saída 24V, potência 100W, tipo colmeia, destinada à energização e alimentação de circuitos eletrônicos industriais.</v>
          </cell>
        </row>
        <row r="4070">
          <cell r="B4070">
            <v>4020309020</v>
          </cell>
          <cell r="C4070">
            <v>4020309020</v>
          </cell>
          <cell r="E4070">
            <v>84141000</v>
          </cell>
          <cell r="G4070">
            <v>84141000</v>
          </cell>
          <cell r="H4070" t="str">
            <v>Gerador de vácuo modelo VCV-10HS, sem motor elétrico acoplado, utilizado para controle e geração de vácuo em ventosas, aplicado em sistemas pneumáticos e robôs de manipulação industrial.</v>
          </cell>
        </row>
        <row r="4071">
          <cell r="B4071">
            <v>4020309030</v>
          </cell>
          <cell r="C4071">
            <v>4020309030</v>
          </cell>
          <cell r="E4071">
            <v>85371090</v>
          </cell>
          <cell r="G4071">
            <v>85371090</v>
          </cell>
          <cell r="H4071" t="str">
            <v>Placa de controle eletrônico com relés de comando, modelo MDE-80III-80-79-P-14TR, tensão 24V, potência 120W, utilizada no controle de movimentos de robôs cartesianos industriais.</v>
          </cell>
        </row>
        <row r="4072">
          <cell r="B4072">
            <v>4020309040</v>
          </cell>
          <cell r="C4072">
            <v>4020309040</v>
          </cell>
          <cell r="E4072">
            <v>85371090</v>
          </cell>
          <cell r="G4072">
            <v>85371090</v>
          </cell>
          <cell r="H4072" t="str">
            <v>Placa de controle eletrônico com relés de comando, modelo MDW-110II-150-130-P-20TP, tensão 24V, potência 120W, utilizada no controle de movimentos de robôs cartesianos industriais.</v>
          </cell>
        </row>
        <row r="4073">
          <cell r="B4073">
            <v>3020905999</v>
          </cell>
          <cell r="C4073">
            <v>3020905999</v>
          </cell>
          <cell r="E4073">
            <v>39269090</v>
          </cell>
          <cell r="G4073">
            <v>39269090</v>
          </cell>
          <cell r="H4073" t="str">
            <v>TAMPA PLÁSTICA MOLDADA POR INJEÇÃO, EM POLICARBONATO COM RETARDANTE DE CHAMA (PC+FR), TRANSPARENTE, RESISTENTE À RADIAÇÃO UV, DESTINADA A MEDIDOR DE ENERGIA ELÉTRICA, SEM FUNÇÃO ELÉTRICA OU ELETRÔNICA PRÓPRIA.</v>
          </cell>
        </row>
        <row r="4074">
          <cell r="B4074">
            <v>3030502860</v>
          </cell>
          <cell r="C4074">
            <v>3030502860</v>
          </cell>
          <cell r="E4074">
            <v>73181500</v>
          </cell>
          <cell r="G4074">
            <v>73181500</v>
          </cell>
          <cell r="H4074" t="str">
            <v>PARAFUSO ROSCADO DE AÇO CARBONO SAE 1022, ROSCA MÉTRICA M4, COMPRIMENTO 29 MM, CABEÇA CILÍNDRICA COM DIÂMETRO DE 6 MM, COM FURO TRANSVERSAL, ENCAIXE TIPO FENDA COMPOSTA, COM ACABAMENTO ZINCADO COM CROMO TRIVALENTE.</v>
          </cell>
        </row>
        <row r="4075">
          <cell r="B4075">
            <v>3030100240</v>
          </cell>
          <cell r="C4075">
            <v>3030100240</v>
          </cell>
          <cell r="E4075">
            <v>85369090</v>
          </cell>
          <cell r="G4075">
            <v>85369090</v>
          </cell>
          <cell r="H4075" t="str">
            <v>PARAFUSO ROSCADO DE LATÃO H62 (LIGA DE COBRE E ZINCO), NIQUELADO, ROSCA MÉTRICA M6, COMPRIMENTO 12 MM, DIÂMETRO 6,5 MM, CABEÇA CILÍNDRICA COM FENDA COMPOSTA TIPO 11 E CAUDA PLANA, UTILIZADO PARA CONEXÃO ELÉTRICA DE CONDUTORES EM MEDIDOR DE ENERGIA ELÉTRICA.</v>
          </cell>
        </row>
        <row r="4076">
          <cell r="B4076">
            <v>7020201260</v>
          </cell>
          <cell r="C4076">
            <v>7020201260</v>
          </cell>
          <cell r="E4076">
            <v>90328982</v>
          </cell>
          <cell r="G4076">
            <v>90328982</v>
          </cell>
          <cell r="H4076" t="str">
            <v>CONTROLADOR AUTOMÁTICO DE TEMPERATURA INDUSTRIAL, ELETRÔNICO, ELÉTRICO, POTÊNCIA 12 KW, OPERAÇÃO ATÉ 160 °C, TRIFÁSICO 380 V, COM SISTEMA DE AQUECIMENTO E CIRCULAÇÃO DE FLUIDO TÉRMICO (ÁGUA OU ÓLEO), DESTINADO AO CONTROLE AUTOMÁTICO DE TEMPERATURA EM PROCESSOS INDUSTRIAIS. (REF. 7020201260)</v>
          </cell>
        </row>
        <row r="4077">
          <cell r="B4077">
            <v>4020603190</v>
          </cell>
          <cell r="C4077">
            <v>4020603190</v>
          </cell>
          <cell r="E4077">
            <v>40092210</v>
          </cell>
          <cell r="G4077">
            <v>40092210</v>
          </cell>
          <cell r="H4077" t="str">
            <v>MANGUEIRA HIDRÁULICA DE ALTA PRESSÃO, DE BORRACHA VULCANIZADA NÃO ENDURECIDA, REFORÇADA COM TRAMA DE FIOS DE AÇO, EQUIPADA COM ACESSÓRIOS/TERMINAIS METÁLICOS, PRESSÃO DE RUPTURA APROXIMADA DE 25 MPA (3.600 PSI), DESTINADA À CONDUÇÃO DE FLUIDO HIDRÁULICO EM SISTEMAS INDUSTRIAIS. (REF. 4020603190)</v>
          </cell>
        </row>
        <row r="4078">
          <cell r="B4078">
            <v>4020307840</v>
          </cell>
          <cell r="C4078">
            <v>4020307840</v>
          </cell>
          <cell r="E4078">
            <v>83071090</v>
          </cell>
          <cell r="G4078">
            <v>83071090</v>
          </cell>
          <cell r="H4078" t="str">
            <v>MANGUEIRA FLEXÍVEL DE ALTA TEMPERATURA, PARA USO COM CONTROLADOR DE TEMPERATURA DE MOLDE DE INJEÇÃO, DIÂMETRO INTERNO 8 MM, COMPRIMENTO 600 MM, TUBO INTERNO EM PTFE (TEFLON), COM MALHA/ROSCA EXTERNA EM AÇO INOXIDÁVEL, RESISTENTE A ALTAS TEMPERATURAS, PARA CIRCULAÇÃO DE FLUIDO TÉRMICO EM PROCESSO INDUSTRIAL. REF. 4020307840</v>
          </cell>
        </row>
        <row r="4079">
          <cell r="B4079">
            <v>4020307850</v>
          </cell>
          <cell r="C4079">
            <v>4020307850</v>
          </cell>
          <cell r="E4079">
            <v>83071090</v>
          </cell>
          <cell r="G4079">
            <v>83071090</v>
          </cell>
          <cell r="H4079" t="str">
            <v>MANGUEIRA FLEXÍVEL DE ALTA TEMPERATURA, PARA USO COM CONTROLADOR DE TEMPERATURA DE MOLDE DE INJEÇÃO, DIÂMETRO INTERNO 8 MM, COMPRIMENTO 2500 MM, TUBO INTERNO EM PTFE (TEFLON), COM MALHA/ROSCA EXTERNA EM AÇO INOXIDÁVEL, RESISTENTE A ALTAS TEMPERATURAS, PARA CIRCULAÇÃO DE FLUIDO TÉRMICO EM PROCESSO INDUSTRIAL. REF. 4020307850</v>
          </cell>
        </row>
        <row r="4080">
          <cell r="B4080">
            <v>7020831661</v>
          </cell>
          <cell r="C4080">
            <v>7020831661</v>
          </cell>
          <cell r="E4080">
            <v>84807100</v>
          </cell>
          <cell r="G4080">
            <v>84807100</v>
          </cell>
          <cell r="H4080" t="str">
            <v>MOLDE DE INJEÇÃO PARA FABRICAÇÃO DE PEÇAS PLÁSTICAS MODELO TAMPA MÓDULO DE MEDIÇÃO MONOFASICO HLD-S25177</v>
          </cell>
        </row>
        <row r="4081">
          <cell r="B4081">
            <v>7020831671</v>
          </cell>
          <cell r="C4081">
            <v>7020831671</v>
          </cell>
          <cell r="E4081">
            <v>84807100</v>
          </cell>
          <cell r="G4081">
            <v>84807100</v>
          </cell>
          <cell r="H4081" t="str">
            <v>MOLDE DE INJEÇÃO PARA FABRICAÇÃO DE PEÇAS PLÁSTICAS MODELO BASE MÓDULO DE MEDIÇÃO MONOFASICO HLD-S25178</v>
          </cell>
        </row>
        <row r="4082">
          <cell r="B4082" t="str">
            <v>HXE34KR25003</v>
          </cell>
          <cell r="C4082" t="str">
            <v>HXE34KR25003</v>
          </cell>
          <cell r="E4082">
            <v>90283031</v>
          </cell>
          <cell r="G4082">
            <v>90283031</v>
          </cell>
          <cell r="H4082" t="str">
            <v>MEDIDOR TRIFASICO DIGITAL (CONTADOR DE ELETRICIDADE), LIGACAO ASSIMETRICA C/ MEDICAO BIDIRECIONAL NOS QUATRO QUADRANTES (HXE34KR25003)</v>
          </cell>
        </row>
        <row r="4083">
          <cell r="B4083">
            <v>2120306900</v>
          </cell>
          <cell r="E4083">
            <v>85241100</v>
          </cell>
          <cell r="G4083">
            <v>85241100</v>
          </cell>
          <cell r="H4083" t="str">
            <v>MODULO DE VISUALIZACAO DE TELA (ECRA) PLANA, MOSTRADOR DE CRISTAL LIQUIDO, SEM CONTROLADOR (DRIVER) NEM CIRCUITO DE CONTROLE, PARA MEDIDORES DE ÁGUA (CONTADORES DE LÍQUIDO) UTILIZADOS EM PROCESSO DE MONTAGEM POR INSERCAO (PTH), COM TENSAO DE OPERACAO 3,6V, COM DIMENSOES GERAIS DE 55 MM DE COMPRIMENTO, 27.3 MM DE LARGURA E 5.7 MM DE ALTURA.</v>
          </cell>
        </row>
        <row r="4084">
          <cell r="B4084">
            <v>2060302890</v>
          </cell>
          <cell r="E4084">
            <v>85411022</v>
          </cell>
          <cell r="G4084">
            <v>85411022</v>
          </cell>
          <cell r="H4084" t="str">
            <v>DIODO SEMICONDUTOR DO TIPO PESD (PROTECTION ELECTROSTATIC DISCHARGE), PROJETADO PARA PROTECAO CONTRA DESCARGAS ELETROSTATICAS (ESD) EM CIRCUITOS ELETRONICOS SENSIVEIS. COM TENSAO NOMINAL DE 9V, E UTILIZADO PARA PROTECAO DE INTERFACES DE DADOS, PORTAS DE COMUNICACAO, LINHAS DE SINAL E CIRCUITOS INTEGRADOS CONTRA PICOS DE TENSAO TRANSITORIOS. FABRICADO EM ENCAPSULAMENTO SMD 0603 (SURFACE MOUNT DEVICE), PROPRIO PARA MONTAGEM EM SUPERFICIE (SMT – SURFACE MOUNT TECHNOLOGY), POSSIBILITANDO ALTA DENSIDADE DE MONTAGEM EM PLACAS DE CIRCUITO IMPRESSO (PCB). PRODUTO EM CONFORMIDADE COM A DIRETIVA ROHS (RESTRICTION OF HAZARDOUS SUBSTANCES), GARANTINDO RESTRICAO AO USO DE SUBSTANCIAS PERIGOSAS EM EQUIPAMENTOS ELETRONICOS. FAIXA DE TEMPERATURA DE OPERACAO: -25°C A +85°C.</v>
          </cell>
        </row>
        <row r="4085">
          <cell r="B4085">
            <v>3080107280</v>
          </cell>
          <cell r="E4085">
            <v>40169300</v>
          </cell>
          <cell r="G4085">
            <v>40169300</v>
          </cell>
          <cell r="H4085" t="str">
            <v>GAXETA DE VEDACAO DE MATERIAL EVA PARA HIDROMETROS (CONTADORES DE LIQUIDOS) RESIDENCIAIS, 30801-LCXA-04; 64x38x10; EVA; 60±5°; não retardante de chama; cor preta (PANTONE Black C); adesivo em ambos os lados; não RoHS</v>
          </cell>
        </row>
        <row r="4086">
          <cell r="B4086">
            <v>2053100610</v>
          </cell>
          <cell r="E4086">
            <v>85235290</v>
          </cell>
          <cell r="G4086">
            <v>85235290</v>
          </cell>
          <cell r="H4086" t="str">
            <v>ESIM (EMBEDDED SIM) PADRÃO INDUSTRIAL, DIMENSÕES 5 MM × 6 MM, COMPATÍVEL COM TECNOLOGIA DE COMUNICAÇÃO NB-IOT (NARROWBAND INTERNET OF THINGS), COM SUPORTE A PROTOCOLO IPV4, CONFORME ESPECIFICAÇÃO SGP.32 PARA PROVISIONAMENTO REMOTO DE PERFIS (REMOTE SIM PROVISIONING – RSP)</v>
          </cell>
        </row>
        <row r="4087">
          <cell r="B4087">
            <v>2053100590</v>
          </cell>
          <cell r="E4087">
            <v>85235290</v>
          </cell>
          <cell r="G4087">
            <v>85235290</v>
          </cell>
          <cell r="H4087" t="str">
            <v>ESIM (EMBEDDED SIM) PADRÃO INDUSTRIAL, DIMENSÕES 5 MM × 6 MM, COMPATÍVEL COM TECNOLOGIA DE COMUNICAÇÃO NB-IOT (NARROWBAND INTERNET OF THINGS), COM SUPORTE A PROTOCOLO IPV6, CONFORME ESPECIFICAÇÃO SGP.32 PARA PROVISIONAMENTO REMOTO DE PERFIS (REMOTE SIM PROVISIONING – RSP)</v>
          </cell>
        </row>
        <row r="4088">
          <cell r="B4088">
            <v>3142101010</v>
          </cell>
          <cell r="E4088">
            <v>90289090</v>
          </cell>
          <cell r="G4088">
            <v>90289090</v>
          </cell>
          <cell r="H4088" t="str">
            <v>TUBO DE COBRE (CARCAÇA) A BASE DE COBREZINCO (LATÃO), MONTADO, PARA USO EM HIDRÔMETROS RESIDENCIAIS COM VÁLVULA DE BLOQUEIO COM SEÇÃO DE TRANSVERSAL DE 20mm E COMPRIMENTO DE 190mm.</v>
          </cell>
        </row>
        <row r="4089">
          <cell r="B4089">
            <v>4020220810</v>
          </cell>
          <cell r="C4089">
            <v>4020220810</v>
          </cell>
          <cell r="E4089">
            <v>85369090</v>
          </cell>
          <cell r="G4089">
            <v>85369090</v>
          </cell>
          <cell r="H4089" t="str">
            <v>TERMINAL DE CORRENTE ELÉTRICA TIPO NG, MONOFÁSICO, TENSÃO DE ENTRADA 220 V, CORRENTE NOMINAL DE 0 A 100 A, DIMENSÕES APROXIMADAS 60 × 79 MM, COM CLIPE DE MOLA, DESTINADO À CONEXÃO DE MEDIDORES DE ENERGIA ELÉTRICA EM BANCADA DE ENSAIO, MARCA XINGZHIBAO</v>
          </cell>
        </row>
        <row r="4090">
          <cell r="B4090">
            <v>3040702410</v>
          </cell>
          <cell r="C4090">
            <v>3040702410</v>
          </cell>
          <cell r="E4090">
            <v>85369090</v>
          </cell>
          <cell r="G4090">
            <v>85369090</v>
          </cell>
          <cell r="H4090" t="str">
            <v>TERMINAL ELÉTRICO TIPO CLIP CLAMPING, PEÇA METÁLICA, DESTINADO À CONEXÃO ELÉTRICA EM MEDIDORES DE ENERGIA, PRÓPRIO PARA USO EM BANCADA DE ENSAIO E VERIFICAÇÃO, COMPATÍVEL COM SISTEMAS MONOFÁSICOS OU TRIFÁSICOS</v>
          </cell>
        </row>
        <row r="4091">
          <cell r="B4091">
            <v>2150169390</v>
          </cell>
          <cell r="C4091">
            <v>2150169390</v>
          </cell>
          <cell r="E4091">
            <v>85340033</v>
          </cell>
          <cell r="G4091">
            <v>85340033</v>
          </cell>
          <cell r="H4091" t="str">
            <v>PLACA DE CIRCUITO IMPRESSO (PCB), DUPLA FACE, RÍGIDA, COM ISOLANTE DE RESINA EPÓXIDA E TECIDO DE FIBRA DE VIDRO (FR-4), ESPESSURA 1,6 MM, COM CAMADAS CONDUTORAS DE COBRE, DESTINADA À COMUNICAÇÃO EM MEDIDOR DE ENERGIA ELÉTRICA, EM CONFORMIDADE COM A DIRETIVA ROHS.</v>
          </cell>
        </row>
        <row r="4092">
          <cell r="B4092">
            <v>4020604410</v>
          </cell>
          <cell r="C4092">
            <v>4020604410</v>
          </cell>
          <cell r="E4092">
            <v>90303990</v>
          </cell>
          <cell r="G4092">
            <v>90303990</v>
          </cell>
          <cell r="H4092" t="str">
            <v>INSTRUMENTO DE MEDICAO E VERIFICACAO DE IMPULSOS ELETRICOS, UTILIZADO EM BANCADA DE ENSAIO PARA TESTE E CALIBRACAO DE MEDIDORES DE ENERGIA ELETRICA, NAO DESTINADO A MEDICAO PARA FATURAMENTO OU INSTALACAO EM REDE ELETRICA.</v>
          </cell>
        </row>
        <row r="4093">
          <cell r="B4093">
            <v>7020832351</v>
          </cell>
          <cell r="C4093">
            <v>7020832351</v>
          </cell>
          <cell r="E4093">
            <v>84807100</v>
          </cell>
          <cell r="G4093">
            <v>84807100</v>
          </cell>
          <cell r="H4093" t="str">
            <v>MOLDE DE INJEÇÃO PARA PLÁSTICOS, CONSTRUÍDO EM AÇO, PARA PRODUÇÃO DE BASE DA CARCAÇA DO NIC, MODELO W25246</v>
          </cell>
        </row>
        <row r="4094">
          <cell r="B4094">
            <v>7020832361</v>
          </cell>
          <cell r="C4094">
            <v>7020832361</v>
          </cell>
          <cell r="E4094">
            <v>84807100</v>
          </cell>
          <cell r="G4094">
            <v>84807100</v>
          </cell>
          <cell r="H4094" t="str">
            <v>MOLDE DE INJEÇÃO PARA PLÁSTICOS, CONSTRUÍDO EM AÇO, PARA PRODUÇÃO DE TAMPA DO BLOCO, MODELO W25247</v>
          </cell>
        </row>
        <row r="4095">
          <cell r="B4095">
            <v>7020831171</v>
          </cell>
          <cell r="C4095">
            <v>7020831171</v>
          </cell>
          <cell r="E4095">
            <v>84807100</v>
          </cell>
          <cell r="G4095">
            <v>84807100</v>
          </cell>
          <cell r="H4095" t="str">
            <v>MOLDE DE INJEÇÃO PARA PLÁSTICOS, CONSTRUÍDO EM AÇO, PARA PRODUÇÃO DE TAMPA AUXILIAR DO NIC, MODELO HLD-S25128</v>
          </cell>
        </row>
        <row r="4096">
          <cell r="B4096">
            <v>7020832371</v>
          </cell>
          <cell r="C4096">
            <v>7020832371</v>
          </cell>
          <cell r="E4096">
            <v>84807100</v>
          </cell>
          <cell r="G4096">
            <v>84807100</v>
          </cell>
          <cell r="H4096" t="str">
            <v>MOLDE DE INJEÇÃO PARA PLÁSTICOS, CONSTRUÍDO EM AÇO, PARA PRODUÇÃO DE TAMPA PRINCIPAL, MODELO W25248</v>
          </cell>
        </row>
        <row r="4097">
          <cell r="B4097">
            <v>7020832381</v>
          </cell>
          <cell r="C4097">
            <v>7020832381</v>
          </cell>
          <cell r="E4097">
            <v>84807100</v>
          </cell>
          <cell r="G4097">
            <v>84807100</v>
          </cell>
          <cell r="H4097" t="str">
            <v>MOLDE DE INJEÇÃO PARA PLÁSTICOS, CONSTRUÍDO EM AÇO, PARA PRODUÇÃO DE BASE, MODELO W25249</v>
          </cell>
        </row>
        <row r="4098">
          <cell r="B4098">
            <v>7020832501</v>
          </cell>
          <cell r="E4098">
            <v>84807100</v>
          </cell>
          <cell r="G4098">
            <v>84807100</v>
          </cell>
          <cell r="H4098" t="str">
            <v>MOLDE DE INJECAO PARA FABRICACAO DE PECAS PLASTICAS, PARTE INFERIOR COM VALVULA DO MEDIDOR DE AGUA-NB  (CONTADORES DE LIQUIDOS), FABRICADO EM ACO, DESTINADO A PROCESSOS INDUSTRIAIS DE MOLDAGEM POR INJECAO, UTILIZADO EM MAQUINAS INJETORAS - CODIGO HLD-W26004.</v>
          </cell>
        </row>
        <row r="4099">
          <cell r="B4099">
            <v>7020832511</v>
          </cell>
          <cell r="E4099">
            <v>84807100</v>
          </cell>
          <cell r="G4099">
            <v>84807100</v>
          </cell>
          <cell r="H4099" t="str">
            <v>MOLDE DE INJECAO PARA FABRICACAO DE PECAS PLASTICAS, TAMPA DA CAIXA DO MODULO DE MEDIDORES DE AGUA-NB (CONTADORES DE LIQUIDOS), FABRICADO EM ACO, DESTINADO A PROCESSOS INDUSTRIAIS DE MOLDAGEM POR INJECAO, UTILIZADO EM MAQUINAS INJETORAS - CÓDIGO HLD-W26005.</v>
          </cell>
        </row>
        <row r="4100">
          <cell r="B4100">
            <v>7020832471</v>
          </cell>
          <cell r="E4100">
            <v>84807100</v>
          </cell>
          <cell r="G4100">
            <v>84807100</v>
          </cell>
          <cell r="H4100" t="str">
            <v>MOLDE DE INJECAO PARA FABRICACAO DE PECAS PLASTICAS, MODELO TAMPA FLIP  DE MEDIDORES DE AGUA-NB (CONTADORES DE LIQUIDOS), FABRICADO EM ACO, DESTINADO A PROCESSOS INDUSTRIAIS DE MOLDAGEM POR INJECAO, UTILIZADO EM MAQUINAS INJETORAS - CÓDIGO HLD-W26001.</v>
          </cell>
        </row>
        <row r="4101">
          <cell r="B4101">
            <v>7020832521</v>
          </cell>
          <cell r="E4101">
            <v>84807100</v>
          </cell>
          <cell r="G4101">
            <v>84807100</v>
          </cell>
          <cell r="H4101" t="str">
            <v>MOLDE DE INJECAO PARA FABRICACAO DE PECAS PLASTICAS, BASE DA CAIXA DO MODULO DE MEDIDORES DE AGUA-NB (CONTADORES DE LIQUIDOS), FABRICADO EM ACO, DESTINADO A PROCESSOS INDUSTRIAIS DE MOLDAGEM POR INJECAO, UTILIZADO EM MAQUINAS INJETORAS - CÓDIGO HLD-W26006.</v>
          </cell>
        </row>
        <row r="4102">
          <cell r="B4102">
            <v>7020832491</v>
          </cell>
          <cell r="E4102">
            <v>84807100</v>
          </cell>
          <cell r="G4102">
            <v>84807100</v>
          </cell>
          <cell r="H4102" t="str">
            <v>MOLDE DE INJECAO PARA FABRICACAO DE PECAS PLASTICAS,MODELO BASE DE MEDIDORES DE AGUA-NB (CONTADORES DE LIQUIDOS), FABRICADO EM ACO, DESTINADO A PROCESSOS INDUSTRIAIS DE MOLDAGEM POR INJECAO, UTILIZADO EM MAQUINAS INJETORAS - CÓDIGO HLD-W26003.</v>
          </cell>
        </row>
        <row r="4103">
          <cell r="B4103">
            <v>7020832531</v>
          </cell>
          <cell r="E4103">
            <v>84807100</v>
          </cell>
          <cell r="G4103">
            <v>84807100</v>
          </cell>
          <cell r="H4103" t="str">
            <v>MOLDE DE INJECAO PARA FABRICACAO DE PECAS PLASTICAS, PARTE INFERIOR DO MEDIDOR DE AGUA-NB (CONTADORES DE LIQUIDOS), FABRICADO EM ACO, DESTINADO A PROCESSOS INDUSTRIAIS DE MOLDAGEM POR INJECAO, UTILIZADO EM MAQUINAS INJETORAS - CÓDIGO HLD-W26007.</v>
          </cell>
        </row>
        <row r="4104">
          <cell r="B4104">
            <v>7020832481</v>
          </cell>
          <cell r="E4104">
            <v>84807100</v>
          </cell>
          <cell r="G4104">
            <v>84807100</v>
          </cell>
          <cell r="H4104" t="str">
            <v>MOLDE DE INJECAO PARA FABRICACAO DE PECAS PLASTICAS, MODELO TAMPA  DE MEDIDORES DE AGUA-NB (CONTADORES DE LIQUIDOS), FABRICADO EM ACO, DESTINADO A PROCESSOS INDUSTRIAIS DE MOLDAGEM POR INJECAO, UTILIZADO EM MAQUINAS INJETORAS - HLD-W26002.</v>
          </cell>
        </row>
        <row r="4105">
          <cell r="B4105">
            <v>4020220790</v>
          </cell>
          <cell r="C4105">
            <v>4020220790</v>
          </cell>
          <cell r="E4105">
            <v>85159000</v>
          </cell>
          <cell r="G4105">
            <v>85159000</v>
          </cell>
          <cell r="H4105" t="str">
            <v>Sonotrodo de solda ultrassônica, peça mecânica vibratória destinada à soldagem do visor LCD do medidor inteligente Zeus NG 1P3W, modelo HXB8031Z.R210, utilizado exclusivamente em equipamento de soldagem ultrassônica industrial.</v>
          </cell>
        </row>
        <row r="4106">
          <cell r="B4106">
            <v>4020220800</v>
          </cell>
          <cell r="C4106">
            <v>4020220800</v>
          </cell>
          <cell r="E4106">
            <v>85159000</v>
          </cell>
          <cell r="G4106">
            <v>85159000</v>
          </cell>
          <cell r="H4106" t="str">
            <v>Cabeçote de solda ultrassônica destinado à aplicação no ponto de comunicação do medidor inteligente Zeus NG 1P3W, modelo HXB8031Z.R210, componente de máquina de soldagem ultrassônica industrial.</v>
          </cell>
        </row>
        <row r="4107">
          <cell r="B4107">
            <v>5210201250</v>
          </cell>
          <cell r="C4107">
            <v>5210201250</v>
          </cell>
          <cell r="E4107">
            <v>90289090</v>
          </cell>
          <cell r="G4107">
            <v>90289090</v>
          </cell>
          <cell r="H4107" t="str">
            <v>TUBO (CARCACA) DE LATAO A BASE DE COBREZINCO, COM RETIFICADOR DE FLUXO, Q3 10M3H, MONTADO, INCLUI 1 PAR DE TRANSDUTORES, 1 PLACA DE PRESSAO METALICA, 4 PARAFUSOS M4X8 E 2 ANAIS DE VEDACAO, PARA USO EM HIDROMETROS RESIDENCIAIS COM SECAO DE TRANSVERSAL DE 25mm E COMPRIMENTO DE 260mm.</v>
          </cell>
        </row>
        <row r="4108">
          <cell r="B4108">
            <v>5210201240</v>
          </cell>
          <cell r="C4108">
            <v>5210201240</v>
          </cell>
          <cell r="E4108">
            <v>90289090</v>
          </cell>
          <cell r="G4108">
            <v>90289090</v>
          </cell>
          <cell r="H4108" t="str">
            <v>TUBO (CARCACA) DE LATAO A BASE DE COBREZINCO COM PINTURA ELETROSTATICA AZUL, COM RETIFICADOR DE FLUXO, Q3 10M3H, MONTADO, INCLUI 1 PAR DE TRANSDUTORES, 1 PLACA DE PRESSAO METALICA, 4 PARAFUSOS M4X8 E 2 ANEIS DE VEDACAO, PARA USO EM HIDROMETROS RESIDENCIAIS COM SECAO DE TRANSVERSAL DE 25mm E COMPRIMENTO DE 260mm.</v>
          </cell>
        </row>
        <row r="4109">
          <cell r="B4109">
            <v>5210201220</v>
          </cell>
          <cell r="C4109">
            <v>5210201220</v>
          </cell>
          <cell r="E4109">
            <v>90289090</v>
          </cell>
          <cell r="G4109">
            <v>90289090</v>
          </cell>
          <cell r="H4109" t="str">
            <v>TUBO (CARCACA) DE LATAO A BASE DE COBREZINCO COM PINTURA ELETROSTATICA AZUL, MONTADO, INCLUI 1 PAR DE TRANSDUTORES, 1 PLACA DE PRESSAO METALICA, 4 PARAFUSOS M4X8 E 2 ANEIS DE VEDACAO, PARA USO EM HIDROMETROS RESIDENCIAIS COM SECAO DE TRANSVERSAL DE 15mm E COMPRIMENTO DE 165mm.</v>
          </cell>
        </row>
        <row r="4110">
          <cell r="B4110">
            <v>3030111150</v>
          </cell>
          <cell r="C4110">
            <v>3030111150</v>
          </cell>
          <cell r="E4110">
            <v>73181500</v>
          </cell>
          <cell r="G4110">
            <v>73181500</v>
          </cell>
          <cell r="H4110" t="str">
            <v>Parafuso M4X10 de matéria-prima base em aço inoxidável, de processo de fabricação por usinagem, cabeça panela com fenda cruzada phillips</v>
          </cell>
        </row>
        <row r="4111">
          <cell r="B4111">
            <v>3142800070</v>
          </cell>
          <cell r="C4111">
            <v>3142800070</v>
          </cell>
          <cell r="E4111">
            <v>90289090</v>
          </cell>
          <cell r="G4111">
            <v>90289090</v>
          </cell>
          <cell r="H4111" t="str">
            <v>TRANSDUTOR PIEZOELETRICO 2 MHZ PARTE PARA MONTAGEM EM HIDROMETROS (CONTADORES DE LIQUIDO) RESIDENCIAIS (DN15; DN20; DN25) PARA MEDICAO DE VAZAO.</v>
          </cell>
        </row>
        <row r="4112">
          <cell r="B4112">
            <v>3142101080</v>
          </cell>
          <cell r="E4112">
            <v>90289090</v>
          </cell>
          <cell r="G4112">
            <v>90289090</v>
          </cell>
          <cell r="H4112" t="str">
            <v>TUBO DE COBRE (CARCAÇA) A BASE DE COBREZINCO (LATÃO) COM PINTURA ELETROSTATICA AZUL, MONTADO, PARA USO EM HIDRÔMETROS RESIDENCIAIS COM SEÇÃO DE TRANSVERSAL DE 25mm E COMPRIMENTO DE 260mm.</v>
          </cell>
        </row>
        <row r="4113">
          <cell r="B4113">
            <v>3142101070</v>
          </cell>
          <cell r="E4113">
            <v>90289090</v>
          </cell>
          <cell r="G4113">
            <v>90289090</v>
          </cell>
          <cell r="H4113" t="str">
            <v>TUBO DE COBRE (CARCAÇA) A BASE DE COBREZINCO (LATÃO) COM PINTURA ELETROSTATICA AZUL, MONTADO, PARA USO EM HIDRÔMETROS RESIDENCIAIS COM SEÇÃO DE TRANSVERSAL DE 40mm E COMPRIMENTO DE 300mm.</v>
          </cell>
        </row>
        <row r="4114">
          <cell r="B4114">
            <v>3142100980</v>
          </cell>
          <cell r="E4114">
            <v>90289090</v>
          </cell>
          <cell r="G4114">
            <v>90289090</v>
          </cell>
          <cell r="H4114" t="str">
            <v>TUBO DE COBRE (CARCAÇA) A BASE DE COBREZINCO (LATÃO) COM PINTURA ELETROSTATICA AZUL, MONTADO, PARA USO EM HIDRÔMETROS RESIDENCIAIS COM SEÇÃO DE TRANSVERSAL DE 40mm E COMPRIMENTO DE 300mm.</v>
          </cell>
        </row>
        <row r="4115">
          <cell r="B4115" t="str">
            <v>565DB90106</v>
          </cell>
          <cell r="E4115">
            <v>90282010</v>
          </cell>
          <cell r="G4115">
            <v>90282010</v>
          </cell>
          <cell r="H4115" t="str">
            <v>HIDROMETRO ULTRASSONICO  (CONTADOR DE LIQUIDOS) INDUSTRIAL COM CARCACA DE FERRO FUNDIDO, DIAMETRO NOMINAL DE 150MM, COMPRIMENTO 300 MM, VAZAO DE 250,0 M3/H; R400 COM SAIDA DE PULSO, COM PESO LIQUIDO UNITARIO APROXIMADO ENTRE 10,0 KG E 20,0 KG.</v>
          </cell>
        </row>
        <row r="4116">
          <cell r="B4116" t="str">
            <v>5659C80115</v>
          </cell>
          <cell r="E4116">
            <v>90282010</v>
          </cell>
          <cell r="H4116" t="str">
            <v>Hidrômetro ultrassônico  (contador de líquidos) industrial com carcaça de ferro fundido, diâmetro nominal de 50mm, comprimento 270 mm, vazão de 25,0 m3/h; R500 com saída de pulso, com peso líquido unitário aproximado entre 10,0 kg e 15,0 kg.</v>
          </cell>
        </row>
        <row r="4117">
          <cell r="B4117" t="str">
            <v>565BC90115</v>
          </cell>
          <cell r="E4117">
            <v>90282010</v>
          </cell>
          <cell r="H4117" t="str">
            <v>Hidrômetro ultrassônico (contador de líquidos)  industrial com carcaça de ferro fundido, diâmetro nominal de 80mm, comprimento 300 mm, vazão de 63 m3/h com saída de pulso/modbus, com peso líquido unitário aproximado entre 15,0 kg e 20,0 kg.</v>
          </cell>
        </row>
        <row r="4118">
          <cell r="B4118" t="str">
            <v>565CCB0115</v>
          </cell>
          <cell r="E4118">
            <v>90282010</v>
          </cell>
          <cell r="H4118" t="str">
            <v>Hidrômetro ultrassônico  (contador de líquidos)  industrial com carcaça de ferro fundido, diâmetro nominal de 100mm, comprimento 360 mm, R500, vazão de 100 m3/h com saída de pulso/modbus, com peso líquido unitário aproximado entre 20,0 kg e 30,0 kg.</v>
          </cell>
        </row>
        <row r="4119">
          <cell r="B4119" t="str">
            <v>565DC90115</v>
          </cell>
          <cell r="E4119">
            <v>90282010</v>
          </cell>
          <cell r="H4119" t="str">
            <v>Hidrômetro ultrassônico  (contador de líquidos) industrial com carcaça de ferro fundido, diâmetro nominal de 150mm, comprimento 300 mm, vazão de 250,0 m3/h; R500 com saída de pulso, com peso líquido unitário aproximado entre 10,0 kg e 20,0 kg.</v>
          </cell>
        </row>
        <row r="4120">
          <cell r="B4120">
            <v>3142100970</v>
          </cell>
          <cell r="E4120">
            <v>90289090</v>
          </cell>
          <cell r="G4120">
            <v>90289090</v>
          </cell>
          <cell r="H4120" t="str">
            <v>TUBO DE COBRE (CARCACA) A BASE DE COBREZINCO (LATAO), MONTADO, PARA USO EM HIDROMETROS RESIDENCIAIS COM SECAO DE TRANSVERSAL DE 25mm E COMPRIMENTO DE 260mm.</v>
          </cell>
        </row>
        <row r="4121">
          <cell r="B4121">
            <v>4032500760</v>
          </cell>
          <cell r="C4121">
            <v>4032500760</v>
          </cell>
          <cell r="E4121">
            <v>85371090</v>
          </cell>
          <cell r="G4121">
            <v>85371090</v>
          </cell>
          <cell r="H4121" t="str">
            <v>Placa de circuito impresso montada (PCBA), contendo componentes eletrônicos ativos e passivos (circuitos integrados, resistores, capacitores e outros), destinada a controle/acionamento eletrônico, para tensão não superior a 1000 V</v>
          </cell>
        </row>
        <row r="4122">
          <cell r="B4122">
            <v>2150183920</v>
          </cell>
          <cell r="C4122">
            <v>2150183920</v>
          </cell>
          <cell r="E4122">
            <v>85340033</v>
          </cell>
          <cell r="G4122">
            <v>85340033</v>
          </cell>
          <cell r="H4122" t="str">
            <v>PLACA DE CIRCUITO IMPRESSO, DE NATUREZA DO MATERIAL BASE RIGIDO, COMPOSICAO DA PLACA DE ISOLANTE DE RESINA EPOXIDA E TECIDO DE FIBRA DE VIDRO, ESTRUTURA DE DUPLA FACE E INTERLIGACAO ENTRE FACES POR FUROS METALIZADOS; DIMENSOES 273.0MM X 160.9MM X 1.6MM/6 NAO-ROHS (2150183920)</v>
          </cell>
        </row>
        <row r="4123">
          <cell r="B4123" t="str">
            <v>HXAP1000R31043-CPFL</v>
          </cell>
          <cell r="C4123" t="str">
            <v>HXAP1000R31043-CPFL</v>
          </cell>
          <cell r="E4123">
            <v>85176241</v>
          </cell>
          <cell r="G4123">
            <v>85176241</v>
          </cell>
          <cell r="H4123" t="str">
            <v>ROTEADORES DE BORDA,DIGITAIS, PARA COMUNICACAO BIDIRECIONAL DE DADOS SEM FIO (RECEPCAO, CONVERSAO E TRANSMISSAO), DIGITAIS, EMISSORES DE RADIO FREQUENCIA COM RECEPTOR INCORPORADO, CAPAZES DE OPERAR NA FAIXA ISM DE FREQUENCIAS 902 A 928 MHZ, COM TAXA DE TRANSMISSAO DE ATE 300 KBPS, COMPATIVEIS COM O PADRAO WISUN E IEEE802.15.4G, OPERANDO EM TOPOLOGIA "MESH" OU "ESTRELA" COM ESPALHAMENTO ESPECTRAL POR SALTO EM FREQUENCIA (FHSS), ENDERECAMENTO IPV6 E POTENCIA DE TRANSMISSAO DE ATE +30DBM,  POSSUINDO AINDA, ALIMENTACAO "FULL-RANGE" 110 ~ 240 VAC,ANO DE FABRICACAO XXXX, NUMEROS DE SERIE YYYY A ZZZZ, MODELO MMMM, MARCA LLLL.</v>
          </cell>
        </row>
        <row r="4124">
          <cell r="B4124" t="str">
            <v>MDG16.R21003</v>
          </cell>
          <cell r="C4124" t="str">
            <v>MDG16.R21003</v>
          </cell>
          <cell r="E4124">
            <v>85176272</v>
          </cell>
          <cell r="G4124">
            <v>85176272</v>
          </cell>
          <cell r="H4124" t="str">
            <v>MODULOS DE COMUNICACAO BIDIRECIONAL DE DADOS SEM FIO (RECEPCAO, CONVERSAO E TRANSMISSAO), DIGITAIS, EMISSORES DE RADIO FREQUENCIA COM RECEPTOR INCORPORADO, CAPAZES DE OPERAR NA FAIXA ISM DE FREQUENCIAS 902 A 928 MHZ, COM TAXA DE TRANSMISSAO DE ATE 150 KBPS, COMPATÍVEIS COM O PADRAO WISUN E IEEE802.15.4G,  OPERANDO EM TOPOLOGIA "MESH" OU "ESTRELA" COM ESPALHAMENTO ESPECTRAL POR SALTO EM FREQUENCIA (FHSS), ENDERECAMENTO IPV6 E POTENCIA DE TRANSMISSAO DE ATE +30DBM (MDG16.R21003)</v>
          </cell>
        </row>
        <row r="4125">
          <cell r="B4125">
            <v>4020219210</v>
          </cell>
          <cell r="C4125">
            <v>4020219210</v>
          </cell>
          <cell r="E4125">
            <v>85159000</v>
          </cell>
          <cell r="G4125">
            <v>85159000</v>
          </cell>
          <cell r="H4125" t="str">
            <v>CONJUNTO DE SUPORTE E SONOTRODO EM DURALUMÍNIO PARA SOLDAGEM ULTRASSÔNICA DE 15KHZ DO GUIA DE LED E DA TAMPA PRINCIPAL COM TRATAMENTO DE OXIDAÇÃO.(REF.:4020219210)</v>
          </cell>
        </row>
        <row r="4126">
          <cell r="B4126">
            <v>4020220130</v>
          </cell>
          <cell r="C4126">
            <v>4020220130</v>
          </cell>
          <cell r="E4126">
            <v>85159000</v>
          </cell>
          <cell r="G4126">
            <v>85159000</v>
          </cell>
          <cell r="H4126" t="str">
            <v>SONOTRODO EM DURALUMÍNIO PARA SOLDAGEM ULTRASSÔNICA DE 15KHZ DA BASE E DA TAMPA PRINCIPAL COM TRATAMENTO DE OXIDAÇÃO.(REF.:4020220130)</v>
          </cell>
        </row>
        <row r="4127">
          <cell r="B4127">
            <v>4020220140</v>
          </cell>
          <cell r="C4127">
            <v>4020220140</v>
          </cell>
          <cell r="E4127">
            <v>85159000</v>
          </cell>
          <cell r="G4127">
            <v>85159000</v>
          </cell>
          <cell r="H4127" t="str">
            <v>BERÇO EM DURALUMÍNIO PARA SOLDAGEM ULTRASSÔNICA DE 15KHZ DA BASE E DA TAMPA PRINCIPAL COM TRATAMENTO DE OXIDAÇÃO.(REF.:4020220140)</v>
          </cell>
        </row>
        <row r="4128">
          <cell r="B4128">
            <v>7070103450</v>
          </cell>
          <cell r="C4128">
            <v>7070103450</v>
          </cell>
          <cell r="E4128">
            <v>84715010</v>
          </cell>
          <cell r="G4128">
            <v>84715010</v>
          </cell>
          <cell r="H4128" t="str">
            <v>SERVIDOR PARA PROCESSAMENTO AUTOMÁTICO DE DADOS, TIPO RACK, MODELO POWEREDGE R760XS, MARCA DELL, EQUIPADO COM PROCESSADORES, MEMÓRIA RAM, UNIDADES DE ARMAZENAMENTO E INTERFACES DE REDE, PRÓPRIO PARA USO EM DATA CENTER E AMBIENTES CORPORATIVOS, NÃO DESTINADO A TELECOMUNICAÇÕES, NÃO INCORPORANDO FUNÇÃO DE TRANSMISSÃO DE SINAIS. (7070103450)</v>
          </cell>
        </row>
        <row r="4129">
          <cell r="B4129">
            <v>2070700440</v>
          </cell>
          <cell r="C4129">
            <v>2070700440</v>
          </cell>
          <cell r="E4129">
            <v>85076000</v>
          </cell>
          <cell r="G4129">
            <v>85076000</v>
          </cell>
          <cell r="H4129" t="str">
            <v>Bateria recarregável de íons de lítio, tensão nominal 12,8 V, capacidade 4 Ah, corrente nominal 4 A, dimensões 107 x 78 x 27 mm, vida útil aproximada de 2000 ciclos, conforme RoHS.</v>
          </cell>
        </row>
        <row r="4130">
          <cell r="B4130">
            <v>2140500300</v>
          </cell>
          <cell r="C4130">
            <v>2140500300</v>
          </cell>
          <cell r="E4130">
            <v>85369090</v>
          </cell>
          <cell r="G4130">
            <v>85369090</v>
          </cell>
          <cell r="H4130" t="str">
            <v>Adaptador de conexão do tipo N para IPEX de 4ª geração, conector reto, 1,37 mm² preto 150 mm² e tensão de até 300 V, para conexão de circuito elétrico</v>
          </cell>
        </row>
        <row r="4131">
          <cell r="B4131">
            <v>3011101470</v>
          </cell>
          <cell r="C4131">
            <v>3011101470</v>
          </cell>
          <cell r="E4131">
            <v>84818099</v>
          </cell>
          <cell r="G4131">
            <v>84818099</v>
          </cell>
          <cell r="H4131" t="str">
            <v>Válvula respiradora mecânica para equalização de pressão, impermeável e permeável ao ar, rosca métrica M12 × 1,5, corpo em latão niquelado, grau de proteção IP67, vazão aproximada de 850 ml/min, pressão de trabalho de até 10 kPa, utilizada em gabinetes e invólucros de equipamentos, para proteção contra água, óleo e condensação.</v>
          </cell>
        </row>
        <row r="4132">
          <cell r="B4132">
            <v>3011101870</v>
          </cell>
          <cell r="C4132">
            <v>3011101870</v>
          </cell>
          <cell r="E4132">
            <v>73269090</v>
          </cell>
          <cell r="G4132">
            <v>73269090</v>
          </cell>
          <cell r="H4132" t="str">
            <v>Prensa-cabo mecânico impermeável, rosca métrica M18, em aço inoxidável, faixa de fixação para cabos de 4 a 7 mm de diâmetro, comprimento de rosca de 20 mm, grau de proteção IP68, utilizado para vedação e fixação de cabos em painéis e gabinetes, conforme RoHS.</v>
          </cell>
        </row>
        <row r="4133">
          <cell r="B4133">
            <v>3011701720</v>
          </cell>
          <cell r="C4133">
            <v>3011701720</v>
          </cell>
          <cell r="E4133">
            <v>85318000</v>
          </cell>
          <cell r="G4133">
            <v>85318000</v>
          </cell>
          <cell r="H4133" t="str">
            <v>Luz indicadora elétrica (lâmpada piloto) para sinalização visual, corpo metálico, cor verde, tensão nominal de 12 V, diâmetro de montagem de 16 mm, modelo AD11-16-20-AGFN, utilizada em painéis e quadros de comando elétrico.</v>
          </cell>
        </row>
        <row r="4134">
          <cell r="B4134">
            <v>3012102940</v>
          </cell>
          <cell r="C4134">
            <v>3012102940</v>
          </cell>
          <cell r="E4134">
            <v>85366990</v>
          </cell>
          <cell r="G4134">
            <v>85366990</v>
          </cell>
          <cell r="H4134" t="str">
            <v>Conector elétrico fêmea padrão RJ45 (Ethernet), tipo industrial “aviation connector”, para montagem em painel, com vedação grau IP67, modelo LP-24-J/RJ45/213/SX-43-401, destinado a conexões de dados em equipamentos e painéis industriais.</v>
          </cell>
        </row>
        <row r="4135">
          <cell r="B4135">
            <v>3030104120</v>
          </cell>
          <cell r="C4135">
            <v>3030104120</v>
          </cell>
          <cell r="E4135">
            <v>73181500</v>
          </cell>
          <cell r="G4135">
            <v>73181500</v>
          </cell>
          <cell r="H4135" t="str">
            <v>Parafuso de fixação métrico M3 × 5 mm, cabeça tipo panela (pan head), fenda cruzada tipo Phillips, ponta plana, fabricado em aço inoxidável SUS304, com tratamento de passivação, conforme GB/T 823, resistência à corrosão comprovada por ensaio de névoa salina de 720 horas, conforme RoHS.</v>
          </cell>
        </row>
        <row r="4136">
          <cell r="B4136">
            <v>3030109880</v>
          </cell>
          <cell r="C4136">
            <v>3030109880</v>
          </cell>
          <cell r="E4136">
            <v>73181500</v>
          </cell>
          <cell r="G4136">
            <v>73181500</v>
          </cell>
          <cell r="H4136" t="str">
            <v>Parafuso de máquina antifurto, rosca métrica M5 x 16 mm, cabeça panela, encaixe Torx interno (hexalobular), ponta plana, em aço inoxidável SUS304, sem revestimento especial, uso industrial.</v>
          </cell>
        </row>
        <row r="4137">
          <cell r="B4137">
            <v>3030702140</v>
          </cell>
          <cell r="C4137">
            <v>3030702140</v>
          </cell>
          <cell r="E4137">
            <v>73181500</v>
          </cell>
          <cell r="G4137">
            <v>73181500</v>
          </cell>
          <cell r="H4137" t="str">
            <v>Parafuso sextavado interno (Allen), rosca métrica M4 x 35 mm, cabeça cilíndrica, em aço inoxidável SUS304, conforme GB/T 70.1-2000, sem tratamento superficial especial, uso industrial.</v>
          </cell>
        </row>
        <row r="4138">
          <cell r="B4138">
            <v>3030902610</v>
          </cell>
          <cell r="C4138">
            <v>3030902610</v>
          </cell>
          <cell r="E4138">
            <v>73181600</v>
          </cell>
          <cell r="G4138">
            <v>73181600</v>
          </cell>
          <cell r="H4138" t="str">
            <v>Porca cega (porca com tampa), rosca métrica M4, em aço inoxidável SUS304, com tratamento de passivação, conforme norma GB/T 923-2009, uso industrial.</v>
          </cell>
        </row>
        <row r="4139">
          <cell r="B4139">
            <v>3032101550</v>
          </cell>
          <cell r="C4139">
            <v>3032101550</v>
          </cell>
          <cell r="E4139">
            <v>74152100</v>
          </cell>
          <cell r="G4139">
            <v>74152100</v>
          </cell>
          <cell r="H4139" t="str">
            <v>Pino roscado (espaçador) de latão H62, rosca métrica M3, comprimento 8,0 mm (M3 x 8 + 6), uso industrial.</v>
          </cell>
        </row>
        <row r="4140">
          <cell r="B4140">
            <v>3032101990</v>
          </cell>
          <cell r="C4140">
            <v>3032101990</v>
          </cell>
          <cell r="E4140">
            <v>74152100</v>
          </cell>
          <cell r="G4140">
            <v>74152100</v>
          </cell>
          <cell r="H4140" t="str">
            <v>Coluna espaçadora metálica roscada, rosca métrica M3, comprimento total 35,5 mm, em latão HPb59-1, diâmetro da cabeça Ø9 mm, comprimento roscado 6 mm, com tratamento por decapagem ácida, uso industrial.</v>
          </cell>
        </row>
        <row r="4141">
          <cell r="B4141">
            <v>3041901380</v>
          </cell>
          <cell r="C4141">
            <v>3041901380</v>
          </cell>
          <cell r="E4141">
            <v>73269090</v>
          </cell>
          <cell r="G4141">
            <v>73269090</v>
          </cell>
          <cell r="H4141" t="str">
            <v>Junta metálica de vedação para tampão (plug), em aço inoxidável SUS304, espessura 2,0 mm, dimensões 33 x 33 x 2 mm, resistência à corrosão ≥ 72 h em ensaio de névoa salina, faixa de temperatura de −65 °C a +165 °C, conforme RoHS, uso industrial.</v>
          </cell>
        </row>
        <row r="4142">
          <cell r="B4142">
            <v>3041901460</v>
          </cell>
          <cell r="C4142">
            <v>3041901460</v>
          </cell>
          <cell r="E4142">
            <v>73269090</v>
          </cell>
          <cell r="G4142">
            <v>73269090</v>
          </cell>
          <cell r="H4142" t="str">
            <v>Junta metálica de vedação em aço inoxidável SUS304, espessura 1,5 mm, dimensões 30 x 30 mm, acabamento superficial polido, superfície lisa e brilhante, conforme RoHS, uso industrial.</v>
          </cell>
        </row>
        <row r="4143">
          <cell r="B4143">
            <v>3041901510</v>
          </cell>
          <cell r="C4143">
            <v>3041901510</v>
          </cell>
          <cell r="E4143">
            <v>73269090</v>
          </cell>
          <cell r="G4143">
            <v>73269090</v>
          </cell>
          <cell r="H4143" t="str">
            <v>Junta metálica de vedação em aço inoxidável SUS304, espessura 0,5 mm, diâmetro interno 18 mm e diâmetro externo 25 mm, conforme RoHS, uso industrial.</v>
          </cell>
        </row>
        <row r="4144">
          <cell r="B4144">
            <v>3051510320</v>
          </cell>
          <cell r="C4144">
            <v>3051510320</v>
          </cell>
          <cell r="E4144">
            <v>76169900</v>
          </cell>
          <cell r="G4144">
            <v>76169900</v>
          </cell>
          <cell r="H4144" t="str">
            <v>Calço/arruela metálica em liga de alumínio 5052, espessura 2,0 mm, dimensões 108,5 x 127,5 mm, peça usinada/recortada para uso mecânico, sem tratamento superficial, conforme RoHS.</v>
          </cell>
        </row>
        <row r="4145">
          <cell r="B4145">
            <v>3061503210</v>
          </cell>
          <cell r="C4145">
            <v>3061503210</v>
          </cell>
          <cell r="E4145">
            <v>39269090</v>
          </cell>
          <cell r="G4145">
            <v>39269090</v>
          </cell>
          <cell r="H4145" t="str">
            <v>Placa isolante elétrica em policarbonato (PC), dimensões 135 x 70 mm, cor preta, rigidez dielétrica superior a 15 kV, retardante de chama UL94 V-0, temperatura de trabalho até 105 °C, uso em isolamento elétrico.</v>
          </cell>
        </row>
        <row r="4146">
          <cell r="B4146">
            <v>3061900250</v>
          </cell>
          <cell r="C4146">
            <v>3061900250</v>
          </cell>
          <cell r="E4146">
            <v>76169900</v>
          </cell>
          <cell r="G4146">
            <v>76169900</v>
          </cell>
          <cell r="H4146" t="str">
            <v>Tampa metálica para cartão SIM em liga de alumínio 6061, com oxidação condutiva e pintura a pó prata para uso externo, peça de proteção/acabamento mecânico.</v>
          </cell>
        </row>
        <row r="4147">
          <cell r="B4147">
            <v>3061900260</v>
          </cell>
          <cell r="C4147">
            <v>3061900260</v>
          </cell>
          <cell r="E4147">
            <v>76169900</v>
          </cell>
          <cell r="G4147">
            <v>76169900</v>
          </cell>
          <cell r="H4147" t="str">
            <v>Defletor/placa de proteção para bateria em liga de alumínio 6061, com oxidação condutiva e pintura a pó prata para uso externo, peça de proteção mecânica.</v>
          </cell>
        </row>
        <row r="4148">
          <cell r="B4148">
            <v>3061900920</v>
          </cell>
          <cell r="C4148">
            <v>3061900920</v>
          </cell>
          <cell r="E4148">
            <v>85177099</v>
          </cell>
          <cell r="G4148">
            <v>85177099</v>
          </cell>
          <cell r="H4148" t="str">
            <v>Tampa inferior de alumínio fundido (liga ADC12), com pintura eletrostática a pó cor prata e tratamento de oxidação condutiva, desenvolvida exclusivamente para uso como parte estrutural de access point (AP) utilizado em rede de medição de energia elétrica, modelo AP3.2.</v>
          </cell>
        </row>
        <row r="4149">
          <cell r="B4149">
            <v>3061900930</v>
          </cell>
          <cell r="C4149">
            <v>3061900930</v>
          </cell>
          <cell r="E4149">
            <v>85177099</v>
          </cell>
          <cell r="G4149">
            <v>85177099</v>
          </cell>
          <cell r="H4149" t="str">
            <v>Tampa superior de alumínio fundido (liga ADC12), com pintura eletrostática a pó cor prata para uso externo e tratamento de oxidação condutiva, desenvolvida exclusivamente para uso como parte estrutural de access point (AP) aplicado em rede de medição de energia elétrica, código 30619-AP3.2-0101, versão com furo adicional.</v>
          </cell>
        </row>
        <row r="4150">
          <cell r="B4150">
            <v>3070500110</v>
          </cell>
          <cell r="C4150">
            <v>3070500110</v>
          </cell>
          <cell r="E4150">
            <v>39269090</v>
          </cell>
          <cell r="G4150">
            <v>39269090</v>
          </cell>
          <cell r="H4150" t="str">
            <v>Abraçadeira (tie-wrap) em poliamida 66, dimensões 3 × 60 mm, cor branca, peça genérica de fixação.</v>
          </cell>
        </row>
        <row r="4151">
          <cell r="B4151">
            <v>3070901260</v>
          </cell>
          <cell r="C4151">
            <v>3070901260</v>
          </cell>
          <cell r="E4151">
            <v>39269090</v>
          </cell>
          <cell r="G4151">
            <v>39269090</v>
          </cell>
          <cell r="H4151" t="str">
            <v>Espaçador/pilar em poliamida 66 (PA66), cor branca, base Φ7 mm, meio Φ3.3 mm, altura 8.5 mm, cabeça flat top, rosca N-3.5, peça genérica de fixação/montagem.</v>
          </cell>
        </row>
        <row r="4152">
          <cell r="B4152">
            <v>3071900950</v>
          </cell>
          <cell r="C4152">
            <v>3071900950</v>
          </cell>
          <cell r="E4152">
            <v>74198000</v>
          </cell>
          <cell r="G4152">
            <v>74198000</v>
          </cell>
          <cell r="H4152" t="str">
            <v>Tampão (plugue) em latão niquelado, código 30719-AP-01, peça metálica genérica para vedação/obstrução de orifícios ou conexões.</v>
          </cell>
        </row>
        <row r="4153">
          <cell r="B4153">
            <v>3071901070</v>
          </cell>
          <cell r="C4153">
            <v>3071901070</v>
          </cell>
          <cell r="E4153">
            <v>85444200</v>
          </cell>
          <cell r="G4153">
            <v>85444200</v>
          </cell>
          <cell r="H4153" t="str">
            <v>Cabo adaptador elétrico com conector fêmea de 5 pinos, para uma tensão de até 1000V, 3,96 mm entre pinos, para interligação de placa eletrônica.</v>
          </cell>
        </row>
        <row r="4154">
          <cell r="B4154">
            <v>3080104650</v>
          </cell>
          <cell r="C4154">
            <v>3080104650</v>
          </cell>
          <cell r="E4154">
            <v>40169300</v>
          </cell>
          <cell r="G4154">
            <v>40169300</v>
          </cell>
          <cell r="H4154" t="str">
            <v>Junta de vedação em silicone (borracha vulcanizada), dimensões 29 × 29 × 1,7 mm, dureza 50 ±5 Shore A, cor semitransparente, conforme RoHS, código 30801-AP4.0-01.</v>
          </cell>
        </row>
        <row r="4155">
          <cell r="B4155">
            <v>3080104660</v>
          </cell>
          <cell r="C4155">
            <v>3080104660</v>
          </cell>
          <cell r="E4155">
            <v>40169300</v>
          </cell>
          <cell r="G4155">
            <v>40169300</v>
          </cell>
          <cell r="H4155" t="str">
            <v>Junta de vedação em silicone (borracha vulcanizada), dimensões 24 × 24 × 1,7 mm, dureza 50 ±5 Shore A, cor semitransparente, conforme RoHS, código 30801-AP4.0-02.</v>
          </cell>
        </row>
        <row r="4156">
          <cell r="B4156">
            <v>3080104670</v>
          </cell>
          <cell r="C4156">
            <v>3080104670</v>
          </cell>
          <cell r="E4156">
            <v>40169300</v>
          </cell>
          <cell r="G4156">
            <v>40169300</v>
          </cell>
          <cell r="H4156" t="str">
            <v>Junta de vedação em silicone (borracha vulcanizada), dimensões 32 × 32 × 1,7 mm, dureza 50 ±5 Shore A, cor semitransparente, conforme RoHS, código 30801-AP4.0-03.</v>
          </cell>
        </row>
        <row r="4157">
          <cell r="B4157">
            <v>3080702420</v>
          </cell>
          <cell r="C4157">
            <v>3080702420</v>
          </cell>
          <cell r="E4157">
            <v>40169300</v>
          </cell>
          <cell r="G4157">
            <v>40169300</v>
          </cell>
          <cell r="H4157" t="str">
            <v>Anel de vedação de silicone, semítransparente, dimensões 276 × 245,4 × 3,2 mm, dureza 50 ±5 Shore A, conforme RoHS, utilizado para vedação.</v>
          </cell>
        </row>
        <row r="4158">
          <cell r="B4158">
            <v>3080702540</v>
          </cell>
          <cell r="C4158">
            <v>3080702540</v>
          </cell>
          <cell r="E4158">
            <v>40169300</v>
          </cell>
          <cell r="G4158">
            <v>40169300</v>
          </cell>
          <cell r="H4158" t="str">
            <v>Anel de vedação de silicone, semítransparente, dimensões 117,7 × 37,7 × 2,9 mm, dureza 50 ±5 Shore A, conforme RoHS, utilizado para vedação.</v>
          </cell>
        </row>
        <row r="4159">
          <cell r="B4159">
            <v>3080702860</v>
          </cell>
          <cell r="C4159">
            <v>3080702860</v>
          </cell>
          <cell r="E4159">
            <v>40169300</v>
          </cell>
          <cell r="G4159">
            <v>40169300</v>
          </cell>
          <cell r="H4159" t="str">
            <v>Anel de vedação de silicone, para slot de cartão SIM, branco/semitransparente, com adesivo, dimensões 36,7 × 14,2 × 2,4 mm, conforme RoHS, utilizado para vedação.</v>
          </cell>
        </row>
        <row r="4160">
          <cell r="B4160">
            <v>3090309540</v>
          </cell>
          <cell r="C4160">
            <v>3090309540</v>
          </cell>
          <cell r="E4160">
            <v>85444200</v>
          </cell>
          <cell r="G4160">
            <v>85444200</v>
          </cell>
          <cell r="H4160" t="str">
            <v>Cabo de rede Ethernet montado, com 0,2 m de comprimento, condutor de cobre livre de oxigênio 24 AWG, 4 pares trançados (8 vias), revestimento em PVC, na cor cinza, equipado com conectores RJ45 blindados banhados a ouro em ambas as extremidades.</v>
          </cell>
        </row>
        <row r="4161">
          <cell r="B4161">
            <v>3090503890</v>
          </cell>
          <cell r="C4161">
            <v>3090503890</v>
          </cell>
          <cell r="E4161">
            <v>85444200</v>
          </cell>
          <cell r="G4161">
            <v>85444200</v>
          </cell>
          <cell r="H4161" t="str">
            <v>Cabo de alimentação elétrico montado, comprimento 500 mm, composto por 4 condutores de cobre multifilar de 0,5 mm², cores preta, verde, azul e vermelha, equipado com conector 4 pinos padrão VH 3,96 mm macho em uma extremidade e conector 4 pinos VH 3,96 mm fêmea na outra extremidade.</v>
          </cell>
        </row>
        <row r="4162">
          <cell r="B4162">
            <v>3090505790</v>
          </cell>
          <cell r="C4162">
            <v>3090505790</v>
          </cell>
          <cell r="E4162">
            <v>85444200</v>
          </cell>
          <cell r="G4162">
            <v>85444200</v>
          </cell>
          <cell r="H4162" t="str">
            <v>Cabo elétrico para LED, comprimento 400 mm, condutor de cobre bitola 20 AWG, com uma extremidade decapada e estanhada e a outra equipada com conector 2 pinos padrão VH 3,96 mm.</v>
          </cell>
        </row>
        <row r="4163">
          <cell r="B4163">
            <v>3090509260</v>
          </cell>
          <cell r="C4163">
            <v>3090509260</v>
          </cell>
          <cell r="E4163">
            <v>85444200</v>
          </cell>
          <cell r="G4163">
            <v>85444200</v>
          </cell>
          <cell r="H4163" t="str">
            <v>Cabo elétrico especial montado, comprimento 280 mm, condutor de cobre bitola 0,5 mm², equipado com conectores padrão VH 3,96 mm de 3 pinos em ambas as extremidades.</v>
          </cell>
        </row>
        <row r="4164">
          <cell r="B4164">
            <v>3090512720</v>
          </cell>
          <cell r="C4164">
            <v>3090512720</v>
          </cell>
          <cell r="E4164">
            <v>90251990</v>
          </cell>
          <cell r="G4164">
            <v>90251990</v>
          </cell>
          <cell r="H4164" t="str">
            <v>Sensor de temperatura digital com cabo elétrico e conector, baseado em DS18B20, comprimento do cabo 500 mm, conector XH 2.5 de 3 vias, conforme RoHS.</v>
          </cell>
        </row>
        <row r="4165">
          <cell r="B4165">
            <v>3090512810</v>
          </cell>
          <cell r="C4165">
            <v>3090512810</v>
          </cell>
          <cell r="E4165">
            <v>85444200</v>
          </cell>
          <cell r="G4165">
            <v>85444200</v>
          </cell>
          <cell r="H4165" t="str">
            <v>Cabo elétrico de alimentação com dois condutores 14 AWG, comprimento 2000 mm, cores vermelho e azul, com conector VH 3.96 de 3 vias em uma extremidade e outra extremidade desencapada, tensão até 1000 V, conforme RoHS.</v>
          </cell>
        </row>
        <row r="4166">
          <cell r="B4166">
            <v>3090512820</v>
          </cell>
          <cell r="C4166">
            <v>3090512820</v>
          </cell>
          <cell r="E4166">
            <v>85444200</v>
          </cell>
          <cell r="G4166">
            <v>85444200</v>
          </cell>
          <cell r="H4166" t="str">
            <v>Cabo elétrico de aterramento com condutor de 0,75 mm², comprimento 165 mm, cor amarelo-verde, com terminais tipo olhal em ambas as extremidades, tensão até 1000 V, conforme RoHS.</v>
          </cell>
        </row>
        <row r="4167">
          <cell r="B4167">
            <v>3100125360</v>
          </cell>
          <cell r="C4167">
            <v>3100125360</v>
          </cell>
          <cell r="E4167">
            <v>39269090</v>
          </cell>
          <cell r="G4167">
            <v>39269090</v>
          </cell>
          <cell r="H4167" t="str">
            <v>Placa de identificação técnica em policarbonato (PC), dimensões 70 x 55 mm, com adesivo traseiro 3M resistente à água e envelhecimento, impressão com tinta UV, uso para identificação de equipamento.</v>
          </cell>
        </row>
        <row r="4168">
          <cell r="B4168">
            <v>3100912800</v>
          </cell>
          <cell r="C4168">
            <v>3100912800</v>
          </cell>
          <cell r="E4168">
            <v>39269090</v>
          </cell>
          <cell r="G4168">
            <v>39269090</v>
          </cell>
          <cell r="H4168" t="str">
            <v>Placa de advertência de segurança em policarbonato (PC), dimensões 60 x 80 mm, com impressão UV, textura fosca, resistência a raios UV, equipada com adesivo traseiro 3M resistente à água e envelhecimento, uso para sinalização de segurança em equipamentos.</v>
          </cell>
        </row>
        <row r="4169">
          <cell r="B4169">
            <v>3110310490</v>
          </cell>
          <cell r="C4169">
            <v>3110310490</v>
          </cell>
          <cell r="E4169">
            <v>48191000</v>
          </cell>
          <cell r="G4169">
            <v>48191000</v>
          </cell>
          <cell r="H4169" t="str">
            <v>Caixa de embalagem personalizada em papel/cartão, destinada ao acondicionamento e transporte de mercadorias, conforme desenho técnico, uso logístico.</v>
          </cell>
        </row>
        <row r="4170">
          <cell r="B4170">
            <v>3111504340</v>
          </cell>
          <cell r="C4170">
            <v>3111504340</v>
          </cell>
          <cell r="E4170">
            <v>39239090</v>
          </cell>
          <cell r="G4170">
            <v>39239090</v>
          </cell>
          <cell r="H4170" t="str">
            <v>Suporte interno para embalagem, fabricado em polietileno expandido (EPE, pearl cotton), destinado a acondicionar e imobilizar equipamento no interior de caixas de transporte, evitando vibração e deslocamento durante o manuseio e o transporte 350x350x20mm</v>
          </cell>
        </row>
        <row r="4171">
          <cell r="B4171">
            <v>3111504350</v>
          </cell>
          <cell r="C4171">
            <v>3111504350</v>
          </cell>
          <cell r="E4171">
            <v>39269090</v>
          </cell>
          <cell r="G4171">
            <v>39269090</v>
          </cell>
          <cell r="H4171" t="str">
            <v>Peça de espuma plástica moldada sob medida, utilizada para proteção e acomodação interna de produto durante transporte e armazenamento, dimensões aproximadas 350 x 350 x 210 mm.</v>
          </cell>
        </row>
        <row r="4172">
          <cell r="B4172">
            <v>3111504600</v>
          </cell>
          <cell r="C4172">
            <v>3111504600</v>
          </cell>
          <cell r="E4172">
            <v>39239090</v>
          </cell>
          <cell r="G4172">
            <v>39239090</v>
          </cell>
          <cell r="H4172" t="str">
            <v>Divisória interna para embalagem, fabricada em polietileno expandido (EPE, pearl cotton), conforme desenho técnico, destinada a ser instalada no interior de caixas de transporte para imobilizar equipamentos, 1100x1100x8mm, prevenindo vibração e deslocamento durante o transporte.</v>
          </cell>
        </row>
        <row r="4173">
          <cell r="B4173">
            <v>4050300330</v>
          </cell>
          <cell r="C4173">
            <v>4050300330</v>
          </cell>
          <cell r="E4173">
            <v>35061090</v>
          </cell>
          <cell r="G4173">
            <v>35061090</v>
          </cell>
          <cell r="H4173" t="str">
            <v>Adesivo selante de silicone, cura em temperatura ambiente (RTV), em estado pastoso, utilizado para vedação e colagem industrial, apresentado em bisnaga de 45 g, faixa de operação –60 °C a +180 °C.</v>
          </cell>
        </row>
        <row r="4174">
          <cell r="B4174" t="str">
            <v>HXAP1000R31091-COMM</v>
          </cell>
          <cell r="C4174" t="str">
            <v>HXAP1000R31091-COMM</v>
          </cell>
          <cell r="E4174">
            <v>85176259</v>
          </cell>
          <cell r="G4174">
            <v>85176259</v>
          </cell>
          <cell r="H4174" t="str">
            <v>Módulo de comunicação celular 5G em placa eletrônica montada (PCBA), modelo RM520N-EU, destinado à transmissão e recepção de dados em redes móveis, para integração em equipamento eletrônico.</v>
          </cell>
        </row>
        <row r="4175">
          <cell r="B4175" t="str">
            <v>HXAP1000R31092-CPFL</v>
          </cell>
          <cell r="C4175" t="str">
            <v>HXAP1000R31092-CPFL</v>
          </cell>
          <cell r="E4175">
            <v>85176259</v>
          </cell>
          <cell r="G4175">
            <v>85176259</v>
          </cell>
          <cell r="H4175" t="str">
            <v>Placa eletrônica montada (PCBA) para comunicação sem fio de dados, tecnologia Wi-SUN, frequência de operação 915 MHz, com memória PSRAM, destinada à integração em equipamento eletrônico.</v>
          </cell>
        </row>
        <row r="4176">
          <cell r="B4176">
            <v>2090902811</v>
          </cell>
          <cell r="C4176">
            <v>2090902811</v>
          </cell>
          <cell r="E4176">
            <v>85369040</v>
          </cell>
          <cell r="G4176">
            <v>85369040</v>
          </cell>
          <cell r="H4176" t="str">
            <v>Conector para circuito impresso tipo Plug-in mcaho/femea vertical (2090902811) </v>
          </cell>
        </row>
        <row r="4177">
          <cell r="B4177">
            <v>3011100110</v>
          </cell>
          <cell r="C4177">
            <v>3011100110</v>
          </cell>
          <cell r="E4177">
            <v>39269090</v>
          </cell>
          <cell r="G4177">
            <v>39269090</v>
          </cell>
          <cell r="H4177" t="str">
            <v>Prensa-cabo mecânico impermeável, rosca PG9, para cabos de diâmetro entre 4 e 8 mm, fabricado em poliamida PA66, cor cinza-claro, com propriedade retardante à chama (UL94 V-2), grau de proteção IP68, utilizado para vedação e fixação de cabos em painéis e gabinetes.</v>
          </cell>
        </row>
        <row r="4178">
          <cell r="B4178">
            <v>3024700460</v>
          </cell>
          <cell r="C4178">
            <v>3024700460</v>
          </cell>
          <cell r="E4178">
            <v>39269090</v>
          </cell>
          <cell r="G4178">
            <v>39269090</v>
          </cell>
          <cell r="H4178" t="str">
            <v>Presilha mecânica para fixação de cabos (cable clamp), fabricada em nylon 6/6 conforme UL, cor branca, modelo HDB-6.4 (1/4”), utilizada para organização e fixação de fios e chicotes em equipamentos, sem função elétrica.</v>
          </cell>
        </row>
        <row r="4179">
          <cell r="B4179">
            <v>3030109860</v>
          </cell>
          <cell r="C4179">
            <v>3030109860</v>
          </cell>
          <cell r="E4179">
            <v>73181500</v>
          </cell>
          <cell r="G4179">
            <v>73181500</v>
          </cell>
          <cell r="H4179" t="str">
            <v>Parafuso de máquina, rosca métrica M2,5 x 8 mm, cabeça escareada, encaixe fenda cruzada (Phillips), ponta plana, em aço inoxidável SUS304, conforme GB/T 819.2-2016, uso industrial.</v>
          </cell>
        </row>
        <row r="4180">
          <cell r="B4180">
            <v>3030109910</v>
          </cell>
          <cell r="C4180">
            <v>3030109910</v>
          </cell>
          <cell r="E4180">
            <v>73181500</v>
          </cell>
          <cell r="G4180">
            <v>73181500</v>
          </cell>
          <cell r="H4180" t="str">
            <v>Parafuso antifurto, rosca métrica M3 x 10 mm, cabeça panela Ø5,6 mm, encaixe Torx com pino central, ponta plana, em aço inoxidável SUS304, com tratamento de passivação, conforme GB/T 2672G-2017, uso industrial.</v>
          </cell>
        </row>
        <row r="4181">
          <cell r="B4181">
            <v>3030109980</v>
          </cell>
          <cell r="C4181">
            <v>3030109980</v>
          </cell>
          <cell r="E4181">
            <v>73181500</v>
          </cell>
          <cell r="G4181">
            <v>73181500</v>
          </cell>
          <cell r="H4181" t="str">
            <v>Parafuso de máquina, rosca métrica M2 x 8 mm, cabeça escareada, encaixe fenda cruzada (Phillips), ponta plana, em aço inoxidável SUS304, com tratamento de passivação, conforme DIN 965, uso industrial.</v>
          </cell>
        </row>
        <row r="4182">
          <cell r="B4182">
            <v>3030702130</v>
          </cell>
          <cell r="C4182">
            <v>3030702130</v>
          </cell>
          <cell r="E4182">
            <v>73181500</v>
          </cell>
          <cell r="G4182">
            <v>73181500</v>
          </cell>
          <cell r="H4182" t="str">
            <v>Parafuso de máquina, rosca métrica M3 x 25 mm, cabeça cilíndrica, encaixe sextavado interno (Allen), em aço inoxidável SUS304, com tratamento de passivação, conforme GB/T 70.1-2000, uso industrial.</v>
          </cell>
        </row>
        <row r="4183">
          <cell r="B4183">
            <v>3030902620</v>
          </cell>
          <cell r="C4183">
            <v>3030902620</v>
          </cell>
          <cell r="E4183">
            <v>73181600</v>
          </cell>
          <cell r="G4183">
            <v>73181600</v>
          </cell>
          <cell r="H4183" t="str">
            <v>Porca cega (porca com tampa), rosca métrica M3, em aço inoxidável SUS304, conforme norma GB/T 923-2009, uso industrial.</v>
          </cell>
        </row>
        <row r="4184">
          <cell r="B4184">
            <v>3030902640</v>
          </cell>
          <cell r="C4184">
            <v>3030902640</v>
          </cell>
          <cell r="E4184">
            <v>73181600</v>
          </cell>
          <cell r="G4184">
            <v>73181600</v>
          </cell>
          <cell r="H4184" t="str">
            <v>Porca sextavada, rosca métrica M2, em aço inoxidável SUS304, com tratamento de passivação, conforme DIN 934-1987, uso industrial.</v>
          </cell>
        </row>
        <row r="4185">
          <cell r="B4185">
            <v>3031101690</v>
          </cell>
          <cell r="C4185">
            <v>3031101690</v>
          </cell>
          <cell r="E4185">
            <v>73182200</v>
          </cell>
          <cell r="G4185">
            <v>73182200</v>
          </cell>
          <cell r="H4185" t="str">
            <v>Arruela lisa (plana), diâmetro interno Ø3,2 mm, diâmetro externo Ø6 mm, espessura 0,5 mm, em aço inoxidável SUS304, sem tratamento superficial, conforme GB/T 848, uso industrial.</v>
          </cell>
        </row>
        <row r="4186">
          <cell r="B4186">
            <v>3031300100</v>
          </cell>
          <cell r="C4186">
            <v>3031300100</v>
          </cell>
          <cell r="E4186">
            <v>73182100</v>
          </cell>
          <cell r="G4186">
            <v>73182100</v>
          </cell>
          <cell r="H4186" t="str">
            <v>Arruela de pressão (arruela mola), diâmetro interno Ø3,1 mm, em aço mola 65Mn, com revestimento zincado colorido, conforme GB/T 93, uso industrial.</v>
          </cell>
        </row>
        <row r="4187">
          <cell r="B4187">
            <v>3042902250</v>
          </cell>
          <cell r="C4187">
            <v>3042902250</v>
          </cell>
          <cell r="E4187">
            <v>76169900</v>
          </cell>
          <cell r="G4187">
            <v>76169900</v>
          </cell>
          <cell r="H4187" t="str">
            <v>Placa de montagem em alumínio liga AL5052, espessura 1,5 mm, dimensões 101,5 x 89 mm, uso estrutural/mecânico, não RoHS.</v>
          </cell>
        </row>
        <row r="4188">
          <cell r="B4188">
            <v>3061502840</v>
          </cell>
          <cell r="C4188">
            <v>3061502840</v>
          </cell>
          <cell r="E4188">
            <v>39269090</v>
          </cell>
          <cell r="G4188">
            <v>39269090</v>
          </cell>
          <cell r="H4188" t="str">
            <v>Placa isolante elétrica em policarbonato (PC), dimensões 136 x 57.8 mm, cor preta, rigidez dielétrica superior a 15 kV, retardante de chama UL94 V-0, temperatura de trabalho até 105 °C, uso em isolamento elétrico.</v>
          </cell>
        </row>
        <row r="4189">
          <cell r="B4189">
            <v>3061900180</v>
          </cell>
          <cell r="C4189">
            <v>3061900180</v>
          </cell>
          <cell r="E4189">
            <v>76169900</v>
          </cell>
          <cell r="G4189">
            <v>76169900</v>
          </cell>
          <cell r="H4189" t="str">
            <v>Fecho/clip em alumínio 6061, anodizado condutivo e pintado com pó prata para uso externo, código 30619-WSG-00161, peça genérica de fixação ou montagem.</v>
          </cell>
        </row>
        <row r="4190">
          <cell r="B4190">
            <v>3061900200</v>
          </cell>
          <cell r="C4190">
            <v>3061900200</v>
          </cell>
          <cell r="E4190">
            <v>76169900</v>
          </cell>
          <cell r="G4190">
            <v>76169900</v>
          </cell>
          <cell r="H4190" t="str">
            <v>Compartimento de bateria em alumínio 6061, anodizado condutivo e pintado com pó prata para uso externo, código 30619-WSG-00162, peça estrutural de suporte de baterias.</v>
          </cell>
        </row>
        <row r="4191">
          <cell r="B4191">
            <v>3061900940</v>
          </cell>
          <cell r="C4191">
            <v>3061900940</v>
          </cell>
          <cell r="E4191">
            <v>85177900</v>
          </cell>
          <cell r="G4191">
            <v>85177900</v>
          </cell>
          <cell r="H4191" t="str">
            <v>Tampa superior em alumínio fundido (ADC12), com pintura eletrostática a pó prata para uso externo e tratamento de oxidação condutiva, desenvolvida exclusivamente como parte estrutural do WSG, controlador/gateway inteligente para gerenciamento de tráfego, segurança e políticas de rede dos APs, código 30619-WSG2-0101, versão com furo adicional.</v>
          </cell>
        </row>
        <row r="4192">
          <cell r="B4192">
            <v>3061900950</v>
          </cell>
          <cell r="C4192">
            <v>3061900950</v>
          </cell>
          <cell r="E4192">
            <v>85177900</v>
          </cell>
          <cell r="G4192">
            <v>85177900</v>
          </cell>
          <cell r="H4192" t="str">
            <v>Tampa inferior em alumínio fundido (ADC12), com pintura eletrostática a pó prata para uso externo e tratamento de oxidação condutiva, desenvolvida exclusivamente como parte estrutural do WSG/RWG, controlador/gateway inteligente para gerenciamento de tráfego, segurança e políticas de rede dos APs, código 30619-WSG2-0102, versão com furo adicional.</v>
          </cell>
        </row>
        <row r="4193">
          <cell r="B4193">
            <v>3062700110</v>
          </cell>
          <cell r="C4193">
            <v>3062700110</v>
          </cell>
          <cell r="E4193">
            <v>85177900</v>
          </cell>
          <cell r="G4193">
            <v>85177900</v>
          </cell>
          <cell r="H4193" t="str">
            <v>Almofada térmica condutiva, dimensões 30 × 15 × 5 mm, condutividade térmica 6 W/m·K, desenvolvida exclusivamente para uso como parte funcional do WSG/RWG, código 30617-WSG-02.</v>
          </cell>
        </row>
        <row r="4194">
          <cell r="B4194">
            <v>3080104680</v>
          </cell>
          <cell r="C4194">
            <v>3080104680</v>
          </cell>
          <cell r="E4194">
            <v>40169300</v>
          </cell>
          <cell r="G4194">
            <v>40169300</v>
          </cell>
          <cell r="H4194" t="str">
            <v>Anel de vedação de silicone, semitransparente, com adesivo, dureza 65±5 Shore A, dimensões 97,32 × 28,1 × 2 mm, conforme RoHS, utilizada para vedação.</v>
          </cell>
        </row>
        <row r="4195">
          <cell r="B4195">
            <v>3090503840</v>
          </cell>
          <cell r="C4195">
            <v>3090503840</v>
          </cell>
          <cell r="E4195">
            <v>85444200</v>
          </cell>
          <cell r="G4195">
            <v>85444200</v>
          </cell>
          <cell r="H4195" t="str">
            <v>Cabo elétrico de alimentação, composto por dois condutores isolados de 0,5 mm², comprimento aproximado de 2000 mm, com conector VH 3.96 de 3 pinos em uma extremidade, para uso em equipamentos elétricos.</v>
          </cell>
        </row>
        <row r="4196">
          <cell r="B4196">
            <v>3090503850</v>
          </cell>
          <cell r="C4196">
            <v>3090503850</v>
          </cell>
          <cell r="E4196">
            <v>85444200</v>
          </cell>
          <cell r="G4196">
            <v>85444200</v>
          </cell>
          <cell r="H4196" t="str">
            <v>Cabo elétrico de alimentação montado, composto por dois condutores de cobre multifilar isolados de 0,5 mm², comprimento aproximado de 205 mm, com conector VH 3.96 de 2 pinos em uma extremidade, para uso em equipamentos elétricos.</v>
          </cell>
        </row>
        <row r="4197">
          <cell r="B4197">
            <v>3111504360</v>
          </cell>
          <cell r="C4197">
            <v>3111504360</v>
          </cell>
          <cell r="E4197">
            <v>39239090</v>
          </cell>
          <cell r="G4197">
            <v>39239090</v>
          </cell>
          <cell r="H4197" t="str">
            <v>Divisória interna para embalagem, fabricada em polietileno expandido (EPE – pearl cotton), dimensões 350 x 350 x 20 mm, destinada a ser instalada no interior de caixas de transporte para imobilização e proteção de equipamentos contra vibração e deslocamento durante o transporte.</v>
          </cell>
        </row>
        <row r="4198">
          <cell r="B4198">
            <v>3111504370</v>
          </cell>
          <cell r="C4198">
            <v>3111504370</v>
          </cell>
          <cell r="E4198">
            <v>39239090</v>
          </cell>
          <cell r="G4198">
            <v>39239090</v>
          </cell>
          <cell r="H4198" t="str">
            <v>Divisória interna para embalagem, fabricada em polietileno expandido (EPE – pearl cotton), dimensões 350 x 350 x 210 mm, destinada a ser instalada no interior de caixas de transporte para imobilização e proteção de equipamentos contra vibração e deslocamento durante o transporte.</v>
          </cell>
        </row>
        <row r="4199">
          <cell r="B4199" t="str">
            <v>HXWSG100R21192-CPFL</v>
          </cell>
          <cell r="C4199" t="str">
            <v>HXWSG100R21192-CPFL </v>
          </cell>
          <cell r="E4199">
            <v>85176259</v>
          </cell>
          <cell r="G4199">
            <v>85176259</v>
          </cell>
          <cell r="H4199" t="str">
            <v>Placa eletrônica montada (PCBA) para comunicação sem fio Wi-SUN, frequência de 915 MHz, com memória PSRAM, utilizada como módulo relay para transmissão e repetição de dados, destinada à integração em equipamento eletrônico.</v>
          </cell>
        </row>
        <row r="4200">
          <cell r="B4200">
            <v>4032500170</v>
          </cell>
          <cell r="C4200">
            <v>4032500170</v>
          </cell>
          <cell r="E4200">
            <v>85366990</v>
          </cell>
          <cell r="G4200">
            <v>85366990</v>
          </cell>
          <cell r="H4200" t="str">
            <v>CONECTOR DE COMUNICACAO RS232-RS485-SU PARA O PRODUTO ZEUS NG"</v>
          </cell>
        </row>
        <row r="4201">
          <cell r="B4201" t="str">
            <v>SL1000W00102</v>
          </cell>
          <cell r="C4201" t="str">
            <v>SL1000W00102</v>
          </cell>
          <cell r="E4201">
            <v>85371090</v>
          </cell>
          <cell r="G4201">
            <v>85371090</v>
          </cell>
          <cell r="H4201" t="str">
            <v>CONTROLADOR ELETRÔNICO INTELIGENTE PARA LUMINÁRIAS DE ILUMINAÇÃO PÚBLICA, MODELO SL1000, PARA TENSÃO INFERIOR A 1000 V, COM INTERFACE PADRÃO NEMA PARA INSTALAÇÃO EM LUMINÁRIAS, EQUIPADO COM MÓDULO DE COMUNICAÇÃO SEM FIO WI-SUN PARA MONITORAMENTO E CONTROLE REMOTO, FUNÇÕES DE LIGA/DESLIGA E DIMERIZAÇÃO DA LUMINÁRIA, MEDIÇÃO DE CONSUMO DE ENERGIA, GPS INTEGRADO PARA GEOLOCALIZAÇÃO E SISTEMA DE DETECÇÃO DE FALHAS, UTILIZADO EM REDES DE GESTÃO DE ILUMINAÇÃO PÚBLICA (SMART LIGHTING).</v>
          </cell>
        </row>
        <row r="4202">
          <cell r="B4202">
            <v>3142101020</v>
          </cell>
          <cell r="E4202">
            <v>90289090</v>
          </cell>
          <cell r="G4202">
            <v>90289090</v>
          </cell>
          <cell r="H4202" t="str">
            <v>TUBO DE COBRE (CARCACA) A BASE DE COBREZINCO (LATAO), DECAPADO, COM RETIFICADOR DE ENTRADA, MONTADO, PARA USO EM HIDROMETROS RESIDENCIAIS COM SECAO DE TRANSVERSAL DE 15MM E COMPRIMENTO DE 165MM.</v>
          </cell>
        </row>
        <row r="4203">
          <cell r="B4203" t="str">
            <v>HXD811-F40.R110</v>
          </cell>
          <cell r="E4203">
            <v>85371090</v>
          </cell>
          <cell r="G4203">
            <v>85371090</v>
          </cell>
          <cell r="H4203" t="str">
            <v>CONTROLADOR ELETRONICO MICROPROCESSADO PARA RELIGADOR TRIFASICO, EM CAIXA DE AÇO INOX, ALIMENTACAO FULL RANGE 95-265VAC (3P+T), COM TENSAO DE COMANDO 24VDC, EQUIPADO COM SENSOR DE ABERTURA DE PORTA, ACESSORIOS INTERNOS E FIRMWARE DEDICADO A OPERACAO DE MANOBRA DE REDES ELETRICAS DE MEDIA TENSAO, DESTINADO A INSTALACAO EXTERNA.</v>
          </cell>
        </row>
        <row r="4204">
          <cell r="B4204">
            <v>7020833141</v>
          </cell>
          <cell r="E4204">
            <v>84807100</v>
          </cell>
          <cell r="G4204">
            <v>84807100</v>
          </cell>
          <cell r="H4204" t="str">
            <v>MOLDE DE INJEÇÃO PARA FABRICAÇÃO DE PEÇAS PLÁSTICAS, MODELO SUPORTE DE ALARME DE TAMPA ABERTA DE MEDIDORES DE ÁGUA (CONTADORES DE LÍQUIDOS), FABRICADO EM AÇO, DESTINADO A PROCESSOS INDUSTRIAIS DE MOLDAGEM POR INJEÇÃO, UTILIZADO EM MÁQUINAS INJETORAS - HLD-W26068</v>
          </cell>
        </row>
        <row r="4205">
          <cell r="B4205">
            <v>7020833151</v>
          </cell>
          <cell r="E4205">
            <v>84807100</v>
          </cell>
          <cell r="G4205">
            <v>84807100</v>
          </cell>
          <cell r="H4205" t="str">
            <v>MOLDE DE INJEÇÃO PARA FABRICAÇÃO DE PEÇAS PLÁSTICAS, MODELO BASE DE ALARME DE TAMPA ABERTA DE MEDIDORES DE ÁGUA (CONTADORES DE LÍQUIDOS), FABRICADO EM AÇO, DESTINADO A PROCESSOS INDUSTRIAIS DE MOLDAGEM POR INJEÇÃO, UTILIZADO EM MÁQUINAS INJETORAS - HLD-W26069</v>
          </cell>
        </row>
        <row r="4206">
          <cell r="B4206">
            <v>7020821561</v>
          </cell>
          <cell r="E4206">
            <v>84807100</v>
          </cell>
          <cell r="G4206">
            <v>84807100</v>
          </cell>
          <cell r="H4206" t="str">
            <v>MOLDE DE INJEÇÃO PARA FABRICAÇÃO DE PEÇAS PLÁSTICAS, MODELO TAMPA FLIP DE MEDIDORES DE ÁGUA (CONTADORES DE LÍQUIDOS), FABRICADO EM AÇO, DESTINADO A PROCESSOS INDUSTRIAIS DE MOLDAGEM POR INJEÇÃO, UTILIZADO EM MÁQUINAS INJETORAS - HLD-S20059</v>
          </cell>
        </row>
        <row r="4207">
          <cell r="B4207">
            <v>7020821571</v>
          </cell>
          <cell r="E4207">
            <v>84807100</v>
          </cell>
          <cell r="G4207">
            <v>84807100</v>
          </cell>
          <cell r="H4207" t="str">
            <v>MOLDE DE INJEÇÃO PARA FABRICAÇÃO DE PEÇAS PLÁSTICAS, MODELO CAIXA DE MÓDULO DE MEDIDORES DE ÁGUA (CONTADORES DE LÍQUIDOS), FABRICADO EM AÇO, DESTINADO A PROCESSOS INDUSTRIAIS DE MOLDAGEM POR INJEÇÃO, UTILIZADO EM MÁQUINAS INJETORAS - HLD-S20060</v>
          </cell>
        </row>
        <row r="4208">
          <cell r="B4208">
            <v>4020220850</v>
          </cell>
          <cell r="E4208">
            <v>90303390</v>
          </cell>
          <cell r="G4208">
            <v>90303390</v>
          </cell>
          <cell r="H4208" t="str">
            <v>GABARITO DE ACOMODACAO E FIXACAO DE PLACAS DE CIRCUITO IMPRESSO SEMI-ACABADAS (PCBA), FABRICADO EM BAQUELITE COM COMPONENTES EM ACRILICO, COM PINOS DE CONTATO PARA ALIMENTACAO ELETRICA EXTERNA DE BAIXA TENSAO, DESTINADO A PROCESSOS INDUSTRIAIS DE PRODUCAO ELETRONICA</v>
          </cell>
        </row>
        <row r="4209">
          <cell r="B4209">
            <v>4010303660</v>
          </cell>
          <cell r="E4209">
            <v>39269090</v>
          </cell>
          <cell r="G4209">
            <v>39269090</v>
          </cell>
          <cell r="H4209" t="str">
            <v>INSTRUMENTO DE BANCADA PARA MEDICAO E CONTROLE DE TENSAO E CORRENTE DC, COM FONTE DE ALIMENTACAO INTEGRADA, DISPLAY DIGITAL, DE BAIXA TENSAO, SEM DISPOSITIVO REGISTRADOR</v>
          </cell>
        </row>
        <row r="4210">
          <cell r="B4210" t="str">
            <v>565BC50110</v>
          </cell>
          <cell r="E4210">
            <v>90282010</v>
          </cell>
          <cell r="G4210">
            <v>90282010</v>
          </cell>
          <cell r="H4210" t="str">
            <v>Hidrômetro ultrassônico  (contador de líquidos) industrial com carcaça de ferro fundido, diâmetro nominal de 80mm, comprimento 225 mm, vazão de 63 m3/h, R500 e com saída de pulso, com peso líquido unitário aproximado entre 10,0 kg e 15,0 kg.</v>
          </cell>
        </row>
        <row r="4211">
          <cell r="B4211" t="str">
            <v>565CC60110</v>
          </cell>
          <cell r="E4211">
            <v>90282010</v>
          </cell>
          <cell r="G4211">
            <v>90282010</v>
          </cell>
          <cell r="H4211" t="str">
            <v>Hidrômetro ultrassônico  (contador de líquidos) industrial com carcaça de ferro fundido, diâmetro nominal de 100mm, comprimento 250 mm, vazão de 100 m3/h, R500 e com saída de pulso, com peso líquido unitário aproximado entre 20,0 kg e 30,0 kg.</v>
          </cell>
        </row>
        <row r="4212">
          <cell r="B4212" t="str">
            <v>565DC90110</v>
          </cell>
          <cell r="E4212">
            <v>90282010</v>
          </cell>
          <cell r="G4212">
            <v>90282010</v>
          </cell>
          <cell r="H4212" t="str">
            <v>Hidrômetro ultrassônico  (contador de líquidos) industrial com carcaça de ferro fundido, diâmetro nominal de 150mm, comprimento 300 mm, vazão de 250,0 m3/h; R500 com saída de pulso, com peso líquido unitário aproximado entre 10,0 kg e 20,0 kg.</v>
          </cell>
        </row>
        <row r="4213">
          <cell r="B4213" t="str">
            <v>565AC40142</v>
          </cell>
          <cell r="E4213">
            <v>90282010</v>
          </cell>
          <cell r="G4213">
            <v>90282010</v>
          </cell>
          <cell r="H4213" t="str">
            <v>Hidrômetro ultrassônico  (contador de líquidos) industrial com carcaça de ferro fundido, diâmetro nominal de 50mm, comprimento 200 mm, vazão de 40 m3/h, R500 e com saída de pulso, com peso líquido unitário aproximado entre 10,0 kg e 15,0 kg.</v>
          </cell>
        </row>
        <row r="4214">
          <cell r="B4214" t="str">
            <v>565BC50142</v>
          </cell>
          <cell r="E4214">
            <v>90282010</v>
          </cell>
          <cell r="G4214">
            <v>90282010</v>
          </cell>
          <cell r="H4214" t="str">
            <v>Hidrômetro ultrassônico  (contador de líquidos) industrial com carcaça de ferro fundido, diâmetro nominal de 80mm, comprimento 225 mm, vazão de 63 m3/h, R500 e com saída de pulso, com peso líquido unitário aproximado entre 10,0 kg e 15,0 kg.</v>
          </cell>
        </row>
        <row r="4215">
          <cell r="B4215" t="str">
            <v>565CC60142</v>
          </cell>
          <cell r="E4215">
            <v>90282010</v>
          </cell>
          <cell r="G4215">
            <v>90282010</v>
          </cell>
          <cell r="H4215" t="str">
            <v>Hidrômetro ultrassônico  (contador de líquidos)  industrial com carcaça de aço inoxidável, diâmetro nominal de 100mm, comprimento 250 mm, vazão de 100 m3/h, R500 com saída de pulso/modbus, com peso líquido unitário aproximado entre 20,0 kg e 30,0 kg.</v>
          </cell>
        </row>
        <row r="4216">
          <cell r="B4216" t="str">
            <v>565DC90142</v>
          </cell>
          <cell r="E4216">
            <v>90282010</v>
          </cell>
          <cell r="G4216">
            <v>90282010</v>
          </cell>
          <cell r="H4216" t="str">
            <v>Hidrômetro ultrassônico  (contador de líquidos) industrial com carcaça de ferro fundido, diâmetro nominal de 150mm, comprimento 300 mm, vazão de 250,0 m3/h; R500 com saída de pulso, com peso líquido unitário aproximado entre 10,0 kg e 20,0 kg.</v>
          </cell>
        </row>
        <row r="4217">
          <cell r="B4217" t="str">
            <v>565ECA0242</v>
          </cell>
          <cell r="E4217">
            <v>90282010</v>
          </cell>
          <cell r="G4217">
            <v>90282010</v>
          </cell>
          <cell r="H4217" t="str">
            <v>Hidrômetro ultrassônico (contador de líquidos) industrial com carcaça de ferro fundido, diâmetro nominal de 200mm, comprimento 350 mm, vazão de 400 m3/h, R400, PN16 com saída de pulso, com peso líquido unitário aproximado entre 20,0 kg e 45,0 kg. MOBDUS (ZLW200-400)</v>
          </cell>
        </row>
        <row r="4218">
          <cell r="B4218" t="str">
            <v>565FBC0042</v>
          </cell>
          <cell r="E4218">
            <v>90282020</v>
          </cell>
          <cell r="G4218">
            <v>90282020</v>
          </cell>
          <cell r="H4218" t="str">
            <v>Hidrômetro ultrassônico  (contador de líquidos) industrial com carcaça de aço, diâmetro nominal de 250mm, comprimento 450 mm, vazão de 630 m3/h, R400, PN16 com saída de pulso, com peso líquido unitário aproximado entre 65,0 kg e 70,0 kg. MODBUS (ZLW250-630)</v>
          </cell>
        </row>
        <row r="4219">
          <cell r="B4219" t="str">
            <v>565GBD0042</v>
          </cell>
          <cell r="E4219">
            <v>90282020</v>
          </cell>
          <cell r="G4219">
            <v>90282020</v>
          </cell>
          <cell r="H4219" t="str">
            <v>Hidrômetro ultrassônico  (contador de líquidos) industrial com carcaça de aço, diâmetro nominal de 300mm, comprimento 500 mm, vazão de 1000 m3/h, R400, PN16 com saída de pulso, com peso líquido unitário aproximado entre 85,0 kg e 90,0 kg. MODBUS (ZLW300-1000)</v>
          </cell>
        </row>
        <row r="4220">
          <cell r="B4220" t="str">
            <v>565BB90113</v>
          </cell>
          <cell r="E4220">
            <v>90282010</v>
          </cell>
          <cell r="G4220">
            <v>90282010</v>
          </cell>
          <cell r="H4220" t="str">
            <v>Hidrômetro ultrassônico  (contador de líquidos) industrial com carcaça de ferro fundido, diâmetro nominal de 80mm, comprimento 300 mm, vazão de 63 m3/h, R400 e com saída de pulso, com peso líquido unitário aproximado entre 10,0 kg e 15,0 kg.</v>
          </cell>
        </row>
        <row r="4221">
          <cell r="B4221" t="str">
            <v>565AC80113</v>
          </cell>
          <cell r="E4221">
            <v>90282010</v>
          </cell>
          <cell r="G4221">
            <v>90282010</v>
          </cell>
          <cell r="H4221" t="str">
            <v>Hidrômetro ultrassônico  (contador de líquidos) industrial com carcaça de ferro fundido, diâmetro nominal de 50mm, comprimento 270 mm, vazão de 40 m3/h, R500 e com saída de pulso, com peso líquido unitário aproximado entre 10,0 kg e 15,0 kg.</v>
          </cell>
        </row>
        <row r="4222">
          <cell r="B4222" t="str">
            <v>565CCB0113</v>
          </cell>
          <cell r="E4222">
            <v>90282010</v>
          </cell>
          <cell r="G4222">
            <v>90282010</v>
          </cell>
          <cell r="H4222" t="str">
            <v>Hidrômetro ultrassônico  (contador de líquidos)  industrial com carcaça de ferro fundido, diâmetro nominal de 100mm, comprimento 360 mm, vazão de 100 m3/h com saída de pulso/modbus, com peso líquido unitário aproximado entre 20,0 kg e 30,0 kg.</v>
          </cell>
        </row>
        <row r="4223">
          <cell r="B4223" t="str">
            <v>565CB60102</v>
          </cell>
          <cell r="E4223">
            <v>90282010</v>
          </cell>
          <cell r="G4223">
            <v>90282010</v>
          </cell>
          <cell r="H4223" t="str">
            <v>Hidrômetro ultrassônico  (contador de líquidos)  industrial com carcaça de ferro fundido, diâmetro nominal de 100mm, comprimento 250 mm, vazão de 100 m3/h, R400 com saída de pulso/modbus, com peso líquido unitário aproximado entre 20,0 kg e 30,0 kg.</v>
          </cell>
        </row>
        <row r="4224">
          <cell r="B4224" t="str">
            <v>565DB90102</v>
          </cell>
          <cell r="E4224">
            <v>90282010</v>
          </cell>
          <cell r="G4224">
            <v>90282010</v>
          </cell>
          <cell r="H4224" t="str">
            <v>Hidrômetro ultrassônico  (contador de líquidos) industrial com carcaça de ferro fundido, diâmetro nominal de 150mm, comprimento 300 mm, vazão de 250,0 m3/h; R400 com saída de pulso, com peso líquido unitário aproximado entre 10,0 kg e 20,0 kg.</v>
          </cell>
        </row>
        <row r="4225">
          <cell r="B4225">
            <v>7020705870</v>
          </cell>
          <cell r="C4225">
            <v>7020705870</v>
          </cell>
          <cell r="E4225">
            <v>84283300</v>
          </cell>
          <cell r="G4225">
            <v>84283300</v>
          </cell>
          <cell r="H4225" t="str">
            <v>MÁQUINA TRANSPORTADORA CONTÍNUA DO TIPO ESTEIRA DE CORREIA, CONSTITUÍDA POR ESTRUTURA METÁLICA COM SISTEMA MOTORIZADO E CONTROLE POR CLP, APRESENTADA COMO UNIDADE INDUSTRIAL COM 3,5 METROS DE COMPRIMENTO E 0,5 METROS DE LARGURA, COM VELOCIDADE E ALTURA AJUSTÁVEIS, DESTINADA À MOVIMENTAÇÃO CONTÍNUA DE MATERIAIS EM LINHAS DE PRODUÇÃO.
REF.: 7020705870
ANO DE FABRICAÇÃO: XXXX
NUMERO DE SERIE: ZZZZZZZZZZ
MARCA/MODELO: GGGGGGGGG
FABRICANTE: DDDDDDDDDD</v>
          </cell>
        </row>
        <row r="4226">
          <cell r="B4226">
            <v>7020705880</v>
          </cell>
          <cell r="C4226">
            <v>7020705880</v>
          </cell>
          <cell r="E4226">
            <v>84283300</v>
          </cell>
          <cell r="G4226">
            <v>84283300</v>
          </cell>
          <cell r="H4226" t="str">
            <v>MÁQUINA TRANSPORTADORA CONTÍNUA DO TIPO ESTEIRA DE CORREIA, CONSTITUÍDA POR ESTRUTURA METÁLICA COM SISTEMA MOTORIZADO E CONTROLE POR CLP, APRESENTADA COMO UNIDADE INDUSTRIAL COM 4 METROS DE COMPRIMENTO E 0,5 METROS DE LARGURA, COM VELOCIDADE E ALTURA AJUSTÁVEIS, DESTINADA À MOVIMENTAÇÃO CONTÍNUA DE MATERIAIS EM LINHAS DE PRODUÇÃO.
REF.: 7020705880
ANO DE FABRICAÇÃO: XXXX
NUMERO DE SERIE: ZZZZZZZZZZ
MARCA/MODELO: GGGGGGGGG
FABRICANTE: DDDDDDDDDD</v>
          </cell>
        </row>
        <row r="4227">
          <cell r="B4227">
            <v>7020705890</v>
          </cell>
          <cell r="C4227">
            <v>7020705890</v>
          </cell>
          <cell r="E4227">
            <v>84283300</v>
          </cell>
          <cell r="G4227">
            <v>84283300</v>
          </cell>
          <cell r="H4227" t="str">
            <v>MÁQUINA TRANSPORTADORA CONTÍNUA DO TIPO ESTEIRA DE CORREIA, CONSTITUÍDA POR ESTRUTURA METÁLICA COM SISTEMA MOTORIZADO E CONTROLE POR CLP, APRESENTADA COMO UNIDADE INDUSTRIAL COM 4,5 METROS DE COMPRIMENTO E 0,5 METROS DE LARGURA, COM VELOCIDADE E ALTURA AJUSTÁVEIS, DESTINADA À MOVIMENTAÇÃO CONTÍNUA DE MATERIAIS EM LINHAS DE PRODUÇÃO.
REF.: 7020705890
ANO DE FABRICAÇÃO: XXXX
NUMERO DE SERIE: ZZZZZZZZZZ
MARCA/MODELO: GGGGGGGGG
FABRICANTE: DDDDDDDDDD</v>
          </cell>
        </row>
        <row r="4228">
          <cell r="B4228">
            <v>7020705900</v>
          </cell>
          <cell r="C4228">
            <v>7020705900</v>
          </cell>
          <cell r="E4228">
            <v>84283300</v>
          </cell>
          <cell r="G4228">
            <v>84283300</v>
          </cell>
          <cell r="H4228" t="str">
            <v>MÁQUINA TRANSPORTADORA CONTÍNUA DO TIPO ESTEIRA DE CORREIA, CONSTITUÍDA POR ESTRUTURA METÁLICA COM SISTEMA MOTORIZADO E CONTROLE POR CLP, APRESENTADA COMO UNIDADE INDUSTRIAL COM 4 METROS DE COMPRIMENTO E 0,5 METROS DE LARGURA, COM VELOCIDADE E ALTURA AJUSTÁVEIS, DESTINADA À MOVIMENTAÇÃO CONTÍNUA DE MATERIAIS EM LINHAS DE PRODUÇÃO, EQUIPADA COM SISTEMA DE ILUMINAÇÃO POR LED.
REF.: 7020705900
ANO DE FABRICAÇÃO: XXXX
NUMERO DE SERIE: ZZZZZZZZZZ
MARCA/MODELO: GGGGGGGGG
FABRICANTE: DDDDDDDDDD</v>
          </cell>
        </row>
        <row r="4229">
          <cell r="B4229">
            <v>7020705910</v>
          </cell>
          <cell r="C4229">
            <v>7020705910</v>
          </cell>
          <cell r="E4229">
            <v>84798999</v>
          </cell>
          <cell r="G4229">
            <v>84798999</v>
          </cell>
          <cell r="H4229" t="str">
            <v>MÁQUINA AUTOMATIZADA PARA MONTAGEM DE TAMPAS EM MEDIDORES DE ENERGIA ELÉTRICA, CONSTITUÍDA POR ESTRUTURA METÁLICA COM SISTEMAS ELETROMECÂNICOS DE POSICIONAMENTO E FIXAÇÃO, APRESENTADA COMO ESTAÇÃO OU LINHA INDUSTRIAL, DESTINADA AO ALINHAMENTO E FECHAMENTO DE COMPONENTES DE MEDIDORES POR MEIO DE PROCESSOS MECÂNICOS AUTOMATIZADOS, OPERANDO POR ALIMENTAÇÃO ELÉTRICA
TENSÃO: 220V
FREQUÊNCIA: 60HZ
REF.: 7020705910
ANO DE FABRICAÇÃO: XXXX
NUMERO DE SERIE: ZZZZZZZZZZ
MARCA/MODELO: GGGGGGGGG
FABRICANTE: DDDDDDDDDD</v>
          </cell>
        </row>
        <row r="4230">
          <cell r="B4230">
            <v>7020705920</v>
          </cell>
          <cell r="C4230">
            <v>7020705920</v>
          </cell>
          <cell r="E4230">
            <v>84688010</v>
          </cell>
          <cell r="G4230">
            <v>84688010</v>
          </cell>
          <cell r="H4230" t="str">
            <v>MÁQUINA DE SOLDAGEM ULTRASSÔNICA INDUSTRIAL, CONSTITUÍDA POR ESTRUTURA METÁLICA COM GERADOR DE ULTRASSOM DE POTÊNCIA DE 4200W E FREQUÊNCIA DE 15KHZ, APRESENTADA COMO UNIDADE AUTÔNOMA DE BANCADA COM CONTROLES DE VELOCIDADE AJUSTÁVEIS, DESTINADA À UNIÃO DE MATERIAIS POR MEIO DE VIBRAÇÃO MECÂNICA DE ALTA FREQUÊNCIA QUE GERA CALOR POR FRICÇÃO E PROMOVE A FUSÃO LOCALIZADA DOS COMPONENTES SEM UTILIZAÇÃO DE MATERIAL DE ADIÇÃO.
REF.: 7020705920
ANO DE FABRICAÇÃO: XXXX
NUMERO DE SERIE: ZZZZZZZZZZ
MARCA/MODELO: GGGGGGGGG
FABRICANTE: DDDDDDDDDD</v>
          </cell>
        </row>
        <row r="4231">
          <cell r="B4231">
            <v>4020416130</v>
          </cell>
          <cell r="C4231">
            <v>4020416130</v>
          </cell>
          <cell r="E4231">
            <v>84799090</v>
          </cell>
          <cell r="G4231">
            <v>84799090</v>
          </cell>
          <cell r="H4231" t="str">
            <v>PINO MECÂNICO DE PRECISÃO EM AÇO, APRESENTADO INDIVIDUALMENTE, DESTINADO À APLICAÇÃO EM CABEÇOTE DE MÁQUINA DE MONTAGEM SMT (PICK-AND-PLACE), COM FUNÇÃO DE SUPORTE, GUIA OU FIXAÇÃO DE BOCAL DE SUCÇÃO PARA POSICIONAMENTO AUTOMATIZADO DE COMPONENTES ELETRÔNICOS EM PLACAS DE CIRCUITO IMPRESSO, OPERANDO POR INTEGRAÇÃO MECÂNICA EM SISTEMA AUTOMATIZADO DE ALTA PRECISÃO</v>
          </cell>
        </row>
        <row r="4232">
          <cell r="B4232">
            <v>4020122360</v>
          </cell>
          <cell r="C4232">
            <v>4020122360</v>
          </cell>
          <cell r="E4232">
            <v>85371090</v>
          </cell>
          <cell r="G4232">
            <v>85371090</v>
          </cell>
          <cell r="H4232" t="str">
            <v>PLACA ELETRÔNICA DE CONTROLE DE DRIVER, CONSTITUÍDA POR CIRCUITO IMPRESSO MONTADO COM COMPONENTES ELETRÔNICOS, APRESENTADA COMO MÓDULO, UTILIZADA PARA COMANDO E CONTROLE DE ROBÔ INDUSTRIAL (Yamaha), OPERANDO POR PROCESSAMENTO DE SINAIS ELÉTRICOS PARA ACIONAMENTO E GERENCIAMENTO DE MOVIMENTOS.
TENSÃO: &lt; 1000 V
MODELO: KCX-M5841-002</v>
          </cell>
        </row>
        <row r="4233">
          <cell r="B4233">
            <v>2080703690</v>
          </cell>
          <cell r="E4233">
            <v>85359090</v>
          </cell>
          <cell r="G4233">
            <v>85359090</v>
          </cell>
          <cell r="H4233" t="str">
            <v>FONTE DE ALIMENTACAO RETIFICADORA FTU 800W ODIN-F40 - AC/DC ENTRADAS AC=90-265AC ENTRADAS DC=110-375DC E SAIDAS V1=27DC V2=330DC POTENCIA = 800W</v>
          </cell>
        </row>
        <row r="4234">
          <cell r="B4234">
            <v>3011600540</v>
          </cell>
          <cell r="E4234">
            <v>85359090</v>
          </cell>
          <cell r="G4234">
            <v>85359090</v>
          </cell>
          <cell r="H4234" t="str">
            <v>MECANISMO DE OPERACAO INTERNO DE CHAVES TRIFASICA E INTERTRAVAMENTO DE POLOS, PROJETADO PARA OPERACAO COM CORRENTE NOMINAL COMPATIVEL COM O EQUIPAMENTO ASSOCIADO (HXD811-38KV/800A/16KA)</v>
          </cell>
        </row>
        <row r="4235">
          <cell r="B4235">
            <v>3011601610</v>
          </cell>
          <cell r="E4235">
            <v>85359090</v>
          </cell>
          <cell r="G4235">
            <v>85359090</v>
          </cell>
          <cell r="H4235" t="str">
            <v>MECANISMO DE OPERACAO INTERNO DE CHAVES TRIFASICA E INTERTRAVAMENTO DE POLOS, PROJETADO PARA OPERACAO COM CORRENTE NOMINAL COMPATIVEL COM O EQUIPAMENTO ASSOCIADO (HXD811-15KV/630A/16KA)</v>
          </cell>
        </row>
        <row r="4236">
          <cell r="B4236">
            <v>9120694140</v>
          </cell>
          <cell r="E4236">
            <v>85043119</v>
          </cell>
          <cell r="G4236">
            <v>85043119</v>
          </cell>
          <cell r="H4236" t="str">
            <v>TRANSFORMADOR DE POTENCIAL EXTERNO, MONOFASICO, CLASSE 15KV, RELACAO 15000/230V, ATE POTENCIA 1KVA, CLASSE DE EXATIDAO 3 OU SUPERIOR, DISTANCIA DE ESCOAMENTO 31MM/KV OU SUPERIOR, POTENCIA TERMICA FATOR 35 OU SUPERIOR, APLICACAO EM MEDICAO E PROTECAO DE REDES DE MEDIA TENSAO.</v>
          </cell>
        </row>
        <row r="4237">
          <cell r="B4237">
            <v>4020805360</v>
          </cell>
          <cell r="D4237">
            <v>4020805360</v>
          </cell>
          <cell r="E4237">
            <v>85159000</v>
          </cell>
          <cell r="G4237">
            <v>85159000</v>
          </cell>
          <cell r="H4237" t="str">
            <v>PONTA METÁLICA INTERCAMBIÁVEL PARA FERRO DE SOLDA ELÉTRICA, CONFECCIONADA EM METAL (COBRE COM REVESTIMENTO METÁLICO), APRESENTADA COMO PEÇA UNITÁRIA, DESTINADA À TRANSFERÊNCIA DE CALOR E APLICAÇÃO DE SOLDA EM PROCESSOS DE SOLDAGEM ELETRÔNICA DE PRECISÃO, FUNCIONANDO POR AQUECIMENTO ELÉTRICO INDIRETO ATRAVÉS DO EQUIPAMENTO DE SOLDA</v>
          </cell>
        </row>
        <row r="4238">
          <cell r="B4238">
            <v>7020501660</v>
          </cell>
          <cell r="E4238">
            <v>84283990</v>
          </cell>
          <cell r="G4238">
            <v>84283990</v>
          </cell>
          <cell r="H4238" t="str">
            <v xml:space="preserve">
EQUIPAMENTO AUTOMÁTICO PARA CARREGAMENTO DE PLACAS DE CIRCUITO IMPRESSO, DO TIPO LOADER, UTILIZADO EM LINHAS SMT, CONSTITUÍDO POR SISTEMA MOTORIZADO DE ALIMENTAÇÃO E POSICIONAMENTO DE PLACAS, DESTINADO À INSERÇÃO AUTOMÁTICA DE PCBS NO INÍCIO DO PROCESSO PRODUTIVO, OPERANDO DE FORMA SINCRONIZADA COM A LINHA.
MODELO: LV-460W-TN
MARCA:
ANA DE FABRICAÇÃO:
NUMERO DE SERIE:</v>
          </cell>
        </row>
        <row r="4239">
          <cell r="B4239">
            <v>7020400080</v>
          </cell>
          <cell r="E4239">
            <v>84283990</v>
          </cell>
          <cell r="G4239">
            <v>84283990</v>
          </cell>
          <cell r="H4239" t="str">
            <v>EQUIPAMENTO TRANSPORTADOR CONTÍNUO PARA PLACAS DE CIRCUITO IMPRESSO (PCB) COM FUNÇÃO DE BUFFERIZAÇÃO, CONSTITUÍDO PREDOMINANTEMENTE EM ESTRUTURA METÁLICA COM SISTEMA MOTORIZADO DE TRANSPORTE POR TRILHOS AJUSTÁVEIS, APRESENTADO COMO UNIDADE PARA INTEGRAÇÃO EM LINHA AUTOMATIZADA, DESTINADO À TRANSFERÊNCIA, ACÚMULO TEMPORÁRIO E SINCRONIZAÇÃO DO FLUXO DE PLACAS, OPERANDO POR MOVIMENTAÇÃO LINEAR CONTROLADA.
MARCA: 
MODELO:
NUMERO DE SERIE:
ANO DE FABRICAÇÃO:</v>
          </cell>
        </row>
        <row r="4240">
          <cell r="B4240">
            <v>7020400820</v>
          </cell>
          <cell r="E4240">
            <v>85151900</v>
          </cell>
          <cell r="G4240">
            <v>85151900</v>
          </cell>
          <cell r="H4240" t="str">
            <v>MÁQUINA INDUSTRIAL DE SOLDAGEM POR ONDA PARA PLACAS DE CIRCUITO IMPRESSO DE 50 A 350mm, CONSTITUÍDA PREDOMINANTEMENTE POR ESTRUTURA METÁLICA COM SISTEMA DE AQUECIMENTO ELÉTRICO E BANHO DE SOLDA FUNDIDA SEM CHUMBO, COM TRANSPORTADOR INTEGRADO PARA DESLOCAMENTO DAS PLACAS, DESTINADA À FIXAÇÃO DE COMPONENTES ELETRÔNICOS PELO PROCESSO DIP, OPERANDO POR FORMAÇÃO DE ONDA DE SOLDA PARA REALIZAÇÃO DE JUNÇÕES METÁLICAS PERMANENTES.
POTENCIA: 33KW
POTENCIA OPERACIONAL: 8 KW
ALIMENTAÇÃO: TRIFÁSICA (380 VAC)
MARCA: NITTO
MODELO: E-FLOW-350-3H-III
NUMERO DE SERIE:
ANO DE FABRICAÇÃO:</v>
          </cell>
        </row>
        <row r="4241">
          <cell r="B4241">
            <v>7020400810</v>
          </cell>
          <cell r="E4241">
            <v>85151900</v>
          </cell>
          <cell r="G4241">
            <v>85151900</v>
          </cell>
          <cell r="H4241" t="str">
            <v>MÁQUINA INDUSTRIAL DE SOLDAGEM SELETIVA PARA PLACAS DE CIRCUITO IMPRESSO, CONSTITUÍDA POR SISTEMA DE AQUECIMENTO ELÉTRICO E APLICAÇÃO CONTROLADA DE SOLDA FUNDIDA, DESTINADA À SOLDAGEM LOCALIZADA DE COMPONENTES ELETRÔNICOS, OPERANDO POR PROCESSO AUTOMATIZADO DE PRECISÃO EM LINHAS DE MONTAGEM ELETRÔNICA.
MARCA: 
MODELO:
NUMERO DE SERIE:
ANO DE FABRICAÇÃO:</v>
          </cell>
        </row>
        <row r="4242">
          <cell r="B4242">
            <v>4032502230</v>
          </cell>
          <cell r="E4242">
            <v>39269090</v>
          </cell>
          <cell r="G4242">
            <v>39269090</v>
          </cell>
          <cell r="H4242" t="str">
            <v>GABARITO FABRICADO EM MATERIAL PLÁSTICO (EX.: ABS, PP, POM OU NYLON), PROJETADO NA FORMA DE BERÇO/SUPORTE, DESTINADO AO POSICIONAMENTO, APOIO E REPETIBILIDADE DIMENSIONAL DE UMA PEÇA DURANTE PROCESSOS DE MONTAGEM, INSPEÇÃO, TESTE OU FABRICAÇÃO. NÃO POSSUI FUNÇÃO ATIVA DE MÁQUINA NEM INTEGRA PERMANENTEMENTE O EQUIPAMENTO; ATUA COMO ACESSÓRIO AUXILIAR PARA GARANTIR ALINHAMENTO E ESTABILIDADE DA PEÇA, PRESERVANDO A INTEGRIDADE DO CONJUNTO E A PRECISÃO DO PROCESSO.</v>
          </cell>
        </row>
        <row r="4243">
          <cell r="B4243" t="str">
            <v>HXE34K.R330</v>
          </cell>
          <cell r="C4243" t="str">
            <v>HXE34K.R330</v>
          </cell>
          <cell r="E4243">
            <v>90283031</v>
          </cell>
          <cell r="G4243">
            <v>90283031</v>
          </cell>
          <cell r="H4243" t="str">
            <v>MEDIDOR TRIFÁSICO DE ENERGIA ELÉTRICA DIGITAL, LIGACAO ASSIMETRICA C/ MEDICAO BIDIRECIONAL NOS QUATRO QUADRANTES</v>
          </cell>
        </row>
        <row r="4244">
          <cell r="B4244">
            <v>7020704620</v>
          </cell>
          <cell r="E4244">
            <v>73269090</v>
          </cell>
          <cell r="G4244">
            <v>73269090</v>
          </cell>
          <cell r="H4244" t="str">
            <v>ESTAÇÃO REMOVÍVEL PARA APOIO, SUSTENTAÇÃO E MANUSEIO DE RELIGADOR TRIFÁSICO DE MÉDIA TENSÃO, CONSTRUÍDA PREDOMINANTEMENTE EM AÇO, APRESENTADA MONTADA, DESTINADA À FIXAÇÃO E POSICIONAMENTO DE RELIGADORES DE 15KV A 38KV DURANTE OPERAÇÕES DE MANUTENÇÃO E RETRABALHO, SEM FUNÇÃO ELÉTRICA OU MOTORIZAÇÃO PRÓPRIA</v>
          </cell>
        </row>
        <row r="4245">
          <cell r="B4245">
            <v>3061902620</v>
          </cell>
          <cell r="C4245">
            <v>3061902620</v>
          </cell>
          <cell r="D4245">
            <v>3061902620</v>
          </cell>
          <cell r="E4245">
            <v>85177900</v>
          </cell>
          <cell r="G4245">
            <v>85177900</v>
          </cell>
          <cell r="H4245" t="str">
            <v>TAMPA SUPERIOR DE ALUMÍNIO FUNDIDO (LIGA ADC12), COM PINTURA ELETROSTÁTICA A PÓ COR PRATA PARA USO EXTERNO E TRATAMENTO DE OXIDAÇÃO CONDUTIVA, DESENVOLVIDA EXCLUSIVAMENTE PARA USO COMO PARTE ESTRUTURAL DE ACCESS POINT (AP) APLICADO EM REDE DE MEDIÇÃO DE ENERGIA ELÉTRICA, MODELO AP3.2, DIMENSÕES 287X261.2X59.5MM.</v>
          </cell>
        </row>
        <row r="4246">
          <cell r="B4246">
            <v>3061902630</v>
          </cell>
          <cell r="C4246">
            <v>3061902630</v>
          </cell>
          <cell r="D4246">
            <v>3061902630</v>
          </cell>
          <cell r="E4246">
            <v>76169900</v>
          </cell>
          <cell r="G4246">
            <v>76169900</v>
          </cell>
          <cell r="H4246" t="str">
            <v>TAMPA DO COMPARTIMENTO PARA BATERIA EM ALUMÍNIO FUNDIDO, COM OXIDAÇÃO CONDUTIVA E PINTURA A PÓ PRATA PARA USO EXTERNO, PEÇA DE PROTEÇÃO MECÂNICA.</v>
          </cell>
        </row>
        <row r="4247">
          <cell r="B4247">
            <v>3061902640</v>
          </cell>
          <cell r="C4247">
            <v>3061902640</v>
          </cell>
          <cell r="D4247">
            <v>3061902640</v>
          </cell>
          <cell r="E4247">
            <v>85177900</v>
          </cell>
          <cell r="G4247">
            <v>85177900</v>
          </cell>
          <cell r="H4247" t="str">
            <v>TAMPA INFERIOR DE ALUMÍNIO FUNDIDO (LIGA ADC12), COM PINTURA ELETROSTÁTICA A PÓ COR PRATA PARA USO EXTERNO E TRATAMENTO DE OXIDAÇÃO CONDUTIVA, DESENVOLVIDA EXCLUSIVAMENTE PARA USO COMO PARTE ESTRUTURAL DE ACCESS POINT (AP) APLICADO EM REDE DE MEDIÇÃO DE ENERGIA ELÉTRICA, MODELO AP3.2, DIMENSÕES 287X261.2X59.5MM.</v>
          </cell>
        </row>
        <row r="4248">
          <cell r="B4248">
            <v>3080703160</v>
          </cell>
          <cell r="C4248">
            <v>3080703160</v>
          </cell>
          <cell r="D4248">
            <v>3080703160</v>
          </cell>
          <cell r="E4248">
            <v>40169300</v>
          </cell>
          <cell r="G4248">
            <v>40169300</v>
          </cell>
          <cell r="H4248" t="str">
            <v>ANEL DE VEDAÇÃO DE SILICONE, SEMITRANSPARENTE, DIMENSÕES 117,5 × 37,5 × 2 MM, DUREZA 55 ±5 SHORE A, CONFORME ROHS, UTILIZADO PARA VEDAÇÃO.</v>
          </cell>
        </row>
        <row r="4249">
          <cell r="B4249">
            <v>3090528990</v>
          </cell>
          <cell r="C4249">
            <v>3090528990</v>
          </cell>
          <cell r="D4249">
            <v>3090528990</v>
          </cell>
          <cell r="E4249">
            <v>85444200</v>
          </cell>
          <cell r="G4249">
            <v>85444200</v>
          </cell>
          <cell r="H4249" t="str">
            <v>CABO ELÉTRICO DE ALIMENTAÇÃO COM DOIS CONDUTORES 14 AWG, COMPRIMENTO 2000 MM, CORES VERMELHO E AZUL, COM CONECTOR VH 3.96 DE 3 VIAS EM UMA EXTREMIDADE E OUTRA EXTREMIDADE DESENCAPADA, TENSÃO ATÉ 1000 V, CONFORME ROHS.</v>
          </cell>
        </row>
        <row r="4250">
          <cell r="B4250" t="str">
            <v>HXAP1000R31093-COMM</v>
          </cell>
          <cell r="C4250" t="str">
            <v>HXAP1000R31093-COMM</v>
          </cell>
          <cell r="D4250" t="str">
            <v>HXAP1000R31093-COMM</v>
          </cell>
          <cell r="E4250">
            <v>85176259</v>
          </cell>
          <cell r="G4250">
            <v>85176259</v>
          </cell>
          <cell r="H4250" t="str">
            <v>MÓDULO DE COMUNICAÇÃO CELULAR 4G EM PLACA ELETRÔNICA MONTADA (PCBA), MODELO EC25-AUX, DESTINADO À TRANSMISSÃO E RECEPÇÃO DE DADOS EM REDES MÓVEIS, PARA INTEGRAÇÃO EM EQUIPAMENTO ELETRÔNICO.</v>
          </cell>
        </row>
        <row r="4251">
          <cell r="B4251">
            <v>8990012250</v>
          </cell>
          <cell r="C4251">
            <v>8990012250</v>
          </cell>
          <cell r="E4251">
            <v>85364900</v>
          </cell>
          <cell r="G4251">
            <v>85364900</v>
          </cell>
          <cell r="H4251" t="str">
            <v>RELÉ ELETROMECÂNICO PARA COMANDO ELÉTRICO, TENSÃO DE BOBINA AC 220V, COM 2 CONTATOS NORMALMENTE FECHADOS E 2 CONTATOS NORMALMENTE ABERTOS, PARA COMUTAÇÃO DE CIRCUITOS ELÉTRICOS</v>
          </cell>
        </row>
        <row r="4252">
          <cell r="B4252">
            <v>8990031160</v>
          </cell>
          <cell r="C4252">
            <v>8990031160</v>
          </cell>
          <cell r="E4252">
            <v>85365090</v>
          </cell>
          <cell r="G4252">
            <v>85365090</v>
          </cell>
          <cell r="H4252" t="str">
            <v>CHAVE DE TRANSFERÊNCIA ELÉTRICA MOTORIZADA PARA COMUTAÇÃO ENTRE REDE ELÉTRICA E SISTEMA OFF-GRID, TRIFÁSICA, CORRENTE NOMINAL 1250A, PARA DISTRIBUIÇÃO E COMANDO DE CIRCUITOS ELÉTRICOS</v>
          </cell>
        </row>
        <row r="4253">
          <cell r="B4253">
            <v>8990031130</v>
          </cell>
          <cell r="C4253">
            <v>8990031130</v>
          </cell>
          <cell r="E4253">
            <v>85044090</v>
          </cell>
          <cell r="G4253">
            <v>85044090</v>
          </cell>
          <cell r="H4253" t="str">
            <v>FONTE DE ALIMENTAÇÃO ESTÁTICA AC/DC INDUSTRIAL, ENTRADA AC 220V, SAÍDA DC 24V, POTÊNCIA 240W, PARA CONVERSÃO E ALIMENTAÇÃO DE CIRCUITOS ELÉTRICOS</v>
          </cell>
        </row>
        <row r="4254">
          <cell r="B4254">
            <v>3011901370</v>
          </cell>
          <cell r="C4254">
            <v>3011901370</v>
          </cell>
          <cell r="E4254">
            <v>85365090</v>
          </cell>
          <cell r="G4254">
            <v>85365090</v>
          </cell>
          <cell r="H4254" t="str">
            <v>BOTOEIRA ELÉTRICA DE COMANDO PARA PAINEL, NA COR VERMELHA, PARA ACIONAMENTO DE CIRCUITOS ELÉTRICOS</v>
          </cell>
        </row>
        <row r="4255">
          <cell r="B4255">
            <v>3011901380</v>
          </cell>
          <cell r="C4255">
            <v>3011901380</v>
          </cell>
          <cell r="E4255">
            <v>85365090</v>
          </cell>
          <cell r="G4255">
            <v>85365090</v>
          </cell>
          <cell r="H4255" t="str">
            <v>BOTOEIRA ELÉTRICA DE COMANDO PARA PAINEL, NA COR VERDE, PARA ACIONAMENTO DE CIRCUITOS ELÉTRICOS</v>
          </cell>
        </row>
        <row r="4256">
          <cell r="B4256">
            <v>8990031300</v>
          </cell>
          <cell r="C4256">
            <v>8990031300</v>
          </cell>
          <cell r="E4256">
            <v>73089090</v>
          </cell>
          <cell r="G4256">
            <v>73089090</v>
          </cell>
          <cell r="H4256" t="str">
            <v>PERFIL METÁLICO DE MONTAGEM EM AÇO/ALUMÍNIO GALVANIZADO, DIMENSÕES 935 × 25 × 50 MM, UTILIZADO PARA FIXAÇÃO E SUPORTE DE COMPONENTES EM PAINEL ELÉTRICO</v>
          </cell>
        </row>
        <row r="4257">
          <cell r="B4257">
            <v>8990031310</v>
          </cell>
          <cell r="C4257">
            <v>8990031310</v>
          </cell>
          <cell r="E4257">
            <v>39269090</v>
          </cell>
          <cell r="G4257">
            <v>39269090</v>
          </cell>
          <cell r="H4257" t="str">
            <v>SUPORTE PLÁSTICO PARA IDENTIFICAÇÃO INSERÍVEL, COM ACESSÓRIOS DE FIXAÇÃO E ETIQUETA DE PAPEL SUBSTITUÍVEL</v>
          </cell>
        </row>
        <row r="4258">
          <cell r="B4258">
            <v>8990031320</v>
          </cell>
          <cell r="C4258">
            <v>8990031320</v>
          </cell>
          <cell r="E4258">
            <v>39173290</v>
          </cell>
          <cell r="G4258">
            <v>39173290</v>
          </cell>
          <cell r="H4258" t="str">
            <v>TUBO PLÁSTICO PARA IDENTIFICAÇÃO DE CABOS ELÉTRICOS EM FIAÇÃO SECUNDÁRIA</v>
          </cell>
        </row>
        <row r="4259">
          <cell r="B4259" t="str">
            <v>HXWHPN.M154</v>
          </cell>
          <cell r="C4259" t="str">
            <v>HXWHPN.M154</v>
          </cell>
          <cell r="E4259">
            <v>85043111</v>
          </cell>
          <cell r="G4259">
            <v>85043111</v>
          </cell>
          <cell r="H4259" t="str">
            <v>CONJUNTO PARA INSTRUMENTAÇÃO ELÉTRICA EM SISTEMA DE MÉDIA TENSÃO 15 KV, TRIFÁSICO 4 FIOS (3P4W), COMPOSTO POR TRANSFORMADORES DE CORRENTE 5-10/5 A E TRANSFORMADORES DE POTENCIAL 8050-6900/115 V, COM CABOS DE 3 METROS, CAIXA DE MEDIÇÃO E SUPORTE METÁLICO, SEM MEDIDOR ELETRÔNICO INCORPORADO.</v>
          </cell>
        </row>
        <row r="4260">
          <cell r="B4260" t="str">
            <v>HXLCU.R110</v>
          </cell>
          <cell r="C4260" t="str">
            <v>HXLCU.R110</v>
          </cell>
          <cell r="E4260">
            <v>85371020</v>
          </cell>
          <cell r="G4260">
            <v>85371020</v>
          </cell>
          <cell r="H4260" t="str">
            <v>CONTROLADOR PROGRAMÁVEL ELETRÔNICO PARA SISTEMA DE ILUMINAÇÃO PÚBLICA, CONSTITUÍDO POR CIRCUITOS ELETRÔNICOS DE COMANDO E CONTROLE ELÉTRICO, OPERANDO EM TENSÃO NÃO SUPERIOR A 1000V, APRESENTADO EM MÓDULO INDIVIDUAL, DESTINADO AO ACIONAMENTO, MONITORAMENTO E GERENCIAMENTO AUTOMATIZADO DE REDES ELÉTRICAS DE ILUMINAÇÃO PÚBLICA, OPERANDO POR PROCESSAMENTO LÓGICO PROGRAMÁVEL DE SINAIS ELÉTRICOS. (HXLCU.R110)</v>
          </cell>
        </row>
        <row r="4261">
          <cell r="B4261">
            <v>4050302210</v>
          </cell>
          <cell r="C4261">
            <v>4050302210</v>
          </cell>
          <cell r="E4261">
            <v>39073029</v>
          </cell>
          <cell r="G4261">
            <v>39073029</v>
          </cell>
          <cell r="H4261" t="str">
            <v>RESINA LÍQUIDA FOTOPOLIMERIZÁVEL TIPO ABS-LIKE, À BASE DE RESINAS EPÓXIDAS ACRILADAS, APRESENTADA EM FORMA PRIMÁRIA, UTILIZADA COMO INSUMO EM PROCESSOS DE IMPRESSÃO 3D POR TECNOLOGIA DE CURA ULTRAVIOLETA (UV), PARA FABRICAÇÃO DE PEÇAS TÉCNICAS</v>
          </cell>
        </row>
        <row r="4262">
          <cell r="B4262">
            <v>7070505910</v>
          </cell>
          <cell r="C4262">
            <v>7070505910</v>
          </cell>
          <cell r="E4262">
            <v>85176234</v>
          </cell>
          <cell r="G4262">
            <v>85176234</v>
          </cell>
          <cell r="H4262" t="str">
            <v>APARELHO DIGITAL PARA COMUTAÇÃO DE DADOS EM REDES LOCAIS (LAN), TIPO SWITCH GERENCIÁVEL LAYER 2/LAYER 3, PADRÃO RACK 1U, EQUIPADO COM 48 PORTAS ELÉTRICAS RJ45 10/100/1000BASE-T COM SUPORTE A ALIMENTAÇÃO PoE+ CONFORME IEEE 802.3AF/AT E 4 PORTAS ÓPTICAS DE UPLINK 10GE SFP+, COM FONTE DE ALIMENTAÇÃO AC INTEGRADA 100-240V, DESTINADO À COMUTAÇÃO, TRANSMISSÃO E GERENCIAMENTO DE DADOS EM REDES ETHERNET</v>
          </cell>
        </row>
        <row r="4263">
          <cell r="B4263">
            <v>7070505920</v>
          </cell>
          <cell r="C4263">
            <v>7070505920</v>
          </cell>
          <cell r="E4263">
            <v>85176234</v>
          </cell>
          <cell r="G4263">
            <v>85176234</v>
          </cell>
          <cell r="H4263" t="str">
            <v>APARELHO DIGITAL PARA COMUTACAO DE DADOS EM REDES LOCAIS (LAN), TIPO SWITCH GERENCIAVEL LAYER 2/LAYER 3, PADRAO RACK 1U, EQUIPADO COM 48 PORTAS ELETRICAS RJ45 10/100/1000BASE-T E 4 PORTAS OPTICAS DE UPLINK 10GE SFP+, SEM SUPORTE A ALIMENTACAO PoE, COM FONTE DE ALIMENTACAO AC INTEGRADA 100-240V, DESTINADO A COMUTACAO, TRANSMISSAO E GERENCIAMENTO DE DADOS EM REDES ETHERNET</v>
          </cell>
        </row>
        <row r="4264">
          <cell r="B4264" t="str">
            <v>HXW410.R120</v>
          </cell>
          <cell r="C4264" t="str">
            <v>HXW410.R120</v>
          </cell>
          <cell r="E4264">
            <v>85176272</v>
          </cell>
          <cell r="G4264">
            <v>85176272</v>
          </cell>
          <cell r="H4264" t="str">
            <v>MODULOS DE COMUNICACAO RF (HXW410.R120) PARA HIDROMETROS ZLW, COM TECNOLOGIA NB-IOT / LTE CAT NB1, OPERANDO NAS FAIXAS 700/850/900/1700/1800/1900 MHZ, COM TAXA DE TRANSMISSAO DE ATÉ 127 KBPS (DL)/158.5 KBPS (UL).</v>
          </cell>
        </row>
        <row r="4265">
          <cell r="B4265" t="str">
            <v>MJN72R12104-EGISA</v>
          </cell>
          <cell r="C4265" t="str">
            <v>MJN72R12104-EGISA</v>
          </cell>
          <cell r="E4265">
            <v>85176272</v>
          </cell>
          <cell r="G4265">
            <v>85176272</v>
          </cell>
          <cell r="H4265" t="str">
            <v>MÓDULOS DE COMUNICAÇÃO BIDIRECIONAL DE DADOS SEM FIO (RECEPÇÃO, CONVERSÃO E TRANSMISSÃO), DIGITAIS, EMISSORES DE RÁDIO FREQUÊNCIA COM RECEPTOR INCORPORADO, CAPAZES DE OPERAR NA FAIXA ISM DE FREQUÊNCIAS 902 A 928 MHZ, COM TAXA DE TRANSMISSÃO DE ATÉ 150 KBPS, COMPATÍVEIS COM O PADRÃO WISUN E IEEE802.15.4G, PARA MEDIDORES INTELIGENTES DE ENERGIA ELÉTRICA, OPERANDO EM TOPOLOGIA "MESH" OU "ESTRELA" COM ESPALHAMENTO ESPECTRAL POR SALTO EM FREQUÊNCIA (FHSS), ENDEREÇAMENTO IPV6 E POTÊNCIA DE TRANSMISSÃO DE ATÉ +30DBM, COM INTERFACE DE COMUNICAÇÃO DE DADOS SERIAL TTL, ALIMENTAÇÃO 15VDC E MODELO MJN72R12104.</v>
          </cell>
        </row>
        <row r="4266">
          <cell r="B4266" t="str">
            <v>MNI72R31001</v>
          </cell>
          <cell r="C4266" t="str">
            <v>MNI72R31001</v>
          </cell>
          <cell r="E4266">
            <v>85176272</v>
          </cell>
          <cell r="G4266">
            <v>85176272</v>
          </cell>
          <cell r="H4266" t="str">
            <v>MÓDULOS DE COMUNICAÇÃO BIDIRECIONAL DE DADOS SEM FIO (RECEPÇÃO, CONVERSÃO E TRANSMISSÃO), DIGITAIS, EMISSORES DE RÁDIO FREQUÊNCIA COM RECEPTOR INCORPORADO, COMPATÍVEIS COM O PADRÃO CELULAR NB-IOT E BLUETOOTH PARA MEDIDORES INTELIGENTES DE ENERGIA ELÉTRICA, COM INTERFACE DE COMUNICAÇÃO DE DADOS SERIAL TTL, ALIMENTAÇÃO 15VDCANO DE FABRICACAO XXXX, NUMEROS DE SERIE YYYY A ZZZZ, MODELO MMMM, MARCA LLLL.</v>
          </cell>
        </row>
        <row r="4267">
          <cell r="B4267" t="str">
            <v>HXAP1000R31044-ALL</v>
          </cell>
          <cell r="C4267" t="str">
            <v>HXAP1000R31044-ALL</v>
          </cell>
          <cell r="E4267">
            <v>85176241</v>
          </cell>
          <cell r="G4267">
            <v>85176241</v>
          </cell>
          <cell r="H4267" t="str">
            <v>ROTEADORES DE BORDA,DIGITAIS, PARA COMUNICACAO BIDIRECIONAL DE DADOS SEM FIO (RECEPCAO, CONVERSAO E TRANSMISSAO), DIGITAIS, EMISSORES DE RADIO FREQUENCIA COM RECEPTOR INCORPORADO, CAPAZES DE OPERAR NA FAIXA ISM DE FREQUENCIAS 902 A 928 MHZ, COM TAXA DE TRANSMISSAO DE ATE 2.4MBPS, COMPATIVEIS COM O PADRAO WISUN E IEEE802.15.4G, OPERANDO EM TOPOLOGIA "MESH" OU "ESTRELA" COM ESPALHAMENTO ESPECTRAL POR SALTO EM FREQUENCIA (FHSS), ENDERECAMENTO IPV6 E POTENCIA DE TRANSMISSAO DE ATE +30DBM,  POSSUINDO AINDA, ALIMENTACAO "FULL-RANGE" 110 ~ 240 VAC E COMUNICAÇÃO 5G/4G/3G E PORTA ETHERNET</v>
          </cell>
        </row>
        <row r="4268">
          <cell r="B4268">
            <v>3142800050</v>
          </cell>
          <cell r="C4268">
            <v>3142800050</v>
          </cell>
          <cell r="E4268">
            <v>90289090</v>
          </cell>
          <cell r="G4268">
            <v>90289090</v>
          </cell>
          <cell r="H4268" t="str">
            <v>TRANSDUTOR PIEZOELETRICO 1 MHZ PARTE PARA MONTAGEM EM HIDROMETROS (CONTADORES DE LIQUIDO) RESIDENCIAIS (DN15, DN20, DN25, DN40) PARA MEDICAO DE VAZAO</v>
          </cell>
        </row>
        <row r="4269">
          <cell r="B4269">
            <v>2054300440</v>
          </cell>
          <cell r="C4269">
            <v>2054300440</v>
          </cell>
          <cell r="E4269">
            <v>85423221</v>
          </cell>
          <cell r="G4269">
            <v>85423221</v>
          </cell>
          <cell r="H4269" t="str">
            <v>CIRCUITO INTEGRADO ELETRÔNICO DO TIPO MEMÓRIA MONTADO, PRÓPRIO PARA MONTAGEM EM SUPERFÍCIE SMD, DO TIPO FLASH; CAPACIDADE DE ARMAZENAMENTO 16 MBYTES; ENCAPSULAMENTO 8PIN SOP 208-MIL (2054300440)</v>
          </cell>
        </row>
        <row r="4270">
          <cell r="B4270">
            <v>4010207100</v>
          </cell>
          <cell r="C4270">
            <v>4010207100</v>
          </cell>
          <cell r="E4270">
            <v>84719019</v>
          </cell>
          <cell r="G4270">
            <v>84719019</v>
          </cell>
          <cell r="H4270" t="str">
            <v>GRAVADORA AUTOMATICA DE DADOS DE FIRMWARE INK FUDAN - PROGRAMADOR DE FIRMWARE (GRAVADOR ELETRONICO) MODELO JL INK, TIPO 1:1, UTILIZADO PARA GRAVACAO DE SOFTWARE EM PLACAS ELETRONICAS, DESTINADO A USO EM LINHA DE PRODUCAO INDUSTRIAL DE HIDROMETROS</v>
          </cell>
        </row>
        <row r="4271">
          <cell r="B4271" t="str">
            <v>MJN72R12221-CEMIG</v>
          </cell>
          <cell r="C4271" t="str">
            <v>MJN72R12221-CEMIG</v>
          </cell>
          <cell r="E4271">
            <v>85176272</v>
          </cell>
          <cell r="G4271">
            <v>85176272</v>
          </cell>
          <cell r="H4271" t="str">
            <v>MODULO DE COMUNICACAO BIDIRECIONAL DE DADOS SEM FIO, DIGITAL, EMISSOR DE RADIO FREQUENCIA COM RECEPTOR INCORPORADO, MODELO MJN72R12221-CEMIG, PARA INTEGRACAO EM MEDIDORES INTELIGENTES DE ENERGIA ELETRICA. OPERA NA FAIXA ISM DE 902 A 928 MHZ, COM TAXA DE TRANSMISSAO DE ATE 2.4 MBPS, COMPATIVEL COM PADRAO WI-SUN 1.1 E IEEE 802.15.4G, TOPOLOGIAS MESH OU ESTRELA, COM ESPALHAMENTO ESPECTRAL POR SALTO EM FREQUENCIA (FHSS), ENDERECAMENTO IPV6, POTENCIA DE TRANSMISSAO ATE +30 DBM, INTERFACE SERIAL TTL, ALIMENTACAO 15 VDC, ANTENA EMBUTIDA, COM PKI.</v>
          </cell>
        </row>
        <row r="4272">
          <cell r="B4272">
            <v>3010111250</v>
          </cell>
          <cell r="C4272">
            <v>3010111250</v>
          </cell>
          <cell r="E4272">
            <v>85043111</v>
          </cell>
          <cell r="G4272">
            <v>85043111</v>
          </cell>
          <cell r="H4272" t="str">
            <v>TRANSFORMADOR ELETRICO DE CORRENTE, COM CORRENTE ELETRICA NOMINAL DE 30A E CORRENTE ELETRICA MAXIMA DE 200A. POTENCIA APARENTE DE 0,00108VA E FREQUENCIA DE TRABALHO DE 60HZ. RELACAO DE TRANSFORMACAO 30(200)A/12MA, CLASSE 0,1 E RESISTENCIA DE CARGA DE 7,5 OHMS</v>
          </cell>
        </row>
        <row r="4273">
          <cell r="B4273">
            <v>3142101000</v>
          </cell>
          <cell r="E4273">
            <v>90289090</v>
          </cell>
          <cell r="G4273">
            <v>90289090</v>
          </cell>
          <cell r="H4273" t="str">
            <v>TUBO DE COBRE (CARCAÇA) A BASE DE COBREZINCO (LATÃO), MONTADO, PARA USO EM HIDRÔMETROS RESIDENCIAIS COM SEÇÃO DE TRANSVERSAL DE 15mm E COMPRIMENTO DE 165mm, COM RETIFICADOR DE FLUXO.</v>
          </cell>
        </row>
        <row r="4274">
          <cell r="B4274" t="str">
            <v>HXWSG100R22014-CEMIG</v>
          </cell>
          <cell r="C4274" t="str">
            <v>HXWSG100R22014-CEMIG</v>
          </cell>
          <cell r="E4274">
            <v>85176272</v>
          </cell>
          <cell r="G4274">
            <v>85176272</v>
          </cell>
          <cell r="H4274" t="str">
            <v>REPETIDORES DE SINAL DE RADIO FREQUENCIA, PARA COMUNICACAO BIDIRECIONAL DE DADOS SEM FIO (RECEPCAO, CONVERSAO E TRANSMISSAO), DIGITAIS, EMISSORES DE RADIO FREQUENCIA COM RECEPTOR INCORPORADO, CAPAZES DE OPERAR NA FAIXA ISM DE FREQUENCIAS 902 A 928 MHZ, COM TAXA DE TRANSMISSAO DE ATE 1.2MBPS, COMPATIVEIS COM O PADRAO WISUN E LORA, OPERANDO EM TOPOLOGIA "MESH" OU "ESTRELA" COM ESPALHAMENTO ESPECTRAL POR SALTO EM FREQUENCIA (FHSS), ENDERECAMENTO IPV6 E POTENCIA DE TRANSMISSAO DE ATE +30DBM, POSSUINDO AINDA, ALIMENTACAO "FULL-RANGE" 90 ~ 288 VAC. ANO DE FABRICACAO XXXX, NUMEROS DE SERIE YYYY A ZZZZ, MODELO MMMM, MARCA LLLL.</v>
          </cell>
        </row>
        <row r="4275">
          <cell r="B4275" t="str">
            <v>HXAP1000R31044-CEMIG</v>
          </cell>
          <cell r="C4275" t="str">
            <v>HXAP1000R31044-CEMIG</v>
          </cell>
          <cell r="E4275">
            <v>85176241</v>
          </cell>
          <cell r="G4275">
            <v>85176241</v>
          </cell>
          <cell r="H4275" t="str">
            <v>ROTEADORES DE BORDA,DIGITAIS, PARA COMUNICACAO BIDIRECIONAL DE DADOS SEM FIO (RECEPCAO, CONVERSAO E TRANSMISSAO), DIGITAIS, EMISSORES DE RADIO FREQUENCIA COM RECEPTOR INCORPORADO, CAPAZES DE OPERAR NA FAIXA ISM DE FREQUENCIAS 902 A 928 MHZ, COM TAXA DE TRANSMISSAO DE ATE 2.4MBPS, COMPATIVEIS COM O PADRAO WISUN E IEEE802.15.4G, OPERANDO EM TOPOLOGIA "MESH" OU "ESTRELA" COM ESPALHAMENTO ESPECTRAL POR SALTO EM FREQUENCIA (FHSS), ENDERECAMENTO IPV6 E POTENCIA DE TRANSMISSAO DE ATE +30DBM,  POSSUINDO AINDA, ALIMENTACAO "FULL-RANGE" 110 ~ 240 VAC,ANO DE FABRICACAO XXXX, NUMEROS DE SERIE YYYY A ZZZZ, MODELO MMMM, MARCA LLLL.</v>
          </cell>
        </row>
        <row r="4276">
          <cell r="B4276">
            <v>4020501670</v>
          </cell>
          <cell r="C4276">
            <v>4020501670</v>
          </cell>
          <cell r="E4276">
            <v>84839000</v>
          </cell>
          <cell r="G4276">
            <v>84839000</v>
          </cell>
          <cell r="H4276" t="str">
            <v>A engrenagem de 14 dentes, com diâmetro de furo interno de 15 mm e diâmetro externo de 46 mm, é um componente mecânico utilizado em linhas de inserção para transmitir movimento com precisão entre eixos, garantindo estabilidade operacional e sincronismo dos mecanismos de avanço. Sua função é assegurar o correto acoplamento em eixos e manter a integridade do conjunto.</v>
          </cell>
        </row>
        <row r="4277">
          <cell r="B4277">
            <v>4020503740</v>
          </cell>
          <cell r="C4277">
            <v>4020503740</v>
          </cell>
          <cell r="E4277">
            <v>85014019</v>
          </cell>
          <cell r="G4277">
            <v>85014019</v>
          </cell>
          <cell r="H4277" t="str">
            <v>O motor elétrico modelo 5IK60RGN-CF, de 60 W, tensão 220 V, frequência 50 Hz e velocidade ajustável de 90 a 1350 rpm, é um componente utilizado em máquinas industriais para fornecer movimento rotativo controlado, garantindo precisão, estabilidade operacional e torque adequado para mecanismos que requerem variação de velocidade.
Sua função é assegurar o correto acoplamento ao redutor e manter a integridade do conjunto de acionamento, permitindo operação contínua e confiável em linhas produtivas.</v>
          </cell>
        </row>
        <row r="4278">
          <cell r="B4278">
            <v>4020503750</v>
          </cell>
          <cell r="C4278">
            <v>4020503750</v>
          </cell>
          <cell r="E4278">
            <v>84145990</v>
          </cell>
          <cell r="G4278">
            <v>84145990</v>
          </cell>
          <cell r="H4278" t="str">
            <v>O ventilador centrífugo modelo MA14530KX01, operando em 220/380 V, 50/60 Hz e potência aproximada de 1/3 HP, é um componente utilizado em sistemas industriais de exaustão e circulação de ar, projetado para gerar fluxo de ar de alta pressão com estabilidade e eficiência. Sua função é assegurar o correto acoplamento ao sistema de ventilação da máquina, mantendo a integridade do conjunto, controlando a temperatura interna e garantindo condições operacionais adequadas aos demais componentes da linha.</v>
          </cell>
        </row>
        <row r="4279">
          <cell r="B4279">
            <v>4020501680</v>
          </cell>
          <cell r="C4279">
            <v>4020501680</v>
          </cell>
          <cell r="E4279">
            <v>85159000</v>
          </cell>
          <cell r="G4279">
            <v>85159000</v>
          </cell>
          <cell r="H4279" t="str">
            <v>CONJUNTO DE AQUECIMENTO INDUSTRIAL CONSTITUÍDO POR MÓDULOS SUPERIOR E INFERIOR COM ELEMENTOS ELETROTÉRMICOS E ESTRUTURA METÁLICA DE 710 × 600 MM, APRESENTADO COMO PARTE DE MÁQUINA DE SOLDAGEM POR ONDA Nitto (Nichido) FM350, DESTINADO AO PRÉ-AQUECIMENTO CONTROLADO DE PLACAS DE CIRCUITO IMPRESSO, OPERANDO POR GERAÇÃO E TRANSFERÊNCIA DE CALOR PARA ELEVAÇÃO GRADUAL DE TEMPERATURA ANTES DO PROCESSO DE SOLDAGEM.</v>
          </cell>
        </row>
        <row r="4280">
          <cell r="B4280">
            <v>4029800880</v>
          </cell>
          <cell r="C4280">
            <v>4029800880</v>
          </cell>
          <cell r="E4280">
            <v>85044090</v>
          </cell>
          <cell r="G4280">
            <v>85044090</v>
          </cell>
          <cell r="H4280" t="str">
            <v>CONTROLADOR ELETRONICO DE VELOCIDADE PARA MOTOR ELETRICO, TIPO REGULADOR, COM TECNOLOGIA ANALOGICA, ALIMENTACAO EM 220 V MONOFASICO, CORRENTE NOMINAL DE SAIDA ATE 16 A, UTILIZADO PARA VARIACAO E CONTROLE DE ROTACAO DE MOTORES EM EQUIPAMENTOS INDUSTRIAIS.</v>
          </cell>
        </row>
        <row r="4281">
          <cell r="B4281">
            <v>4020121160</v>
          </cell>
          <cell r="C4281">
            <v>4020121160</v>
          </cell>
          <cell r="E4281">
            <v>85013110</v>
          </cell>
          <cell r="G4281">
            <v>85013110</v>
          </cell>
          <cell r="H4281" t="str">
            <v>O motor de passo 86HS45, fabricado pela Leadshine, é um componente eletromecânico utilizado em sistemas de automação industrial para realizar movimentos incrementais precisos por meio de passos de 1.8° por pulso. Seu enrolamento de 4.2 A permite alto torque e resposta consistente, garantindo estabilidade operacional em mecanismos de avanço, posicionamento e elevação utilizados em linhas de produção.</v>
          </cell>
        </row>
        <row r="4282">
          <cell r="B4282">
            <v>4020200690</v>
          </cell>
          <cell r="C4282">
            <v>4020200690</v>
          </cell>
          <cell r="E4282">
            <v>73151190</v>
          </cell>
          <cell r="G4282">
            <v>73151190</v>
          </cell>
          <cell r="H4282" t="str">
            <v>A corrente metálica modelo BL‑300, utilizada em equipamentos Nitto, é um componente mecânico empregado na movimentação e rotação do trilho da máquina. Trata‑se de uma corrente de elos articulados do tipo rolos, projetada para transmitir movimento com estabilidade e baixo atrito, garantindo sincronismo e funcionamento contínuo do sistema de transporte.
Sua função é assegurar o correto acoplamento entre o pinhão e o trilho, mantendo a integridade do conjunto de transmissão.</v>
          </cell>
        </row>
        <row r="4283">
          <cell r="B4283">
            <v>4030300330</v>
          </cell>
          <cell r="C4283">
            <v>4030300330</v>
          </cell>
          <cell r="E4283">
            <v>84879000</v>
          </cell>
          <cell r="G4283">
            <v>84879000</v>
          </cell>
          <cell r="H4283" t="str">
            <v>O probe metálico Ф5 × 9 mm, com ponta prateada para soldagem e corpo cilíndrico, é um componente mecânico empregado em dispositivos industriais para realizar contato físico preciso, atuando como elemento de detecção, apoio, acionamento ou teste.
Sua construção metálica garante rigidez e excelente condutividade na extremidade de contato, assegurando repetibilidade, resistência ao desgaste e estabilidade operacional.</v>
          </cell>
        </row>
        <row r="4284">
          <cell r="B4284">
            <v>4020809690</v>
          </cell>
          <cell r="C4284">
            <v>4020809690</v>
          </cell>
          <cell r="E4284">
            <v>85015110</v>
          </cell>
          <cell r="G4284">
            <v>85015110</v>
          </cell>
          <cell r="H4284" t="str">
            <v>O motor de indução trifásico Y2‑GW711‑6, com potência de 180 W e tensão 220/380 V, é um componente eletromecânico utilizado na máquina de solda por onda para acionar mecanismos internos do equipamento, garantindo o movimento contínuo e estável durante o processo de soldagem PTH.</v>
          </cell>
        </row>
        <row r="4285">
          <cell r="B4285">
            <v>4020503760</v>
          </cell>
          <cell r="C4285">
            <v>4020503760</v>
          </cell>
          <cell r="E4285">
            <v>84834010</v>
          </cell>
          <cell r="G4285">
            <v>84834010</v>
          </cell>
          <cell r="H4285" t="str">
            <v>CAIXA DE REDUÇÃO DE VELOCIDADE DO TIPO REDUTOR MECÂNICO, CONSTITUÍDA PREDOMINANTEMENTE POR CARCAÇA METÁLICA E SISTEMA DE ENGRENAGENS INTERNAS, APRESENTADA COMO UNIDADE AUTÔNOMA, DESTINADA À REDUÇÃO DE ROTAÇÃO E AUMENTO DE TORQUE EM SISTEMAS DE TRANSMISSÃO MECÂNICA, OPERANDO POR ENGRENAMENTO ENTRE ELEMENTOS ROTATIVOS ACOPLADOS A MOTOR ELÉTRICO.</v>
          </cell>
        </row>
        <row r="4286">
          <cell r="B4286">
            <v>4020503770</v>
          </cell>
          <cell r="C4286">
            <v>4020503770</v>
          </cell>
          <cell r="E4286">
            <v>85014019</v>
          </cell>
          <cell r="G4286">
            <v>85014019</v>
          </cell>
          <cell r="H4286" t="str">
            <v>MOTOREDUTOR ELÉTRICO DE CORRENTE ALTERNADA DO TIPO INDUÇÃO, CONSTITUÍDO POR MOTOR ELÉTRICO E REDUTOR MECÂNICO ACOPLADOS, FORNECIDO E PROJETADO COMO CONJUNTO INTEGRADO E FUNCIONAL, DESTINADO À CONVERSÃO DE ENERGIA ELÉTRICA EM ENERGIA MECÂNICA COM REDUÇÃO DE VELOCIDADE E AUMENTO DE TORQUE.
REFERÊNCIA: VHI590S‑GVR / GVR5G150
TENSÃO: 200 V CA
POTÊNCIA: 90 W (0,09 KW)
CARCAÇA FECHADA METÁLICA.</v>
          </cell>
        </row>
        <row r="4287">
          <cell r="B4287">
            <v>4020808880</v>
          </cell>
          <cell r="C4287">
            <v>4020808880</v>
          </cell>
          <cell r="E4287">
            <v>85168090</v>
          </cell>
          <cell r="G4287">
            <v>85168090</v>
          </cell>
          <cell r="H4287" t="str">
            <v>RESISTÊNCIA ELÉTRICA TUBULAR DE AQUECIMENTO, CONSTITUÍDA PREDOMINANTEMENTE POR LIGA METÁLICA RESISTIVA E INVÓLUCRO METÁLICO, APRESENTADA COMO ELEMENTO ELETROTÉRMICO MONTADO, DESTINADA À GERAÇÃO DE CALOR POR EFEITO JOULE EM SISTEMAS DE PRÉ-AQUECIMENTO INDUSTRIAL, OPERANDO POR PASSAGEM DE CORRENTE ELÉTRICA ATRAVÉS DE MATERIAL RESISTIVO COM DISSIPAÇÃO TÉRMICA CONTROLADA. (Ref. 4020808880)</v>
          </cell>
        </row>
        <row r="4288">
          <cell r="B4288">
            <v>4020503780</v>
          </cell>
          <cell r="C4288">
            <v>4020503780</v>
          </cell>
          <cell r="E4288">
            <v>85168090</v>
          </cell>
          <cell r="G4288">
            <v>85168090</v>
          </cell>
          <cell r="H4288" t="str">
            <v>RESISTÊNCIA ELÉTRICA TUBULAR DE AQUECIMENTO DE ALTA POTÊNCIA, MARCA QLDR, CONSTITUÍDA PREDOMINANTEMENTE POR LIGA METÁLICA RESISTIVA COM INVÓLUCRO EM AÇO INOXIDÁVEL, APRESENTADA COMO ELEMENTO ELETROTÉRMICO MONTADO, DESTINADA À GERAÇÃO DE CALOR POR EFEITO JOULE EM SISTEMAS INDUSTRIAIS DE AQUECIMENTO DE FLUIDOS OU MATERIAIS EM RESERVATÓRIOS, OPERANDO POR PASSAGEM DE CORRENTE ELÉTRICA COM DISSIPAÇÃO TÉRMICA CONTROLADA. (Ref. 4020503780)</v>
          </cell>
        </row>
        <row r="4289">
          <cell r="B4289">
            <v>4020503790</v>
          </cell>
          <cell r="C4289">
            <v>4020503790</v>
          </cell>
          <cell r="E4289">
            <v>85044090</v>
          </cell>
          <cell r="G4289">
            <v>85044090</v>
          </cell>
          <cell r="H4289" t="str">
            <v>CONVERSOR ESTÁTICO DE ENERGIA ELÉTRICA DO TIPO INVERSOR DE FREQUÊNCIA, CONSTITUÍDO POR COMPONENTES ELETRÔNICOS DE POTÊNCIA, DESTINADO AO CONTROLE DE VELOCIDADE, TORQUE E FREQUÊNCIA DE MOTORES ELÉTRICOS, OPERANDO POR CONVERSÃO DE CORRENTE ALTERNADA EM CORRENTE CONTÍNUA E POSTERIOR RECONVERSÃO EM CORRENTE ALTERNADA COM PARÂMETROS VARIÁVEIS, POTÊNCIA DE XX KW, TENSÃO DE ALIMENTAÇÃO DE 200 A 240 V - Ref. 4020503790</v>
          </cell>
        </row>
        <row r="4290">
          <cell r="B4290">
            <v>4020503680</v>
          </cell>
          <cell r="C4290">
            <v>4020503680</v>
          </cell>
          <cell r="E4290">
            <v>85159000</v>
          </cell>
          <cell r="G4290">
            <v>85159000</v>
          </cell>
          <cell r="H4290" t="str">
            <v>COMPONENTE MECÂNICO METÁLICO N02008030011B DO TIPO CALHA COM CANAIS INTERNOS, CONSTITUÍDO PREDOMINANTEMENTE POR AÇO, APRESENTADO COMO PARTE DE MÁQUINA DE SOLDAGEM POR ONDA SUNEAST/Nitto, DESTINADO AO DIRECIONAMENTO, CONTROLE E ESTABILIZAÇÃO DO FLUXO DE METAL FUNDIDO, OPERANDO POR CONDUÇÃO HIDRÁULICA EM SISTEMA TÉRMICO DE FORMAÇÃO DE ONDA DE SOLDA.</v>
          </cell>
        </row>
        <row r="4291">
          <cell r="B4291">
            <v>4020500120</v>
          </cell>
          <cell r="C4291">
            <v>4020500120</v>
          </cell>
          <cell r="E4291">
            <v>85159000</v>
          </cell>
          <cell r="G4291">
            <v>85159000</v>
          </cell>
          <cell r="H4291" t="str">
            <v>COMPONENTE MECÂNICO METÁLICO DO TIPO TRILHO TRANSPORTADOR PEAK350‑07‑05, CONSTITUÍDO PREDOMINANTEMENTE POR AÇO, APRESENTADO COMO PARTE DE MÁQUINA DE SOLDAGEM POR ONDA Nitto/SUN EAST, DESTINADO AO SUPORTE, GUIA E DESLOCAMENTO DE PLACAS DE CIRCUITO IMPRESSO AO LONGO DO PROCESSO INDUSTRIAL, OPERANDO POR MOVIMENTAÇÃO MECÂNICA CONTROLADA EM SISTEMA DE TRANSPORTE LINEAR.</v>
          </cell>
        </row>
        <row r="4292">
          <cell r="B4292">
            <v>4020500130</v>
          </cell>
          <cell r="C4292">
            <v>4020500130</v>
          </cell>
          <cell r="E4292">
            <v>84135090</v>
          </cell>
          <cell r="G4292">
            <v>84135090</v>
          </cell>
          <cell r="H4292" t="str">
            <v>A bomba de processo SMC PB1011‑01 é um componente utilizado no módulo de aplicação de fluxo (fluxer) das máquinas de solda por onda Nitto/SUN EAST.
Sua função é transferir o fluxo líquido do reservatório para o sistema de atomização, assegurando alimentação constante, controle de vazão e estabilidade na aplicação sobre a PCB antes do pré‑aquecimento.</v>
          </cell>
        </row>
        <row r="4293">
          <cell r="B4293">
            <v>4020503800</v>
          </cell>
          <cell r="C4293">
            <v>4020503800</v>
          </cell>
          <cell r="E4293">
            <v>85015110</v>
          </cell>
          <cell r="G4293">
            <v>85015110</v>
          </cell>
          <cell r="H4293" t="str">
            <v>MOTOR FM150L‑2 ELÉTRICO DE CORRENTE ALTERNADA DO TIPO INDUÇÃO TRIFÁSICO, CONSTITUÍDO POR CARCAÇA METÁLICA E COMPONENTES ELETROMAGNÉTICOS, APRESENTADO COMO UNIDADE AUTÔNOMA, DESTINADO À CONVERSÃO DE ENERGIA ELÉTRICA EM ENERGIA MECÂNICA PARA ACIONAMENTO DE MECANISMOS INDUSTRIAIS, OPERANDO POR CAMPO MAGNÉTICO ROTATIVO, COM POTÊNCIA DE 150 W E TENSÃO DE 220/380 V.</v>
          </cell>
        </row>
        <row r="4294">
          <cell r="B4294" t="str">
            <v>HXAP1000R31043-CEMIG</v>
          </cell>
          <cell r="C4294" t="str">
            <v>HXAP1000R31043-CEMIG</v>
          </cell>
          <cell r="E4294">
            <v>85176241</v>
          </cell>
          <cell r="G4294">
            <v>85176241</v>
          </cell>
          <cell r="H4294" t="str">
            <v>ROTEADORES DE BORDA,DIGITAIS, PARA COMUNICACAO BIDIRECIONAL DE DADOS SEM FIO (RECEPCAO, CONVERSAO E TRANSMISSAO), DIGITAIS, EMISSORES DE RADIO FREQUENCIA COM RECEPTOR INCORPORADO, CAPAZES DE OPERAR NA FAIXA ISM DE FREQUENCIAS 902 A 928 MHZ, COM TAXA DE TRANSMISSAO DE ATE 300 KBPS, COMPATIVEIS COM O PADRAO WISUN E IEEE802.15.4G, OPERANDO EM TOPOLOGIA "MESH" OU "ESTRELA" COM ESPALHAMENTO ESPECTRAL POR SALTO EM FREQUENCIA (FHSS), ENDERECAMENTO IPV6 E POTENCIA DE TRANSMISSAO DE ATE +30DBM,  POSSUINDO AINDA, ALIMENTACAO "FULL-RANGE" 110 ~ 240 VAC,ANO DE FABRICACAO XXXX, NUMEROS DE SERIE YYYY A ZZZZ, MODELO MMMM, MARCA LLLL.</v>
          </cell>
        </row>
        <row r="4295">
          <cell r="B4295">
            <v>4032502310</v>
          </cell>
          <cell r="C4295">
            <v>4032502310</v>
          </cell>
          <cell r="E4295">
            <v>90289010</v>
          </cell>
          <cell r="G4295">
            <v>90289010</v>
          </cell>
          <cell r="H4295" t="str">
            <v>ADAPTADOR DE CONEXÃO PARA CONTROLADOR DE ILUMINAÇÃO PÚBLICA PADRÃO NEMA, COMPOSTO POR BASE ISOLANTE, SOQUETE, BORNEIRAS, CHICOTE ELÉTRICO E PLACA DE INTERFACE, DESTINADO À ADAPTAÇÃO DA CONEXÃO ELÉTRICA ENTRE CONTROLADOR E BANCADA DE ENSAIO DE MEDIDORES DE ENERGIA ELÉTRICA.</v>
          </cell>
        </row>
        <row r="4296">
          <cell r="B4296">
            <v>3028010910</v>
          </cell>
          <cell r="C4296">
            <v>3028010910</v>
          </cell>
          <cell r="E4296">
            <v>90289090</v>
          </cell>
          <cell r="G4296">
            <v>90289090</v>
          </cell>
          <cell r="H4296" t="str">
            <v>DISPOSITIVO RETIFICADOR DE FLUXO PARA MEDIDORES DE ÁGUA (PARTES E ACESSÓRIOS PARA CONTADORES DE LÍQUIDOS)</v>
          </cell>
        </row>
        <row r="4297">
          <cell r="B4297" t="str">
            <v>HXD811-F40.R310</v>
          </cell>
          <cell r="E4297">
            <v>85371090</v>
          </cell>
          <cell r="G4297">
            <v>85371090</v>
          </cell>
          <cell r="H4297" t="str">
            <v>CONTROLADOR ELETROELETRÔNICO MICROPROCESSADO, EM GABINETE DE AÇO INOX, PARA COMANDO, PROTEÇÃO, SUPERVISÃO E AUTOMAÇÃO DE RELIGADOR AUTOMÁTICO TRIFÁSICO DE MÉDIA TENSÃO, COM INTERFACES DE COMUNICAÇÃO, ENTRADAS E SAÍDAS DIGITAIS, FIRMWARE DEDICADO, ALIMENTAÇÃO 95–265 VAC E TENSÃO DE COMANDO 24 VDC.</v>
          </cell>
        </row>
        <row r="4298">
          <cell r="B4298">
            <v>3028000910</v>
          </cell>
          <cell r="C4298">
            <v>3028000910</v>
          </cell>
          <cell r="E4298">
            <v>90289090</v>
          </cell>
          <cell r="G4298">
            <v>90289090</v>
          </cell>
          <cell r="H4298" t="str">
            <v>DISPOSITIVO RETIFICADOR DE FLUXO PARA MEDIDORES DE ÁGUA (PARTES E ACESSÓRIOS PARA CONTADORES DE LÍQUIDOS)</v>
          </cell>
        </row>
        <row r="4299">
          <cell r="B4299" t="str">
            <v>HXB8023Z.R330</v>
          </cell>
          <cell r="C4299" t="str">
            <v>HXB8023Z.R330</v>
          </cell>
          <cell r="E4299">
            <v>90289010</v>
          </cell>
          <cell r="H4299" t="str">
            <v xml:space="preserve">PLACA DE CIRCUITO IMPRESSO C/ COMPONENTES ELET. MONTADOS P/ MEDID. DE ENERGIA ELETRICA ZEUS NG+ BIFASICO(2P3W) TC SHUNT </v>
          </cell>
        </row>
        <row r="4300">
          <cell r="B4300" t="str">
            <v>565FCC1100</v>
          </cell>
          <cell r="C4300" t="str">
            <v>565FCC1100</v>
          </cell>
          <cell r="E4300">
            <v>90282020</v>
          </cell>
          <cell r="G4300">
            <v>90282020</v>
          </cell>
          <cell r="H4300" t="str">
            <v>HIDROMETRO ULTRASSONICO (CONTADOR DE LIQUIDOS) INDUSTRIAL COM CARCACA DE ACO INOXIDAVEL, DIAMETRO NOMINAL DE 250MM, COMPRIMENTO 450 MM, VAZAO DE 630 M3/H, R500, PN16 COM SAIDA DE PULSO, COM PESO LIQUIDO UNITARIO APROXIMADO ENTRE 65,0 KG E 70,0 KG</v>
          </cell>
        </row>
        <row r="4301">
          <cell r="B4301" t="str">
            <v>565GCD1100</v>
          </cell>
          <cell r="C4301" t="str">
            <v>565GCD1100</v>
          </cell>
          <cell r="E4301">
            <v>90282020</v>
          </cell>
          <cell r="G4301">
            <v>90282020</v>
          </cell>
          <cell r="H4301" t="str">
            <v>HIDROMETRO ULTRASSONICO (CONTADOR DE LIQUIDOS) INDUSTRIAL COM CARCACA DE ACO INOXIDAVEL, DIAMETRO NOMINAL DE 300MM, COMPRIMENTO 500 MM, VAZAO DE 1000 M3/H, R500, PN16 COM SAIDA DE PULSO, COM PESO LIQUIDO UNITARIO APROXIMADO ENTRE 85,0 KG E 90,0 KG.</v>
          </cell>
        </row>
        <row r="4302">
          <cell r="B4302" t="str">
            <v>HSD100R51001-COMM</v>
          </cell>
          <cell r="C4302" t="str">
            <v>HSD100R51001-COMM</v>
          </cell>
          <cell r="E4302">
            <v>85176259</v>
          </cell>
          <cell r="H4302" t="str">
            <v>DISPOSITIVO ELETRÔNICO DE COMUNICAÇÃO SEM FIO DO TIPO CONVERSOR/GATEWAY, CONSTITUÍDO POR CIRCUITOS ELETRÔNICOS INTEGRADOS COM MÓDULOS DE TRANSMISSÃO E RECEPÇÃO DE DADOS EM RADIOFREQUÊNCIA, COMPATÍVEL COM AS TECNOLOGIAS BLUETOOTH, WI-FI E WI-SUN NA FAIXA DE 915 MHZ, DOTADO DE ANTENA EXTERNA COM CABO DE 1 METRO, INTERFACE USB TIPO A PARA TIPO C PARA ALIMENTAÇÃO E COMUNICAÇÃO, COM BATERIA INTERNA, DESTINADO À CONVERSÃO, TRANSMISSÃO E RECEPÇÃO DE DADOS ENTRE REDES SEM FIO EM APLICAÇÕES DE COMUNICAÇÃO DIGITAL</v>
          </cell>
        </row>
        <row r="4303">
          <cell r="B4303">
            <v>4010402780</v>
          </cell>
          <cell r="H4303" t="str">
            <v>CAIXA DE MATERIAL DE PLASTICO, ANTIESTATICA (ESD), PARA ACOMODACAO E TRANSPORTE DE COMPONENTES ELETRONICOS TAMANHO: 210 x 125 x 67 mm</v>
          </cell>
        </row>
        <row r="4304">
          <cell r="B4304">
            <v>2010101860</v>
          </cell>
          <cell r="C4304">
            <v>2010101860</v>
          </cell>
          <cell r="E4304">
            <v>85332120</v>
          </cell>
          <cell r="H4304" t="str">
            <v>RESISTOR 39KO 1% 100PPM 1/16W 0402  (2010101860) SMT</v>
          </cell>
        </row>
        <row r="4305">
          <cell r="B4305" t="str">
            <v>MJN72R12102-EGISA</v>
          </cell>
          <cell r="C4305" t="str">
            <v>MJN72R12102-EGISA</v>
          </cell>
          <cell r="E4305">
            <v>85176272</v>
          </cell>
          <cell r="H4305" t="str">
            <v>Módulos de comunicação bidirecional de dados sem fio (recepção, conversão e transmissão), digitais, emissores de rádio frequência com receptor incorporado, capazes de operar na faixa ISM de frequências 902 a 928 MHz, com taxa de transmissão de até 150 Kbps, compatíveis com o padrão WiSUN FAN 1.0 e IEEE802.15.4g, para medidores inteligentes de energia elétrica, operando em topologia "Mesh" ou "Estrela" com espalhamento espectral por salto em frequência (FHSS), endereçamento IPv6 e potência de transmissão de até +30dBm, com interface de comunicação de dados serial TTL, alimentação 15VDC e modelo MJN72R12102.</v>
          </cell>
        </row>
        <row r="4306">
          <cell r="B4306" t="str">
            <v>HXAP1000.R212</v>
          </cell>
          <cell r="C4306" t="str">
            <v>HXAP1000.R212</v>
          </cell>
          <cell r="H4306" t="str">
            <v xml:space="preserve">ACCESS POINT SINGLE AP-BR/RJ45/WI-FI COM BATERIA COM MODULO 4G MODELO HXAP1000.R212                                     </v>
          </cell>
        </row>
        <row r="4307">
          <cell r="B4307">
            <v>4030414400</v>
          </cell>
          <cell r="C4307">
            <v>4030414400</v>
          </cell>
          <cell r="E4307">
            <v>40103500</v>
          </cell>
          <cell r="G4307">
            <v>40103500</v>
          </cell>
          <cell r="H4307" t="str">
            <v>CORREIA SINCRONIZADA DENTADA DE BORRACHA VULCANIZADA, REFORÇADA, PARA TRANSMISSAO MECANICA DE POTENCIA, DESTINADA A MAQUINA DE CORTE DE FIO</v>
          </cell>
        </row>
        <row r="4308">
          <cell r="B4308">
            <v>4030412560</v>
          </cell>
          <cell r="C4308">
            <v>4030412560</v>
          </cell>
          <cell r="E4308">
            <v>82119400</v>
          </cell>
          <cell r="G4308">
            <v>82119400</v>
          </cell>
          <cell r="H4308" t="str">
            <v>LAMINA DE CORTE EM ACO, PARA DECAPAGEM DE CABOS ELETRICOS, UTILIZADA EM MAQUINA DE CORTE E DECAPAGEM DE CABOS</v>
          </cell>
        </row>
        <row r="4309">
          <cell r="B4309">
            <v>4030412730</v>
          </cell>
          <cell r="C4309">
            <v>4030412730</v>
          </cell>
          <cell r="E4309">
            <v>40169300</v>
          </cell>
          <cell r="G4309">
            <v>40169300</v>
          </cell>
          <cell r="H4309" t="str">
            <v>JUNTA DE VEDACAO TIPO O-RING DE BORRACHA VULCANIZADA NAO ENDURECIDA, DN15</v>
          </cell>
        </row>
        <row r="4310">
          <cell r="B4310">
            <v>4030413010</v>
          </cell>
          <cell r="C4310">
            <v>4030413010</v>
          </cell>
          <cell r="E4310">
            <v>40169300</v>
          </cell>
          <cell r="G4310">
            <v>40169300</v>
          </cell>
          <cell r="H4310" t="str">
            <v>JUNTA DE VEDACAO TIPO O-RING DE BORRACHA VULCANIZADA NAO ENDURECIDA, DN20</v>
          </cell>
        </row>
        <row r="4311">
          <cell r="B4311">
            <v>4020610330</v>
          </cell>
          <cell r="C4311">
            <v>4020610330</v>
          </cell>
          <cell r="E4311">
            <v>40169300</v>
          </cell>
          <cell r="G4311">
            <v>40169300</v>
          </cell>
          <cell r="H4311" t="str">
            <v>JUNTA DE VEDACAO DE BORRACHA VULCANIZADA NAO ENDURECIDA, DN15</v>
          </cell>
        </row>
        <row r="4312">
          <cell r="B4312">
            <v>4020610340</v>
          </cell>
          <cell r="C4312">
            <v>4020610340</v>
          </cell>
          <cell r="E4312">
            <v>40169300</v>
          </cell>
          <cell r="G4312">
            <v>40169300</v>
          </cell>
          <cell r="H4312" t="str">
            <v>JUNTA DE VEDACAO DE BORRACHA VULCANIZADA NAO ENDURECIDA, DN20</v>
          </cell>
        </row>
        <row r="4313">
          <cell r="B4313">
            <v>4020610350</v>
          </cell>
          <cell r="C4313">
            <v>4020610350</v>
          </cell>
          <cell r="E4313">
            <v>40169300</v>
          </cell>
          <cell r="G4313">
            <v>40169300</v>
          </cell>
          <cell r="H4313" t="str">
            <v>JUNTA DE VEDACAO DE BORRACHA VULCANIZADA NAO ENDURECIDA, DN25</v>
          </cell>
        </row>
        <row r="4314">
          <cell r="B4314" t="str">
            <v>HXCRJR11000</v>
          </cell>
          <cell r="C4314" t="str">
            <v>HXCRJR11000</v>
          </cell>
          <cell r="E4314">
            <v>85447090</v>
          </cell>
          <cell r="G4314">
            <v>85447090</v>
          </cell>
          <cell r="H4314" t="str">
            <v>CABO DE FIBRAS OPTICAS, PROVIDO DE CONECTORES, UTILIZADO PARA TRANSMISSAO DE SINAIS ENTRE EQUIPAMENTOS DE BANCADA DE CALIBRACAO</v>
          </cell>
        </row>
        <row r="4315">
          <cell r="B4315">
            <v>4020612330</v>
          </cell>
          <cell r="C4315">
            <v>4020612330</v>
          </cell>
          <cell r="E4315">
            <v>84818095</v>
          </cell>
          <cell r="G4315">
            <v>84818095</v>
          </cell>
          <cell r="H4315" t="str">
            <v>VALVULA TIPO ESFERA PARA CONTROLE DO FLUXO DE AGUA, DN15, ACIONADA POR ATUADOR PNEUMATICO, FORNECIDA COMPLETA</v>
          </cell>
        </row>
        <row r="4316">
          <cell r="B4316">
            <v>4020612320</v>
          </cell>
          <cell r="C4316">
            <v>4020612320</v>
          </cell>
          <cell r="E4316">
            <v>84818095</v>
          </cell>
          <cell r="G4316">
            <v>84818095</v>
          </cell>
          <cell r="H4316" t="str">
            <v>VALVULA TIPO ESFERA PARA CONTROLE DO FLUXO DE AGUA, DN25, ACIONADA POR ATUADOR PNEUMATICO, FORNECIDA COMPLETA</v>
          </cell>
        </row>
        <row r="4317">
          <cell r="B4317">
            <v>4030604720</v>
          </cell>
          <cell r="C4317">
            <v>4030604720</v>
          </cell>
          <cell r="E4317">
            <v>84137090</v>
          </cell>
          <cell r="G4317">
            <v>84137090</v>
          </cell>
          <cell r="H4317" t="str">
            <v>BOMBA CENTRIFUGA ELETRICA PARA CIRCULACAO DE AGUA, POTENCIA DE 11 Kw</v>
          </cell>
        </row>
        <row r="4318">
          <cell r="B4318">
            <v>4020308310</v>
          </cell>
          <cell r="C4318">
            <v>4020308310</v>
          </cell>
          <cell r="E4318">
            <v>84798210</v>
          </cell>
          <cell r="G4318">
            <v>84798210</v>
          </cell>
          <cell r="H4318" t="str">
            <v>MISTURADOR DINAMICO PARA MISTURA CONTINUA DE RESINA BICOMPONENTE, UTILIZADO EM PROCESSO INDUSTRIAL, EQUIPAMENTO INDEPENDENTE</v>
          </cell>
        </row>
        <row r="4319">
          <cell r="B4319">
            <v>4020119690</v>
          </cell>
          <cell r="C4319">
            <v>4020119690</v>
          </cell>
          <cell r="E4319">
            <v>85371090</v>
          </cell>
          <cell r="G4319">
            <v>85371090</v>
          </cell>
          <cell r="H4319" t="str">
            <v>MODULO ELETRONICO DE COMANDO COM INTERFACE HOMEM-MAQUINA (IHM), ALIMENTACAO DE 5 V, PARA OPERACAO DE MAQUINA DE DOSAGEM E APLICACAO DE RESINA</v>
          </cell>
        </row>
        <row r="4320">
          <cell r="B4320">
            <v>7020705450</v>
          </cell>
          <cell r="C4320">
            <v>7020705450</v>
          </cell>
          <cell r="E4320">
            <v>84798999</v>
          </cell>
          <cell r="G4320">
            <v>84798999</v>
          </cell>
          <cell r="H4320" t="str">
            <v>MAQUINA AUTOMATICA DE PARAFUSAMENTO, ACIONADA POR MOTOR ELETRICO, UTILIZADA NA MONTAGEM DA PLACA DE PRESSAO DO TUBO DE AGUA EM HIDROMETROS.</v>
          </cell>
        </row>
        <row r="4321">
          <cell r="B4321" t="str">
            <v>HXEJ201R23008</v>
          </cell>
          <cell r="C4321" t="str">
            <v>HXEJ201R23008</v>
          </cell>
          <cell r="E4321">
            <v>90283031</v>
          </cell>
          <cell r="G4321">
            <v>90283031</v>
          </cell>
          <cell r="H4321" t="str">
            <v>MEDIDOR  DE ENERGIA ( CONTADOR DE ELETRICIDADE) TRIFASICO DIGITAL DE CONEXAO INDIRETA PARA MONITORAMENTO DE TRANSFORMADORES DE DISTRIBUICAO E BALANCO DE ENERGIA ELETRICA, TECNOLOGIA DE MEDICAO INDIRETA DE CORRETA SE DAR PELO USO DE BOBINAS DE ROGOWSKI. (HXEJ201R23008)</v>
          </cell>
        </row>
        <row r="4322">
          <cell r="B4322">
            <v>5210200580</v>
          </cell>
          <cell r="C4322">
            <v>5210200580</v>
          </cell>
          <cell r="E4322">
            <v>90289090</v>
          </cell>
          <cell r="G4322">
            <v>90289090</v>
          </cell>
          <cell r="H4322" t="str">
            <v>TUBO DE COBRE (CARCACA) A BASE DE COBREZINCO (LATAO), MONTADO, PARA USO EM HIDROMETROS RESIDENCIAIS COM SECAO DE TRANSVERSAL DE 20mm E COMPRIMENTO DE 190mm.</v>
          </cell>
        </row>
        <row r="4323">
          <cell r="B4323">
            <v>3080104460</v>
          </cell>
          <cell r="C4323">
            <v>3080104460</v>
          </cell>
          <cell r="D4323">
            <v>3080104460</v>
          </cell>
          <cell r="E4323">
            <v>40169300</v>
          </cell>
          <cell r="F4323" t="str">
            <v>Need to update benefit</v>
          </cell>
          <cell r="G4323">
            <v>40169300</v>
          </cell>
          <cell r="H4323" t="str">
            <v>GAXETA DE VEDACAO DE MATERIAL BORRACHA VULCANIZADA NAO ENDURECIDA PARA PROTECAO DE LEDS DE HIDROMETROS (CONTADORES DE LIQUIDOS) INDUSTRIAIS, COR PRETA, DIAMETRO EXTERNO DE 7MM, DIAMETRO INTERNO DE 5MM, DISTANCIA ENTRE CENTROS DE 6,5MM E ALTURA DE 10MM.</v>
          </cell>
        </row>
        <row r="4324">
          <cell r="B4324">
            <v>302031005902</v>
          </cell>
          <cell r="C4324">
            <v>302031005902</v>
          </cell>
          <cell r="E4324">
            <v>90289010</v>
          </cell>
          <cell r="G4324">
            <v>90289010</v>
          </cell>
          <cell r="H4324" t="str">
            <v xml:space="preserve">TAMPA PLASTICA MEDIDOR HXE12DL                                                                                          </v>
          </cell>
        </row>
        <row r="4325">
          <cell r="B4325">
            <v>302012996902</v>
          </cell>
          <cell r="C4325">
            <v>302012996902</v>
          </cell>
          <cell r="E4325">
            <v>90289010</v>
          </cell>
          <cell r="G4325">
            <v>90289010</v>
          </cell>
          <cell r="H4325" t="str">
            <v>BASE PLASTICA MEDIDOR HXE12DL</v>
          </cell>
        </row>
        <row r="4326">
          <cell r="B4326">
            <v>3020308989</v>
          </cell>
          <cell r="C4326">
            <v>3020308989</v>
          </cell>
          <cell r="E4326">
            <v>90289010</v>
          </cell>
          <cell r="G4326">
            <v>90289010</v>
          </cell>
          <cell r="H4326" t="str">
            <v>TAMPA PLASTICA MEDIDOR ZEUS NG 1P</v>
          </cell>
        </row>
        <row r="4327">
          <cell r="B4327">
            <v>302012935001</v>
          </cell>
          <cell r="C4327">
            <v>302012935001</v>
          </cell>
          <cell r="E4327">
            <v>90289010</v>
          </cell>
          <cell r="G4327">
            <v>90289010</v>
          </cell>
          <cell r="H4327" t="str">
            <v>BASE PLASTICA MEDIDOR ZEUS NG 1P</v>
          </cell>
        </row>
        <row r="4328">
          <cell r="B4328">
            <v>302013108901</v>
          </cell>
          <cell r="C4328">
            <v>302013108901</v>
          </cell>
          <cell r="E4328">
            <v>90289010</v>
          </cell>
          <cell r="G4328">
            <v>90289010</v>
          </cell>
          <cell r="H4328" t="str">
            <v>TAMPA PLASTICA MEDIDOR NG 3P</v>
          </cell>
        </row>
        <row r="4329">
          <cell r="B4329">
            <v>302031026901</v>
          </cell>
          <cell r="C4329">
            <v>302031026901</v>
          </cell>
          <cell r="E4329">
            <v>90289010</v>
          </cell>
          <cell r="G4329">
            <v>90289010</v>
          </cell>
          <cell r="H4329" t="str">
            <v>TAMPA PARA MEDIDOR DE ENERGIA ELETRICA TRIFASICO NG 702</v>
          </cell>
        </row>
        <row r="4330">
          <cell r="B4330">
            <v>302031213901</v>
          </cell>
          <cell r="C4330">
            <v>302031213901</v>
          </cell>
          <cell r="E4330">
            <v>90289010</v>
          </cell>
          <cell r="G4330">
            <v>90289010</v>
          </cell>
          <cell r="H4330" t="str">
            <v>TAMPA PARA MEDIDOR DE ENERGIA ELETRICA PANTHEON NG-MM</v>
          </cell>
        </row>
        <row r="4331">
          <cell r="B4331">
            <v>302103154901</v>
          </cell>
          <cell r="C4331">
            <v>302103154901</v>
          </cell>
          <cell r="E4331">
            <v>90289010</v>
          </cell>
          <cell r="G4331">
            <v>90289010</v>
          </cell>
          <cell r="H4331" t="str">
            <v>BASE PLASTICA MEDIDOR PANTHEON 1P</v>
          </cell>
        </row>
        <row r="4332">
          <cell r="B4332">
            <v>2060700221</v>
          </cell>
          <cell r="E4332">
            <v>85412120</v>
          </cell>
          <cell r="G4332">
            <v>85412120</v>
          </cell>
        </row>
        <row r="4333">
          <cell r="B4333">
            <v>2090700501</v>
          </cell>
          <cell r="E4333">
            <v>85311090</v>
          </cell>
          <cell r="G4333">
            <v>85311090</v>
          </cell>
        </row>
        <row r="4334">
          <cell r="B4334">
            <v>3080900410</v>
          </cell>
          <cell r="E4334">
            <v>40169990</v>
          </cell>
          <cell r="G4334">
            <v>40169990</v>
          </cell>
        </row>
        <row r="4335">
          <cell r="B4335" t="str">
            <v>HXWSG100R21114CELESC</v>
          </cell>
          <cell r="C4335" t="str">
            <v>HXWSG100R21114CELESC</v>
          </cell>
          <cell r="E4335">
            <v>85176272</v>
          </cell>
          <cell r="G4335">
            <v>85176272</v>
          </cell>
          <cell r="H4335" t="str">
            <v>REPETIDORES DE SINAL DE RADIO FREQUENCIA, PARA COMUNICACAO BIDIRECIONAL DE DADOS SEM FIO (RECEPCAO, CONVERSAO E TRANSMISSAO), DIGITAIS, EMISSORES DE RADIO FREQUENCIA COM RECEPTOR INCORPORADO, CAPAZES DE OPERAR NA FAIXA ISM DE FREQUENCIAS 902 A 928 MHZ, COM TAXA DE TRANSMISSAO DE ATE 50 KBPS, COMPATIVEIS COM O PADRAO WISUN E LORA, OPERANDO EM TOPOLOGIA "MESH" OU "ESTRELA" COM ESPALHAMENTO ESPECTRAL POR SALTO EM FREQUENCIA (FHSS), ENDERECAMENTO IPV6 E POTENCIA DE TRANSMISSAO DE ATE +30DBM, POSSUINDO AINDA, ALIMENTACAO "FULL-RANGE" 90 ~ 288 VAC.</v>
          </cell>
        </row>
        <row r="4336">
          <cell r="B4336" t="str">
            <v>HXAP1000R31013CELESC</v>
          </cell>
          <cell r="C4336" t="str">
            <v>HXAP1000R31013CELESC</v>
          </cell>
          <cell r="E4336">
            <v>85176241</v>
          </cell>
          <cell r="G4336">
            <v>85176241</v>
          </cell>
          <cell r="H4336" t="str">
            <v>ROTEADORES DE BORDA,DIGITAIS, PARA COMUNICACAO BIDIRECIONAL DE DADOS SEM FIO (RECEPCAO, CONVERSAO E TRANSMISSAO), DIGITAIS, EMISSORES DE RADIO FREQUENCIA COM RECEPTOR INCORPORADO, CAPAZES DE OPERAR NA FAIXA ISM DE FREQUENCIAS 902 A 928 MHZ, COM TAXA DE TRANSMISSAO DE ATE 300 KBPS, COMPATIVEIS COM O PADRAO WISUN E IEEE802.15.4G, OPERANDO EM TOPOLOGIA "MESH" OU "ESTRELA" COM ESPALHAMENTO ESPECTRAL POR SALTO EM FREQUENCIA (FHSS), ENDERECAMENTO IPV6 E POTENCIA DE TRANSMISSAO DE ATE +30DBM,  POSSUINDO AINDA, ALIMENTACAO "FULL-RANGE" 110 ~ 240 VAC,ANO DE FABRICACAO XXXX, NUMEROS DE SERIE YYYY A ZZZZ, MODELO MMMM, MARCA LLLL.</v>
          </cell>
        </row>
        <row r="4337">
          <cell r="B4337" t="str">
            <v>MJN72R12222-CELESC</v>
          </cell>
          <cell r="C4337" t="str">
            <v>MJN72R12222-CELESC</v>
          </cell>
          <cell r="E4337">
            <v>85176272</v>
          </cell>
          <cell r="G4337">
            <v>85176272</v>
          </cell>
          <cell r="H4337" t="str">
            <v>MODULO DE COMUNICACAO BIDIRECIONAL DE DADOS SEM FIO, DIGITAL, EMISSOR DE RADIO FREQUENCIA COM RECEPTOR INCORPORADO, MODELO MJN72R12222-CELESC, PARA INTEGRACAO EM MEDIDORES INTELIGENTES DE ENERGIA ELETRICA. OPERA NA FAIXA ISM DE 902 A 928 MHZ, COM TAXA DE TRANSMISSAO DE ATE 2,4 MBPS, COMPATIVEL COM PADRAO WI-SUN 1.1 E IEEE 802.15.4G, TOPOLOGIAS MESH OU ESTRELA, COM ESPALHAMENTO ESPECTRAL POR SALTO EM FREQUENCIA (FHSS), ENDERECAMENTO IPV6, POTENCIA DE TRANSMISSAO ATE +30 DBM, INTERFACE SERIAL TTL, ALIMENTACAO 15 VDC, ANTENA EXTERNA OU CURTA, COM PKI</v>
          </cell>
        </row>
        <row r="4338">
          <cell r="B4338" t="str">
            <v>MJN72R12221-CELESC</v>
          </cell>
          <cell r="C4338" t="str">
            <v>MJN72R12221-CELESC</v>
          </cell>
          <cell r="E4338">
            <v>85176272</v>
          </cell>
          <cell r="G4338">
            <v>85176272</v>
          </cell>
          <cell r="H4338" t="str">
            <v>MODULO DE COMUNICACAO BIDIRECIONAL DE DADOS SEM FIO, DIGITAL, EMISSOR DE RADIO FREQUENCIA COM RECEPTOR INCORPORADO, MODELO MJN72R12221-CELESC, PARA INTEGRACAO EM MEDIDORES INTELIGENTES DE ENERGIA ELETRICA. OPERA NA FAIXA ISM DE 902 A 928 MHZ, COM TAXA DE TRANSMISSAO DE ATE 2.4 MBPS, COMPATIVEL COM PADRAO WI-SUN 1.1 E IEEE 802.15.4G, TOPOLOGIAS MESH OU ESTRELA, COM ESPALHAMENTO ESPECTRAL POR SALTO EM FREQUENCIA (FHSS), ENDERECAMENTO IPV6, POTENCIA DE TRANSMISSAO ATE +30 DBM, INTERFACE SERIAL TTL, ALIMENTACAO 15 VDC, ANTENA EMBUTIDA, COM PKI.</v>
          </cell>
        </row>
        <row r="4339">
          <cell r="B4339">
            <v>3020911649</v>
          </cell>
          <cell r="C4339">
            <v>3020911649</v>
          </cell>
          <cell r="E4339">
            <v>90289010</v>
          </cell>
          <cell r="G4339">
            <v>90289010</v>
          </cell>
          <cell r="H4339" t="str">
            <v>BASE DE PLÁSTICO PARA MODULO DE COMUNICAÇÃO DO MEDIDOR DE ENERGIA ELÉTRICA MODELO ZEUS NG TRIFASICO, PARTE UTILIZADA NA MONTAGEM DE MEDIDOR ELETRÔNICO DE ELETRICIDADE</v>
          </cell>
        </row>
        <row r="4340">
          <cell r="B4340">
            <v>3020911659</v>
          </cell>
          <cell r="C4340">
            <v>3020911659</v>
          </cell>
          <cell r="E4340">
            <v>90289010</v>
          </cell>
          <cell r="G4340">
            <v>90289010</v>
          </cell>
          <cell r="H4340" t="str">
            <v>TAMPA DE PLÁSTICO PARA BLOCO DE TERMINAIS DO MEDIDOR DE ENERGIA ELÉTRICA MODELO ZEUS NG TRIFASICO, PARTE UTILIZADA NA MONTAGEM DE MEDIDOR ELETRÔNICO DE ELETRICIDADE</v>
          </cell>
        </row>
        <row r="4341">
          <cell r="B4341">
            <v>3020309079</v>
          </cell>
          <cell r="C4341">
            <v>3020309079</v>
          </cell>
          <cell r="E4341">
            <v>90289010</v>
          </cell>
          <cell r="G4341">
            <v>90289010</v>
          </cell>
          <cell r="H4341" t="str">
            <v>TAMPA DE PLÁSTICO PARA MEDIDOR DE ENERGIA ELÉTRICA MODELO ZEUS NG TRIFASICO, PARTE UTILIZADA NA MONTAGEM DE MEDIDOR ELETRÔNICO DE ELETRICIDADE</v>
          </cell>
        </row>
        <row r="4342">
          <cell r="B4342">
            <v>3020129399</v>
          </cell>
          <cell r="C4342">
            <v>3020129399</v>
          </cell>
          <cell r="E4342">
            <v>90289010</v>
          </cell>
          <cell r="G4342">
            <v>90289010</v>
          </cell>
          <cell r="H4342" t="str">
            <v>BASE DE PLÁSTICO PARA MEDIDOR DE ENERGIA ELÉTRICA MODELO ZEUS NG TRIFASICO, PARTE UTILIZADA NA MONTAGEM DE MEDIDOR ELETRÔNICO DE ELETRICIDADE</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1">
          <cell r="C1" t="str">
            <v>HexingCode</v>
          </cell>
          <cell r="D1" t="str">
            <v>Currency</v>
          </cell>
          <cell r="E1" t="str">
            <v>Measure</v>
          </cell>
          <cell r="F1" t="str">
            <v>Price Updated</v>
          </cell>
        </row>
        <row r="2">
          <cell r="C2">
            <v>1010100350</v>
          </cell>
          <cell r="D2" t="str">
            <v>CNY</v>
          </cell>
          <cell r="E2" t="str">
            <v>G</v>
          </cell>
          <cell r="F2">
            <v>1.23585E-2</v>
          </cell>
        </row>
        <row r="3">
          <cell r="C3">
            <v>1010100020</v>
          </cell>
          <cell r="D3" t="str">
            <v>CNY</v>
          </cell>
          <cell r="E3" t="str">
            <v>G</v>
          </cell>
          <cell r="F3">
            <v>1.4679000000000001E-2</v>
          </cell>
        </row>
        <row r="4">
          <cell r="C4">
            <v>2010100030</v>
          </cell>
          <cell r="D4" t="str">
            <v>CNY</v>
          </cell>
          <cell r="E4" t="str">
            <v>PCS</v>
          </cell>
          <cell r="F4">
            <v>7.2344999999999996E-3</v>
          </cell>
        </row>
        <row r="5">
          <cell r="C5">
            <v>2010100040</v>
          </cell>
          <cell r="D5" t="str">
            <v>CNY</v>
          </cell>
          <cell r="E5" t="str">
            <v>PCS</v>
          </cell>
          <cell r="F5">
            <v>1.0416E-2</v>
          </cell>
        </row>
        <row r="6">
          <cell r="C6">
            <v>2010100050</v>
          </cell>
          <cell r="D6" t="str">
            <v>CNY</v>
          </cell>
          <cell r="E6" t="str">
            <v>PCS</v>
          </cell>
          <cell r="F6">
            <v>7.2344999999999996E-3</v>
          </cell>
        </row>
        <row r="7">
          <cell r="C7">
            <v>2010100060</v>
          </cell>
          <cell r="D7" t="str">
            <v>CNY</v>
          </cell>
          <cell r="E7" t="str">
            <v>PCS</v>
          </cell>
          <cell r="F7">
            <v>7.2344999999999996E-3</v>
          </cell>
        </row>
        <row r="8">
          <cell r="C8">
            <v>2010100070</v>
          </cell>
          <cell r="D8" t="str">
            <v>CNY</v>
          </cell>
          <cell r="E8" t="str">
            <v>PCS</v>
          </cell>
          <cell r="F8">
            <v>1.3891500000000001E-2</v>
          </cell>
        </row>
        <row r="9">
          <cell r="C9">
            <v>2010100080</v>
          </cell>
          <cell r="D9" t="str">
            <v>CNY</v>
          </cell>
          <cell r="E9" t="str">
            <v>PCS</v>
          </cell>
          <cell r="F9">
            <v>6.0900000000000003E-2</v>
          </cell>
        </row>
        <row r="10">
          <cell r="C10">
            <v>2010100100</v>
          </cell>
          <cell r="D10" t="str">
            <v>CNY</v>
          </cell>
          <cell r="E10" t="str">
            <v>PCS</v>
          </cell>
          <cell r="F10">
            <v>1.0500000000000001E-2</v>
          </cell>
        </row>
        <row r="11">
          <cell r="C11">
            <v>2010100130</v>
          </cell>
          <cell r="D11" t="str">
            <v>CNY</v>
          </cell>
          <cell r="E11" t="str">
            <v>PCS</v>
          </cell>
          <cell r="F11">
            <v>1.0500000000000001E-2</v>
          </cell>
        </row>
        <row r="12">
          <cell r="C12">
            <v>2010100140</v>
          </cell>
          <cell r="D12" t="str">
            <v>CNY</v>
          </cell>
          <cell r="E12" t="str">
            <v>PCS</v>
          </cell>
          <cell r="F12">
            <v>4.5149999999999996E-2</v>
          </cell>
        </row>
        <row r="13">
          <cell r="C13">
            <v>2010100150</v>
          </cell>
          <cell r="D13" t="str">
            <v>CNY</v>
          </cell>
          <cell r="E13" t="str">
            <v>PCS</v>
          </cell>
          <cell r="F13">
            <v>6.2370000000000004E-3</v>
          </cell>
        </row>
        <row r="14">
          <cell r="C14">
            <v>2010100160</v>
          </cell>
          <cell r="D14" t="str">
            <v>CNY</v>
          </cell>
          <cell r="E14" t="str">
            <v>PCS</v>
          </cell>
          <cell r="F14">
            <v>6.2370000000000004E-3</v>
          </cell>
        </row>
        <row r="15">
          <cell r="C15">
            <v>2010100170</v>
          </cell>
          <cell r="D15" t="str">
            <v>CNY</v>
          </cell>
          <cell r="E15" t="str">
            <v>PCS</v>
          </cell>
          <cell r="F15">
            <v>6.2370000000000004E-3</v>
          </cell>
        </row>
        <row r="16">
          <cell r="C16">
            <v>2010100180</v>
          </cell>
          <cell r="D16" t="str">
            <v>CNY</v>
          </cell>
          <cell r="E16" t="str">
            <v>PCS</v>
          </cell>
          <cell r="F16">
            <v>5.1869999999999999E-2</v>
          </cell>
        </row>
        <row r="17">
          <cell r="C17">
            <v>2010100190</v>
          </cell>
          <cell r="D17" t="str">
            <v>CNY</v>
          </cell>
          <cell r="E17" t="str">
            <v>PCS</v>
          </cell>
          <cell r="F17">
            <v>4.1055000000000006E-3</v>
          </cell>
        </row>
        <row r="18">
          <cell r="C18">
            <v>2010100200</v>
          </cell>
          <cell r="D18" t="str">
            <v>CNY</v>
          </cell>
          <cell r="E18" t="str">
            <v>PCS</v>
          </cell>
          <cell r="F18">
            <v>4.1055000000000006E-3</v>
          </cell>
        </row>
        <row r="19">
          <cell r="C19">
            <v>2010100210</v>
          </cell>
          <cell r="D19" t="str">
            <v>CNY</v>
          </cell>
          <cell r="E19" t="str">
            <v>PCS</v>
          </cell>
          <cell r="F19">
            <v>4.1055000000000006E-3</v>
          </cell>
        </row>
        <row r="20">
          <cell r="C20">
            <v>2010100230</v>
          </cell>
          <cell r="D20" t="str">
            <v>CNY</v>
          </cell>
          <cell r="E20" t="str">
            <v>PCS</v>
          </cell>
          <cell r="F20">
            <v>4.1055000000000006E-3</v>
          </cell>
        </row>
        <row r="21">
          <cell r="C21">
            <v>2010100240</v>
          </cell>
          <cell r="D21" t="str">
            <v>CNY</v>
          </cell>
          <cell r="E21" t="str">
            <v>PCS</v>
          </cell>
          <cell r="F21">
            <v>5.8905000000000008E-3</v>
          </cell>
        </row>
        <row r="22">
          <cell r="C22">
            <v>2010100250</v>
          </cell>
          <cell r="D22" t="str">
            <v>CNY</v>
          </cell>
          <cell r="E22" t="str">
            <v>PCS</v>
          </cell>
          <cell r="F22">
            <v>5.8905000000000008E-3</v>
          </cell>
        </row>
        <row r="23">
          <cell r="C23">
            <v>2010100260</v>
          </cell>
          <cell r="D23" t="str">
            <v>CNY</v>
          </cell>
          <cell r="E23" t="str">
            <v>PCS</v>
          </cell>
          <cell r="F23">
            <v>4.1055000000000006E-3</v>
          </cell>
        </row>
        <row r="24">
          <cell r="C24">
            <v>2010100270</v>
          </cell>
          <cell r="D24" t="str">
            <v>CNY</v>
          </cell>
          <cell r="E24" t="str">
            <v>PCS</v>
          </cell>
          <cell r="F24">
            <v>4.1055000000000006E-3</v>
          </cell>
        </row>
        <row r="25">
          <cell r="C25">
            <v>2010100280</v>
          </cell>
          <cell r="D25" t="str">
            <v>CNY</v>
          </cell>
          <cell r="E25" t="str">
            <v>PCS</v>
          </cell>
          <cell r="F25">
            <v>4.1055000000000006E-3</v>
          </cell>
        </row>
        <row r="26">
          <cell r="C26">
            <v>2010100300</v>
          </cell>
          <cell r="D26" t="str">
            <v>CNY</v>
          </cell>
          <cell r="E26" t="str">
            <v>PCS</v>
          </cell>
          <cell r="F26">
            <v>4.1055000000000006E-3</v>
          </cell>
        </row>
        <row r="27">
          <cell r="C27">
            <v>2010100310</v>
          </cell>
          <cell r="D27" t="str">
            <v>CNY</v>
          </cell>
          <cell r="E27" t="str">
            <v>PCS</v>
          </cell>
          <cell r="F27">
            <v>4.1055000000000006E-3</v>
          </cell>
        </row>
        <row r="28">
          <cell r="C28">
            <v>2010100320</v>
          </cell>
          <cell r="D28" t="str">
            <v>CNY</v>
          </cell>
          <cell r="E28" t="str">
            <v>PCS</v>
          </cell>
          <cell r="F28">
            <v>4.1055000000000006E-3</v>
          </cell>
        </row>
        <row r="29">
          <cell r="C29">
            <v>2010100340</v>
          </cell>
          <cell r="D29" t="str">
            <v>CNY</v>
          </cell>
          <cell r="E29" t="str">
            <v>PCS</v>
          </cell>
          <cell r="F29">
            <v>4.1055000000000006E-3</v>
          </cell>
        </row>
        <row r="30">
          <cell r="C30">
            <v>2010100350</v>
          </cell>
          <cell r="D30" t="str">
            <v>CNY</v>
          </cell>
          <cell r="E30" t="str">
            <v>PCS</v>
          </cell>
          <cell r="F30">
            <v>6.6464999999999996E-3</v>
          </cell>
        </row>
        <row r="31">
          <cell r="C31">
            <v>2010100370</v>
          </cell>
          <cell r="D31" t="str">
            <v>CNY</v>
          </cell>
          <cell r="E31" t="str">
            <v>PCS</v>
          </cell>
          <cell r="F31">
            <v>5.8905000000000008E-3</v>
          </cell>
        </row>
        <row r="32">
          <cell r="C32">
            <v>2010100380</v>
          </cell>
          <cell r="D32" t="str">
            <v>CNY</v>
          </cell>
          <cell r="E32" t="str">
            <v>PCS</v>
          </cell>
          <cell r="F32">
            <v>4.1055000000000006E-3</v>
          </cell>
        </row>
        <row r="33">
          <cell r="C33">
            <v>2010100390</v>
          </cell>
          <cell r="D33" t="str">
            <v>CNY</v>
          </cell>
          <cell r="E33" t="str">
            <v>PCS</v>
          </cell>
          <cell r="F33">
            <v>4.1055000000000006E-3</v>
          </cell>
        </row>
        <row r="34">
          <cell r="C34">
            <v>2010100400</v>
          </cell>
          <cell r="D34" t="str">
            <v>CNY</v>
          </cell>
          <cell r="E34" t="str">
            <v>PCS</v>
          </cell>
          <cell r="F34">
            <v>4.1055000000000006E-3</v>
          </cell>
        </row>
        <row r="35">
          <cell r="C35">
            <v>2010100410</v>
          </cell>
          <cell r="D35" t="str">
            <v>CNY</v>
          </cell>
          <cell r="E35" t="str">
            <v>PCS</v>
          </cell>
          <cell r="F35">
            <v>4.1055000000000006E-3</v>
          </cell>
        </row>
        <row r="36">
          <cell r="C36">
            <v>2010100420</v>
          </cell>
          <cell r="D36" t="str">
            <v>CNY</v>
          </cell>
          <cell r="E36" t="str">
            <v>PCS</v>
          </cell>
          <cell r="F36">
            <v>4.1055000000000006E-3</v>
          </cell>
        </row>
        <row r="37">
          <cell r="C37">
            <v>2010100440</v>
          </cell>
          <cell r="D37" t="str">
            <v>CNY</v>
          </cell>
          <cell r="E37" t="str">
            <v>PCS</v>
          </cell>
          <cell r="F37">
            <v>6.0375000000000003E-3</v>
          </cell>
        </row>
        <row r="38">
          <cell r="C38">
            <v>2010100460</v>
          </cell>
          <cell r="D38" t="str">
            <v>CNY</v>
          </cell>
          <cell r="E38" t="str">
            <v>PCS</v>
          </cell>
          <cell r="F38">
            <v>5.3549999999999995E-3</v>
          </cell>
        </row>
        <row r="39">
          <cell r="C39">
            <v>2010100480</v>
          </cell>
          <cell r="D39" t="str">
            <v>CNY</v>
          </cell>
          <cell r="E39" t="str">
            <v>PCS</v>
          </cell>
          <cell r="F39">
            <v>3.8850000000000004E-3</v>
          </cell>
        </row>
        <row r="40">
          <cell r="C40">
            <v>2010100490</v>
          </cell>
          <cell r="D40" t="str">
            <v>CNY</v>
          </cell>
          <cell r="E40" t="str">
            <v>PCS</v>
          </cell>
          <cell r="F40">
            <v>3.4965E-3</v>
          </cell>
        </row>
        <row r="41">
          <cell r="C41">
            <v>2010100510</v>
          </cell>
          <cell r="D41" t="str">
            <v>CNY</v>
          </cell>
          <cell r="E41" t="str">
            <v>PCS</v>
          </cell>
          <cell r="F41">
            <v>3.7799999999999999E-3</v>
          </cell>
        </row>
        <row r="42">
          <cell r="C42">
            <v>2010100520</v>
          </cell>
          <cell r="D42" t="str">
            <v>CNY</v>
          </cell>
          <cell r="E42" t="str">
            <v>PCS</v>
          </cell>
          <cell r="F42">
            <v>2.7636000000000001E-2</v>
          </cell>
        </row>
        <row r="43">
          <cell r="C43">
            <v>2010100530</v>
          </cell>
          <cell r="D43" t="str">
            <v>CNY</v>
          </cell>
          <cell r="E43" t="str">
            <v>PCS</v>
          </cell>
          <cell r="F43">
            <v>2.2785000000000001E-3</v>
          </cell>
        </row>
        <row r="44">
          <cell r="C44">
            <v>2010100540</v>
          </cell>
          <cell r="D44" t="str">
            <v>CNY</v>
          </cell>
          <cell r="E44" t="str">
            <v>PCS</v>
          </cell>
          <cell r="F44">
            <v>2.2785000000000001E-3</v>
          </cell>
        </row>
        <row r="45">
          <cell r="C45">
            <v>2010100550</v>
          </cell>
          <cell r="D45" t="str">
            <v>CNY</v>
          </cell>
          <cell r="E45" t="str">
            <v>PCS</v>
          </cell>
          <cell r="F45">
            <v>2.2785000000000001E-3</v>
          </cell>
        </row>
        <row r="46">
          <cell r="C46">
            <v>2010100560</v>
          </cell>
          <cell r="D46" t="str">
            <v>CNY</v>
          </cell>
          <cell r="E46" t="str">
            <v>PCS</v>
          </cell>
          <cell r="F46">
            <v>2.2785000000000001E-3</v>
          </cell>
        </row>
        <row r="47">
          <cell r="C47">
            <v>2010100570</v>
          </cell>
          <cell r="D47" t="str">
            <v>CNY</v>
          </cell>
          <cell r="E47" t="str">
            <v>PCS</v>
          </cell>
          <cell r="F47">
            <v>2.2785000000000001E-3</v>
          </cell>
        </row>
        <row r="48">
          <cell r="C48">
            <v>2010100580</v>
          </cell>
          <cell r="D48" t="str">
            <v>CNY</v>
          </cell>
          <cell r="E48" t="str">
            <v>PCS</v>
          </cell>
          <cell r="F48">
            <v>3.2550000000000001E-3</v>
          </cell>
        </row>
        <row r="49">
          <cell r="C49">
            <v>2010100590</v>
          </cell>
          <cell r="D49" t="str">
            <v>CNY</v>
          </cell>
          <cell r="E49" t="str">
            <v>PCS</v>
          </cell>
          <cell r="F49">
            <v>2.2785000000000001E-3</v>
          </cell>
        </row>
        <row r="50">
          <cell r="C50">
            <v>2010100600</v>
          </cell>
          <cell r="D50" t="str">
            <v>CNY</v>
          </cell>
          <cell r="E50" t="str">
            <v>PCS</v>
          </cell>
          <cell r="F50">
            <v>2.2785000000000001E-3</v>
          </cell>
        </row>
        <row r="51">
          <cell r="C51">
            <v>2010100610</v>
          </cell>
          <cell r="D51" t="str">
            <v>CNY</v>
          </cell>
          <cell r="E51" t="str">
            <v>PCS</v>
          </cell>
          <cell r="F51">
            <v>2.2785000000000001E-3</v>
          </cell>
        </row>
        <row r="52">
          <cell r="C52">
            <v>2010100620</v>
          </cell>
          <cell r="D52" t="str">
            <v>CNY</v>
          </cell>
          <cell r="E52" t="str">
            <v>PCS</v>
          </cell>
          <cell r="F52">
            <v>4.1790000000000004E-3</v>
          </cell>
        </row>
        <row r="53">
          <cell r="C53">
            <v>2010100640</v>
          </cell>
          <cell r="D53" t="str">
            <v>CNY</v>
          </cell>
          <cell r="E53" t="str">
            <v>PCS</v>
          </cell>
          <cell r="F53">
            <v>3.2550000000000001E-3</v>
          </cell>
        </row>
        <row r="54">
          <cell r="C54">
            <v>2010100650</v>
          </cell>
          <cell r="D54" t="str">
            <v>CNY</v>
          </cell>
          <cell r="E54" t="str">
            <v>PCS</v>
          </cell>
          <cell r="F54">
            <v>2.2785000000000001E-3</v>
          </cell>
        </row>
        <row r="55">
          <cell r="C55">
            <v>2010100660</v>
          </cell>
          <cell r="D55" t="str">
            <v>CNY</v>
          </cell>
          <cell r="E55" t="str">
            <v>PCS</v>
          </cell>
          <cell r="F55">
            <v>2.2785000000000001E-3</v>
          </cell>
        </row>
        <row r="56">
          <cell r="C56">
            <v>2010100670</v>
          </cell>
          <cell r="D56" t="str">
            <v>CNY</v>
          </cell>
          <cell r="E56" t="str">
            <v>PCS</v>
          </cell>
          <cell r="F56">
            <v>2.2785000000000001E-3</v>
          </cell>
        </row>
        <row r="57">
          <cell r="C57">
            <v>2010100680</v>
          </cell>
          <cell r="D57" t="str">
            <v>CNY</v>
          </cell>
          <cell r="E57" t="str">
            <v>PCS</v>
          </cell>
          <cell r="F57">
            <v>4.2420000000000001E-3</v>
          </cell>
        </row>
        <row r="58">
          <cell r="C58">
            <v>2010100690</v>
          </cell>
          <cell r="D58" t="str">
            <v>CNY</v>
          </cell>
          <cell r="E58" t="str">
            <v>PCS</v>
          </cell>
          <cell r="F58">
            <v>2.2785000000000001E-3</v>
          </cell>
        </row>
        <row r="59">
          <cell r="C59">
            <v>2010100700</v>
          </cell>
          <cell r="D59" t="str">
            <v>CNY</v>
          </cell>
          <cell r="E59" t="str">
            <v>PCS</v>
          </cell>
          <cell r="F59">
            <v>3.2550000000000001E-3</v>
          </cell>
        </row>
        <row r="60">
          <cell r="C60">
            <v>2010100710</v>
          </cell>
          <cell r="D60" t="str">
            <v>CNY</v>
          </cell>
          <cell r="E60" t="str">
            <v>PCS</v>
          </cell>
          <cell r="F60">
            <v>2.2785000000000001E-3</v>
          </cell>
        </row>
        <row r="61">
          <cell r="C61">
            <v>2010100720</v>
          </cell>
          <cell r="D61" t="str">
            <v>CNY</v>
          </cell>
          <cell r="E61" t="str">
            <v>PCS</v>
          </cell>
          <cell r="F61">
            <v>2.2785000000000001E-3</v>
          </cell>
        </row>
        <row r="62">
          <cell r="C62">
            <v>2010100730</v>
          </cell>
          <cell r="D62" t="str">
            <v>CNY</v>
          </cell>
          <cell r="E62" t="str">
            <v>PCS</v>
          </cell>
          <cell r="F62">
            <v>2.2785000000000001E-3</v>
          </cell>
        </row>
        <row r="63">
          <cell r="C63">
            <v>2010100740</v>
          </cell>
          <cell r="D63" t="str">
            <v>CNY</v>
          </cell>
          <cell r="E63" t="str">
            <v>PCS</v>
          </cell>
          <cell r="F63">
            <v>2.2785000000000001E-3</v>
          </cell>
        </row>
        <row r="64">
          <cell r="C64">
            <v>2010100750</v>
          </cell>
          <cell r="D64" t="str">
            <v>CNY</v>
          </cell>
          <cell r="E64" t="str">
            <v>PCS</v>
          </cell>
          <cell r="F64">
            <v>3.2550000000000001E-3</v>
          </cell>
        </row>
        <row r="65">
          <cell r="C65">
            <v>2010100760</v>
          </cell>
          <cell r="D65" t="str">
            <v>CNY</v>
          </cell>
          <cell r="E65" t="str">
            <v>PCS</v>
          </cell>
          <cell r="F65">
            <v>2.8770000000000002E-3</v>
          </cell>
        </row>
        <row r="66">
          <cell r="C66">
            <v>2010100780</v>
          </cell>
          <cell r="D66" t="str">
            <v>CNY</v>
          </cell>
          <cell r="E66" t="str">
            <v>PCS</v>
          </cell>
          <cell r="F66">
            <v>2.8770000000000002E-3</v>
          </cell>
        </row>
        <row r="67">
          <cell r="C67">
            <v>2010100820</v>
          </cell>
          <cell r="D67" t="str">
            <v>CNY</v>
          </cell>
          <cell r="E67" t="str">
            <v>PCS</v>
          </cell>
          <cell r="F67">
            <v>2.2260000000000001E-3</v>
          </cell>
        </row>
        <row r="68">
          <cell r="C68">
            <v>2010100830</v>
          </cell>
          <cell r="D68" t="str">
            <v>CNY</v>
          </cell>
          <cell r="E68" t="str">
            <v>PCS</v>
          </cell>
          <cell r="F68">
            <v>2.2260000000000001E-3</v>
          </cell>
        </row>
        <row r="69">
          <cell r="C69">
            <v>2010100840</v>
          </cell>
          <cell r="D69" t="str">
            <v>CNY</v>
          </cell>
          <cell r="E69" t="str">
            <v>PCS</v>
          </cell>
          <cell r="F69">
            <v>2.1840000000000002E-3</v>
          </cell>
        </row>
        <row r="70">
          <cell r="C70">
            <v>2010100850</v>
          </cell>
          <cell r="D70" t="str">
            <v>CNY</v>
          </cell>
          <cell r="E70" t="str">
            <v>PCS</v>
          </cell>
          <cell r="F70">
            <v>1.0500000000000001E-2</v>
          </cell>
        </row>
        <row r="71">
          <cell r="C71">
            <v>2010100860</v>
          </cell>
          <cell r="D71" t="str">
            <v>CNY</v>
          </cell>
          <cell r="E71" t="str">
            <v>PCS</v>
          </cell>
          <cell r="F71">
            <v>2.8770000000000002E-3</v>
          </cell>
        </row>
        <row r="72">
          <cell r="C72">
            <v>2010100870</v>
          </cell>
          <cell r="D72" t="str">
            <v>CNY</v>
          </cell>
          <cell r="E72" t="str">
            <v>PCS</v>
          </cell>
          <cell r="F72">
            <v>2.1840000000000002E-3</v>
          </cell>
        </row>
        <row r="73">
          <cell r="C73">
            <v>2010100890</v>
          </cell>
          <cell r="D73" t="str">
            <v>CNY</v>
          </cell>
          <cell r="E73" t="str">
            <v>PCS</v>
          </cell>
          <cell r="F73">
            <v>2.1840000000000002E-3</v>
          </cell>
        </row>
        <row r="74">
          <cell r="C74">
            <v>2010100900</v>
          </cell>
          <cell r="D74" t="str">
            <v>CNY</v>
          </cell>
          <cell r="E74" t="str">
            <v>PCS</v>
          </cell>
          <cell r="F74">
            <v>2.8770000000000002E-3</v>
          </cell>
        </row>
        <row r="75">
          <cell r="C75">
            <v>2010100910</v>
          </cell>
          <cell r="D75" t="str">
            <v>CNY</v>
          </cell>
          <cell r="E75" t="str">
            <v>PCS</v>
          </cell>
          <cell r="F75">
            <v>2.7299999999999998E-3</v>
          </cell>
        </row>
        <row r="76">
          <cell r="C76">
            <v>2010100920</v>
          </cell>
          <cell r="D76" t="str">
            <v>CNY</v>
          </cell>
          <cell r="E76" t="str">
            <v>PCS</v>
          </cell>
          <cell r="F76">
            <v>2.1840000000000002E-3</v>
          </cell>
        </row>
        <row r="77">
          <cell r="C77">
            <v>2010100930</v>
          </cell>
          <cell r="D77" t="str">
            <v>CNY</v>
          </cell>
          <cell r="E77" t="str">
            <v>PCS</v>
          </cell>
          <cell r="F77">
            <v>2.2260000000000001E-3</v>
          </cell>
        </row>
        <row r="78">
          <cell r="C78">
            <v>2010100950</v>
          </cell>
          <cell r="D78" t="str">
            <v>CNY</v>
          </cell>
          <cell r="E78" t="str">
            <v>PCS</v>
          </cell>
          <cell r="F78">
            <v>2.2260000000000001E-3</v>
          </cell>
        </row>
        <row r="79">
          <cell r="C79">
            <v>2010100980</v>
          </cell>
          <cell r="D79" t="str">
            <v>CNY</v>
          </cell>
          <cell r="E79" t="str">
            <v>PCS</v>
          </cell>
          <cell r="F79">
            <v>1.9320000000000001E-3</v>
          </cell>
        </row>
        <row r="80">
          <cell r="C80">
            <v>2010100990</v>
          </cell>
          <cell r="D80" t="str">
            <v>CNY</v>
          </cell>
          <cell r="E80" t="str">
            <v>PCS</v>
          </cell>
          <cell r="F80">
            <v>2.7299999999999998E-3</v>
          </cell>
        </row>
        <row r="81">
          <cell r="C81">
            <v>2010101000</v>
          </cell>
          <cell r="D81" t="str">
            <v>CNY</v>
          </cell>
          <cell r="E81" t="str">
            <v>PCS</v>
          </cell>
          <cell r="F81">
            <v>2.2260000000000001E-3</v>
          </cell>
        </row>
        <row r="82">
          <cell r="C82">
            <v>2010101010</v>
          </cell>
          <cell r="D82" t="str">
            <v>CNY</v>
          </cell>
          <cell r="E82" t="str">
            <v>PCS</v>
          </cell>
          <cell r="F82">
            <v>2.1840000000000002E-3</v>
          </cell>
        </row>
        <row r="83">
          <cell r="C83">
            <v>2010101030</v>
          </cell>
          <cell r="D83" t="str">
            <v>CNY</v>
          </cell>
          <cell r="E83" t="str">
            <v>PCS</v>
          </cell>
          <cell r="F83">
            <v>2.8770000000000002E-3</v>
          </cell>
        </row>
        <row r="84">
          <cell r="C84">
            <v>2010101040</v>
          </cell>
          <cell r="D84" t="str">
            <v>CNY</v>
          </cell>
          <cell r="E84" t="str">
            <v>PCS</v>
          </cell>
          <cell r="F84">
            <v>2.1840000000000002E-3</v>
          </cell>
        </row>
        <row r="85">
          <cell r="C85">
            <v>2010101130</v>
          </cell>
          <cell r="D85" t="str">
            <v>CNY</v>
          </cell>
          <cell r="E85" t="str">
            <v>PCS</v>
          </cell>
          <cell r="F85">
            <v>2.7299999999999998E-3</v>
          </cell>
        </row>
        <row r="86">
          <cell r="C86">
            <v>2010101170</v>
          </cell>
          <cell r="D86" t="str">
            <v>CNY</v>
          </cell>
          <cell r="E86" t="str">
            <v>PCS</v>
          </cell>
          <cell r="F86">
            <v>2.1840000000000002E-3</v>
          </cell>
        </row>
        <row r="87">
          <cell r="C87">
            <v>2010101200</v>
          </cell>
          <cell r="D87" t="str">
            <v>CNY</v>
          </cell>
          <cell r="E87" t="str">
            <v>PCS</v>
          </cell>
          <cell r="F87">
            <v>1.0500000000000001E-2</v>
          </cell>
        </row>
        <row r="88">
          <cell r="C88">
            <v>2010101250</v>
          </cell>
          <cell r="D88" t="str">
            <v>CNY</v>
          </cell>
          <cell r="E88" t="str">
            <v>PCS</v>
          </cell>
          <cell r="F88">
            <v>1.0500000000000001E-2</v>
          </cell>
        </row>
        <row r="89">
          <cell r="C89">
            <v>2010101340</v>
          </cell>
          <cell r="D89" t="str">
            <v>CNY</v>
          </cell>
          <cell r="E89" t="str">
            <v>PCS</v>
          </cell>
          <cell r="F89">
            <v>2.7299999999999998E-3</v>
          </cell>
        </row>
        <row r="90">
          <cell r="C90">
            <v>2010101380</v>
          </cell>
          <cell r="D90" t="str">
            <v>CNY</v>
          </cell>
          <cell r="E90" t="str">
            <v>PCS</v>
          </cell>
          <cell r="F90">
            <v>2.1840000000000002E-3</v>
          </cell>
        </row>
        <row r="91">
          <cell r="C91">
            <v>2010101460</v>
          </cell>
          <cell r="D91" t="str">
            <v>CNY</v>
          </cell>
          <cell r="E91" t="str">
            <v>PCS</v>
          </cell>
          <cell r="F91">
            <v>2.1840000000000002E-3</v>
          </cell>
        </row>
        <row r="92">
          <cell r="C92">
            <v>2010101490</v>
          </cell>
          <cell r="D92" t="str">
            <v>CNY</v>
          </cell>
          <cell r="E92" t="str">
            <v>PCS</v>
          </cell>
          <cell r="F92">
            <v>1.3649999999999999E-3</v>
          </cell>
        </row>
        <row r="93">
          <cell r="C93">
            <v>2010101510</v>
          </cell>
          <cell r="D93" t="str">
            <v>CNY</v>
          </cell>
          <cell r="E93" t="str">
            <v>PCS</v>
          </cell>
          <cell r="F93">
            <v>1.5330000000000001E-3</v>
          </cell>
        </row>
        <row r="94">
          <cell r="C94">
            <v>2010101550</v>
          </cell>
          <cell r="D94" t="str">
            <v>CNY</v>
          </cell>
          <cell r="E94" t="str">
            <v>PCS</v>
          </cell>
          <cell r="F94">
            <v>1.3545000000000002E-3</v>
          </cell>
        </row>
        <row r="95">
          <cell r="C95">
            <v>2010101560</v>
          </cell>
          <cell r="D95" t="str">
            <v>CNY</v>
          </cell>
          <cell r="E95" t="str">
            <v>PCS</v>
          </cell>
          <cell r="F95">
            <v>1.3649999999999999E-3</v>
          </cell>
        </row>
        <row r="96">
          <cell r="C96">
            <v>2010101580</v>
          </cell>
          <cell r="D96" t="str">
            <v>CNY</v>
          </cell>
          <cell r="E96" t="str">
            <v>PCS</v>
          </cell>
          <cell r="F96">
            <v>1.029E-3</v>
          </cell>
        </row>
        <row r="97">
          <cell r="C97">
            <v>2010101590</v>
          </cell>
          <cell r="D97" t="str">
            <v>CNY</v>
          </cell>
          <cell r="E97" t="str">
            <v>PCS</v>
          </cell>
          <cell r="F97">
            <v>1.3649999999999999E-3</v>
          </cell>
        </row>
        <row r="98">
          <cell r="C98">
            <v>2010101610</v>
          </cell>
          <cell r="D98" t="str">
            <v>CNY</v>
          </cell>
          <cell r="E98" t="str">
            <v>PCS</v>
          </cell>
          <cell r="F98">
            <v>1.5330000000000001E-3</v>
          </cell>
        </row>
        <row r="99">
          <cell r="C99">
            <v>2010101620</v>
          </cell>
          <cell r="D99" t="str">
            <v>CNY</v>
          </cell>
          <cell r="E99" t="str">
            <v>PCS</v>
          </cell>
          <cell r="F99">
            <v>1.5330000000000001E-3</v>
          </cell>
        </row>
        <row r="100">
          <cell r="C100">
            <v>2010101650</v>
          </cell>
          <cell r="D100" t="str">
            <v>CNY</v>
          </cell>
          <cell r="E100" t="str">
            <v>PCS</v>
          </cell>
          <cell r="F100">
            <v>2.4150000000000001E-2</v>
          </cell>
        </row>
        <row r="101">
          <cell r="C101">
            <v>2010101660</v>
          </cell>
          <cell r="D101" t="str">
            <v>CNY</v>
          </cell>
          <cell r="E101" t="str">
            <v>PCS</v>
          </cell>
          <cell r="F101">
            <v>1.3649999999999999E-3</v>
          </cell>
        </row>
        <row r="102">
          <cell r="C102">
            <v>2010101670</v>
          </cell>
          <cell r="D102" t="str">
            <v>CNY</v>
          </cell>
          <cell r="E102" t="str">
            <v>PCS</v>
          </cell>
          <cell r="F102">
            <v>2.4150000000000001E-2</v>
          </cell>
        </row>
        <row r="103">
          <cell r="C103">
            <v>2010101680</v>
          </cell>
          <cell r="D103" t="str">
            <v>CNY</v>
          </cell>
          <cell r="E103" t="str">
            <v>PCS</v>
          </cell>
          <cell r="F103">
            <v>1.5330000000000001E-3</v>
          </cell>
        </row>
        <row r="104">
          <cell r="C104">
            <v>2010101700</v>
          </cell>
          <cell r="D104" t="str">
            <v>CNY</v>
          </cell>
          <cell r="E104" t="str">
            <v>PCS</v>
          </cell>
          <cell r="F104">
            <v>1.029E-3</v>
          </cell>
        </row>
        <row r="105">
          <cell r="C105">
            <v>2010101720</v>
          </cell>
          <cell r="D105" t="str">
            <v>CNY</v>
          </cell>
          <cell r="E105" t="str">
            <v>PCS</v>
          </cell>
          <cell r="F105">
            <v>1.029E-3</v>
          </cell>
        </row>
        <row r="106">
          <cell r="C106">
            <v>2010101770</v>
          </cell>
          <cell r="D106" t="str">
            <v>CNY</v>
          </cell>
          <cell r="E106" t="str">
            <v>PCS</v>
          </cell>
          <cell r="F106">
            <v>2.0474999999999998E-3</v>
          </cell>
        </row>
        <row r="107">
          <cell r="C107">
            <v>2010101780</v>
          </cell>
          <cell r="D107" t="str">
            <v>CNY</v>
          </cell>
          <cell r="E107" t="str">
            <v>PCS</v>
          </cell>
          <cell r="F107">
            <v>1.1655000000000001E-3</v>
          </cell>
        </row>
        <row r="108">
          <cell r="C108">
            <v>2010101790</v>
          </cell>
          <cell r="D108" t="str">
            <v>CNY</v>
          </cell>
          <cell r="E108" t="str">
            <v>PCS</v>
          </cell>
          <cell r="F108">
            <v>1.1655000000000001E-3</v>
          </cell>
        </row>
        <row r="109">
          <cell r="C109">
            <v>2010101800</v>
          </cell>
          <cell r="D109" t="str">
            <v>CNY</v>
          </cell>
          <cell r="E109" t="str">
            <v>PCS</v>
          </cell>
          <cell r="F109">
            <v>1.7849999999999999E-3</v>
          </cell>
        </row>
        <row r="110">
          <cell r="C110">
            <v>2010101810</v>
          </cell>
          <cell r="D110" t="str">
            <v>CNY</v>
          </cell>
          <cell r="E110" t="str">
            <v>PCS</v>
          </cell>
          <cell r="F110">
            <v>1.029E-3</v>
          </cell>
        </row>
        <row r="111">
          <cell r="C111">
            <v>2010101820</v>
          </cell>
          <cell r="D111" t="str">
            <v>CNY</v>
          </cell>
          <cell r="E111" t="str">
            <v>PCS</v>
          </cell>
          <cell r="F111">
            <v>1.029E-3</v>
          </cell>
        </row>
        <row r="112">
          <cell r="C112">
            <v>2010101850</v>
          </cell>
          <cell r="D112" t="str">
            <v>CNY</v>
          </cell>
          <cell r="E112" t="str">
            <v>PCS</v>
          </cell>
          <cell r="F112">
            <v>1.1655000000000001E-3</v>
          </cell>
        </row>
        <row r="113">
          <cell r="C113">
            <v>2010101890</v>
          </cell>
          <cell r="D113" t="str">
            <v>CNY</v>
          </cell>
          <cell r="E113" t="str">
            <v>PCS</v>
          </cell>
          <cell r="F113">
            <v>1.029E-3</v>
          </cell>
        </row>
        <row r="114">
          <cell r="C114">
            <v>2010101930</v>
          </cell>
          <cell r="D114" t="str">
            <v>CNY</v>
          </cell>
          <cell r="E114" t="str">
            <v>PCS</v>
          </cell>
          <cell r="F114">
            <v>1.7849999999999999E-3</v>
          </cell>
        </row>
        <row r="115">
          <cell r="C115">
            <v>2010101950</v>
          </cell>
          <cell r="D115" t="str">
            <v>CNY</v>
          </cell>
          <cell r="E115" t="str">
            <v>PCS</v>
          </cell>
          <cell r="F115">
            <v>1.7849999999999999E-3</v>
          </cell>
        </row>
        <row r="116">
          <cell r="C116">
            <v>2010101960</v>
          </cell>
          <cell r="D116" t="str">
            <v>CNY</v>
          </cell>
          <cell r="E116" t="str">
            <v>PCS</v>
          </cell>
          <cell r="F116">
            <v>1.5330000000000001E-3</v>
          </cell>
        </row>
        <row r="117">
          <cell r="C117">
            <v>2010101970</v>
          </cell>
          <cell r="D117" t="str">
            <v>CNY</v>
          </cell>
          <cell r="E117" t="str">
            <v>PCS</v>
          </cell>
          <cell r="F117">
            <v>1.1655000000000001E-3</v>
          </cell>
        </row>
        <row r="118">
          <cell r="C118">
            <v>2010101990</v>
          </cell>
          <cell r="D118" t="str">
            <v>CNY</v>
          </cell>
          <cell r="E118" t="str">
            <v>PCS</v>
          </cell>
          <cell r="F118">
            <v>1.7849999999999999E-3</v>
          </cell>
        </row>
        <row r="119">
          <cell r="C119">
            <v>2010102000</v>
          </cell>
          <cell r="D119" t="str">
            <v>CNY</v>
          </cell>
          <cell r="E119" t="str">
            <v>PCS</v>
          </cell>
          <cell r="F119">
            <v>1.7849999999999999E-3</v>
          </cell>
        </row>
        <row r="120">
          <cell r="C120">
            <v>2010102010</v>
          </cell>
          <cell r="D120" t="str">
            <v>CNY</v>
          </cell>
          <cell r="E120" t="str">
            <v>PCS</v>
          </cell>
          <cell r="F120">
            <v>1.2075E-3</v>
          </cell>
        </row>
        <row r="121">
          <cell r="C121">
            <v>2010102020</v>
          </cell>
          <cell r="D121" t="str">
            <v>CNY</v>
          </cell>
          <cell r="E121" t="str">
            <v>PCS</v>
          </cell>
          <cell r="F121">
            <v>1.7849999999999999E-3</v>
          </cell>
        </row>
        <row r="122">
          <cell r="C122">
            <v>2010102040</v>
          </cell>
          <cell r="D122" t="str">
            <v>CNY</v>
          </cell>
          <cell r="E122" t="str">
            <v>PCS</v>
          </cell>
          <cell r="F122">
            <v>1.7849999999999999E-3</v>
          </cell>
        </row>
        <row r="123">
          <cell r="C123">
            <v>2010102100</v>
          </cell>
          <cell r="D123" t="str">
            <v>CNY</v>
          </cell>
          <cell r="E123" t="str">
            <v>PCS</v>
          </cell>
          <cell r="F123">
            <v>2.2785000000000001E-3</v>
          </cell>
        </row>
        <row r="124">
          <cell r="C124">
            <v>2010102110</v>
          </cell>
          <cell r="D124" t="str">
            <v>CNY</v>
          </cell>
          <cell r="E124" t="str">
            <v>PCS</v>
          </cell>
          <cell r="F124">
            <v>1.9635000000000004E-3</v>
          </cell>
        </row>
        <row r="125">
          <cell r="C125">
            <v>2010102130</v>
          </cell>
          <cell r="D125" t="str">
            <v>CNY</v>
          </cell>
          <cell r="E125" t="str">
            <v>PCS</v>
          </cell>
          <cell r="F125">
            <v>2.2785000000000001E-3</v>
          </cell>
        </row>
        <row r="126">
          <cell r="C126">
            <v>2010102150</v>
          </cell>
          <cell r="D126" t="str">
            <v>CNY</v>
          </cell>
          <cell r="E126" t="str">
            <v>PCS</v>
          </cell>
          <cell r="F126">
            <v>2.2785000000000001E-3</v>
          </cell>
        </row>
        <row r="127">
          <cell r="C127">
            <v>2010102170</v>
          </cell>
          <cell r="D127" t="str">
            <v>CNY</v>
          </cell>
          <cell r="E127" t="str">
            <v>PCS</v>
          </cell>
          <cell r="F127">
            <v>2.2785000000000001E-3</v>
          </cell>
        </row>
        <row r="128">
          <cell r="C128">
            <v>2010102190</v>
          </cell>
          <cell r="D128" t="str">
            <v>CNY</v>
          </cell>
          <cell r="E128" t="str">
            <v>PCS</v>
          </cell>
          <cell r="F128">
            <v>2.2785000000000001E-3</v>
          </cell>
        </row>
        <row r="129">
          <cell r="C129">
            <v>2010102200</v>
          </cell>
          <cell r="D129" t="str">
            <v>CNY</v>
          </cell>
          <cell r="E129" t="str">
            <v>PCS</v>
          </cell>
          <cell r="F129">
            <v>2.2785000000000001E-3</v>
          </cell>
        </row>
        <row r="130">
          <cell r="C130">
            <v>2010102210</v>
          </cell>
          <cell r="D130" t="str">
            <v>CNY</v>
          </cell>
          <cell r="E130" t="str">
            <v>PCS</v>
          </cell>
          <cell r="F130">
            <v>1.4962500000000002E-2</v>
          </cell>
        </row>
        <row r="131">
          <cell r="C131">
            <v>2010102220</v>
          </cell>
          <cell r="D131" t="str">
            <v>CNY</v>
          </cell>
          <cell r="E131" t="str">
            <v>PCS</v>
          </cell>
          <cell r="F131">
            <v>2.2785000000000001E-3</v>
          </cell>
        </row>
        <row r="132">
          <cell r="C132">
            <v>2010102230</v>
          </cell>
          <cell r="D132" t="str">
            <v>CNY</v>
          </cell>
          <cell r="E132" t="str">
            <v>PCS</v>
          </cell>
          <cell r="F132">
            <v>2.2785000000000001E-3</v>
          </cell>
        </row>
        <row r="133">
          <cell r="C133">
            <v>2010102250</v>
          </cell>
          <cell r="D133" t="str">
            <v>CNY</v>
          </cell>
          <cell r="E133" t="str">
            <v>PCS</v>
          </cell>
          <cell r="F133">
            <v>2.2785000000000001E-3</v>
          </cell>
        </row>
        <row r="134">
          <cell r="C134">
            <v>2010102260</v>
          </cell>
          <cell r="D134" t="str">
            <v>CNY</v>
          </cell>
          <cell r="E134" t="str">
            <v>PCS</v>
          </cell>
          <cell r="F134">
            <v>2.2785000000000001E-3</v>
          </cell>
        </row>
        <row r="135">
          <cell r="C135">
            <v>2010102270</v>
          </cell>
          <cell r="D135" t="str">
            <v>CNY</v>
          </cell>
          <cell r="E135" t="str">
            <v>PCS</v>
          </cell>
          <cell r="F135">
            <v>2.2785000000000001E-3</v>
          </cell>
        </row>
        <row r="136">
          <cell r="C136">
            <v>2010102300</v>
          </cell>
          <cell r="D136" t="str">
            <v>CNY</v>
          </cell>
          <cell r="E136" t="str">
            <v>PCS</v>
          </cell>
          <cell r="F136">
            <v>3.2550000000000001E-3</v>
          </cell>
        </row>
        <row r="137">
          <cell r="C137">
            <v>2010102360</v>
          </cell>
          <cell r="D137" t="str">
            <v>CNY</v>
          </cell>
          <cell r="E137" t="str">
            <v>PCS</v>
          </cell>
          <cell r="F137">
            <v>2.2785000000000001E-3</v>
          </cell>
        </row>
        <row r="138">
          <cell r="C138">
            <v>2010102370</v>
          </cell>
          <cell r="D138" t="str">
            <v>CNY</v>
          </cell>
          <cell r="E138" t="str">
            <v>PCS</v>
          </cell>
          <cell r="F138">
            <v>2.2785000000000001E-3</v>
          </cell>
        </row>
        <row r="139">
          <cell r="C139">
            <v>2010102390</v>
          </cell>
          <cell r="D139" t="str">
            <v>CNY</v>
          </cell>
          <cell r="E139" t="str">
            <v>PCS</v>
          </cell>
          <cell r="F139">
            <v>2.2785000000000001E-3</v>
          </cell>
        </row>
        <row r="140">
          <cell r="C140">
            <v>2010102410</v>
          </cell>
          <cell r="D140" t="str">
            <v>CNY</v>
          </cell>
          <cell r="E140" t="str">
            <v>PCS</v>
          </cell>
          <cell r="F140">
            <v>2.2785000000000001E-3</v>
          </cell>
        </row>
        <row r="141">
          <cell r="C141">
            <v>2010102420</v>
          </cell>
          <cell r="D141" t="str">
            <v>CNY</v>
          </cell>
          <cell r="E141" t="str">
            <v>PCS</v>
          </cell>
          <cell r="F141">
            <v>3.2550000000000001E-3</v>
          </cell>
        </row>
        <row r="142">
          <cell r="C142">
            <v>2010102430</v>
          </cell>
          <cell r="D142" t="str">
            <v>CNY</v>
          </cell>
          <cell r="E142" t="str">
            <v>PCS</v>
          </cell>
          <cell r="F142">
            <v>2.2785000000000001E-3</v>
          </cell>
        </row>
        <row r="143">
          <cell r="C143">
            <v>2010102480</v>
          </cell>
          <cell r="D143" t="str">
            <v>CNY</v>
          </cell>
          <cell r="E143" t="str">
            <v>PCS</v>
          </cell>
          <cell r="F143">
            <v>2.2785000000000001E-3</v>
          </cell>
        </row>
        <row r="144">
          <cell r="C144">
            <v>2010102490</v>
          </cell>
          <cell r="D144" t="str">
            <v>CNY</v>
          </cell>
          <cell r="E144" t="str">
            <v>PCS</v>
          </cell>
          <cell r="F144">
            <v>2.2785000000000001E-3</v>
          </cell>
        </row>
        <row r="145">
          <cell r="C145">
            <v>2010102500</v>
          </cell>
          <cell r="D145" t="str">
            <v>CNY</v>
          </cell>
          <cell r="E145" t="str">
            <v>PCS</v>
          </cell>
          <cell r="F145">
            <v>2.2785000000000001E-3</v>
          </cell>
        </row>
        <row r="146">
          <cell r="C146">
            <v>2010102520</v>
          </cell>
          <cell r="D146" t="str">
            <v>CNY</v>
          </cell>
          <cell r="E146" t="str">
            <v>PCS</v>
          </cell>
          <cell r="F146">
            <v>2.2785000000000001E-3</v>
          </cell>
        </row>
        <row r="147">
          <cell r="C147">
            <v>2010102540</v>
          </cell>
          <cell r="D147" t="str">
            <v>CNY</v>
          </cell>
          <cell r="E147" t="str">
            <v>PCS</v>
          </cell>
          <cell r="F147">
            <v>2.2785000000000001E-3</v>
          </cell>
        </row>
        <row r="148">
          <cell r="C148">
            <v>2010102550</v>
          </cell>
          <cell r="D148" t="str">
            <v>CNY</v>
          </cell>
          <cell r="E148" t="str">
            <v>PCS</v>
          </cell>
          <cell r="F148">
            <v>3.2550000000000001E-3</v>
          </cell>
        </row>
        <row r="149">
          <cell r="C149">
            <v>2010102560</v>
          </cell>
          <cell r="D149" t="str">
            <v>CNY</v>
          </cell>
          <cell r="E149" t="str">
            <v>PCS</v>
          </cell>
          <cell r="F149">
            <v>1.89E-2</v>
          </cell>
        </row>
        <row r="150">
          <cell r="C150">
            <v>2010102580</v>
          </cell>
          <cell r="D150" t="str">
            <v>CNY</v>
          </cell>
          <cell r="E150" t="str">
            <v>PCS</v>
          </cell>
          <cell r="F150">
            <v>1.7955000000000002E-2</v>
          </cell>
        </row>
        <row r="151">
          <cell r="C151">
            <v>2010102640</v>
          </cell>
          <cell r="D151" t="str">
            <v>CNY</v>
          </cell>
          <cell r="E151" t="str">
            <v>PCS</v>
          </cell>
          <cell r="F151">
            <v>2.6775E-2</v>
          </cell>
        </row>
        <row r="152">
          <cell r="C152">
            <v>2010102690</v>
          </cell>
          <cell r="D152" t="str">
            <v>CNY</v>
          </cell>
          <cell r="E152" t="str">
            <v>PCS</v>
          </cell>
          <cell r="F152">
            <v>2.2785000000000001E-3</v>
          </cell>
        </row>
        <row r="153">
          <cell r="C153">
            <v>2010102750</v>
          </cell>
          <cell r="D153" t="str">
            <v>CNY</v>
          </cell>
          <cell r="E153" t="str">
            <v>PCS</v>
          </cell>
          <cell r="F153">
            <v>4.7040000000000007E-3</v>
          </cell>
        </row>
        <row r="154">
          <cell r="C154">
            <v>2010102760</v>
          </cell>
          <cell r="D154" t="str">
            <v>CNY</v>
          </cell>
          <cell r="E154" t="str">
            <v>PCS</v>
          </cell>
          <cell r="F154">
            <v>4.7040000000000007E-3</v>
          </cell>
        </row>
        <row r="155">
          <cell r="C155">
            <v>2010102830</v>
          </cell>
          <cell r="D155" t="str">
            <v>CNY</v>
          </cell>
          <cell r="E155" t="str">
            <v>PCS</v>
          </cell>
          <cell r="F155">
            <v>4.7040000000000007E-3</v>
          </cell>
        </row>
        <row r="156">
          <cell r="C156">
            <v>2010102950</v>
          </cell>
          <cell r="D156" t="str">
            <v>CNY</v>
          </cell>
          <cell r="E156" t="str">
            <v>PCS</v>
          </cell>
          <cell r="F156">
            <v>3.4965E-3</v>
          </cell>
        </row>
        <row r="157">
          <cell r="C157">
            <v>2010102990</v>
          </cell>
          <cell r="D157" t="str">
            <v>CNY</v>
          </cell>
          <cell r="E157" t="str">
            <v>PCS</v>
          </cell>
          <cell r="F157">
            <v>3.4965E-3</v>
          </cell>
        </row>
        <row r="158">
          <cell r="C158">
            <v>2010103000</v>
          </cell>
          <cell r="D158" t="str">
            <v>CNY</v>
          </cell>
          <cell r="E158" t="str">
            <v>PCS</v>
          </cell>
          <cell r="F158">
            <v>3.9585000000000002E-3</v>
          </cell>
        </row>
        <row r="159">
          <cell r="C159">
            <v>2010103160</v>
          </cell>
          <cell r="D159" t="str">
            <v>CNY</v>
          </cell>
          <cell r="E159" t="str">
            <v>PCS</v>
          </cell>
          <cell r="F159">
            <v>5.3549999999999995E-3</v>
          </cell>
        </row>
        <row r="160">
          <cell r="C160">
            <v>2010103190</v>
          </cell>
          <cell r="D160" t="str">
            <v>CNY</v>
          </cell>
          <cell r="E160" t="str">
            <v>PCS</v>
          </cell>
          <cell r="F160">
            <v>3.8850000000000004E-3</v>
          </cell>
        </row>
        <row r="161">
          <cell r="C161">
            <v>2010103220</v>
          </cell>
          <cell r="D161" t="str">
            <v>CNY</v>
          </cell>
          <cell r="E161" t="str">
            <v>PCS</v>
          </cell>
          <cell r="F161">
            <v>3.8850000000000004E-3</v>
          </cell>
        </row>
        <row r="162">
          <cell r="C162">
            <v>2010103280</v>
          </cell>
          <cell r="D162" t="str">
            <v>CNY</v>
          </cell>
          <cell r="E162" t="str">
            <v>PCS</v>
          </cell>
          <cell r="F162">
            <v>1.3965000000000002E-2</v>
          </cell>
        </row>
        <row r="163">
          <cell r="C163">
            <v>2010103340</v>
          </cell>
          <cell r="D163" t="str">
            <v>CNY</v>
          </cell>
          <cell r="E163" t="str">
            <v>PCS</v>
          </cell>
          <cell r="F163">
            <v>3.9585000000000002E-3</v>
          </cell>
        </row>
        <row r="164">
          <cell r="C164">
            <v>2010103440</v>
          </cell>
          <cell r="D164" t="str">
            <v>CNY</v>
          </cell>
          <cell r="E164" t="str">
            <v>PCS</v>
          </cell>
          <cell r="F164">
            <v>3.15E-3</v>
          </cell>
        </row>
        <row r="165">
          <cell r="C165">
            <v>2010103730</v>
          </cell>
          <cell r="D165" t="str">
            <v>CNY</v>
          </cell>
          <cell r="E165" t="str">
            <v>PCS</v>
          </cell>
          <cell r="F165">
            <v>2.1735000000000001E-2</v>
          </cell>
        </row>
        <row r="166">
          <cell r="C166">
            <v>2010103890</v>
          </cell>
          <cell r="D166" t="str">
            <v>CNY</v>
          </cell>
          <cell r="E166" t="str">
            <v>PCS</v>
          </cell>
          <cell r="F166">
            <v>6.6464999999999996E-3</v>
          </cell>
        </row>
        <row r="167">
          <cell r="C167">
            <v>2010103920</v>
          </cell>
          <cell r="D167" t="str">
            <v>CNY</v>
          </cell>
          <cell r="E167" t="str">
            <v>PCS</v>
          </cell>
          <cell r="F167">
            <v>4.1055000000000006E-3</v>
          </cell>
        </row>
        <row r="168">
          <cell r="C168">
            <v>2010103940</v>
          </cell>
          <cell r="D168" t="str">
            <v>CNY</v>
          </cell>
          <cell r="E168" t="str">
            <v>PCS</v>
          </cell>
          <cell r="F168">
            <v>4.1055000000000006E-3</v>
          </cell>
        </row>
        <row r="169">
          <cell r="C169">
            <v>2010103960</v>
          </cell>
          <cell r="D169" t="str">
            <v>CNY</v>
          </cell>
          <cell r="E169" t="str">
            <v>PCS</v>
          </cell>
          <cell r="F169">
            <v>5.8905000000000008E-3</v>
          </cell>
        </row>
        <row r="170">
          <cell r="C170">
            <v>2010103970</v>
          </cell>
          <cell r="D170" t="str">
            <v>CNY</v>
          </cell>
          <cell r="E170" t="str">
            <v>PCS</v>
          </cell>
          <cell r="F170">
            <v>7.8960000000000002E-3</v>
          </cell>
        </row>
        <row r="171">
          <cell r="C171">
            <v>2010103980</v>
          </cell>
          <cell r="D171" t="str">
            <v>CNY</v>
          </cell>
          <cell r="E171" t="str">
            <v>PCS</v>
          </cell>
          <cell r="F171">
            <v>6.6464999999999996E-3</v>
          </cell>
        </row>
        <row r="172">
          <cell r="C172">
            <v>2010103990</v>
          </cell>
          <cell r="D172" t="str">
            <v>CNY</v>
          </cell>
          <cell r="E172" t="str">
            <v>PCS</v>
          </cell>
          <cell r="F172">
            <v>4.1055000000000006E-3</v>
          </cell>
        </row>
        <row r="173">
          <cell r="C173">
            <v>2010104020</v>
          </cell>
          <cell r="D173" t="str">
            <v>CNY</v>
          </cell>
          <cell r="E173" t="str">
            <v>PCS</v>
          </cell>
          <cell r="F173">
            <v>4.1055000000000006E-3</v>
          </cell>
        </row>
        <row r="174">
          <cell r="C174">
            <v>2010104060</v>
          </cell>
          <cell r="D174" t="str">
            <v>CNY</v>
          </cell>
          <cell r="E174" t="str">
            <v>PCS</v>
          </cell>
          <cell r="F174">
            <v>4.1055000000000006E-3</v>
          </cell>
        </row>
        <row r="175">
          <cell r="C175">
            <v>2010104070</v>
          </cell>
          <cell r="D175" t="str">
            <v>CNY</v>
          </cell>
          <cell r="E175" t="str">
            <v>PCS</v>
          </cell>
          <cell r="F175">
            <v>4.1055000000000006E-3</v>
          </cell>
        </row>
        <row r="176">
          <cell r="C176">
            <v>2010104090</v>
          </cell>
          <cell r="D176" t="str">
            <v>CNY</v>
          </cell>
          <cell r="E176" t="str">
            <v>PCS</v>
          </cell>
          <cell r="F176">
            <v>6.6464999999999996E-3</v>
          </cell>
        </row>
        <row r="177">
          <cell r="C177">
            <v>2010104110</v>
          </cell>
          <cell r="D177" t="str">
            <v>CNY</v>
          </cell>
          <cell r="E177" t="str">
            <v>PCS</v>
          </cell>
          <cell r="F177">
            <v>4.1055000000000006E-3</v>
          </cell>
        </row>
        <row r="178">
          <cell r="C178">
            <v>2010104150</v>
          </cell>
          <cell r="D178" t="str">
            <v>CNY</v>
          </cell>
          <cell r="E178" t="str">
            <v>PCS</v>
          </cell>
          <cell r="F178">
            <v>4.1055000000000006E-3</v>
          </cell>
        </row>
        <row r="179">
          <cell r="C179">
            <v>2010104180</v>
          </cell>
          <cell r="D179" t="str">
            <v>CNY</v>
          </cell>
          <cell r="E179" t="str">
            <v>PCS</v>
          </cell>
          <cell r="F179">
            <v>4.1055000000000006E-3</v>
          </cell>
        </row>
        <row r="180">
          <cell r="C180">
            <v>2010104200</v>
          </cell>
          <cell r="D180" t="str">
            <v>CNY</v>
          </cell>
          <cell r="E180" t="str">
            <v>PCS</v>
          </cell>
          <cell r="F180">
            <v>5.8905000000000008E-3</v>
          </cell>
        </row>
        <row r="181">
          <cell r="C181">
            <v>2010104500</v>
          </cell>
          <cell r="D181" t="str">
            <v>CNY</v>
          </cell>
          <cell r="E181" t="str">
            <v>PCS</v>
          </cell>
          <cell r="F181">
            <v>2.9400000000000003E-2</v>
          </cell>
        </row>
        <row r="182">
          <cell r="C182">
            <v>2010104510</v>
          </cell>
          <cell r="D182" t="str">
            <v>CNY</v>
          </cell>
          <cell r="E182" t="str">
            <v>PCS</v>
          </cell>
          <cell r="F182">
            <v>6.2370000000000004E-3</v>
          </cell>
        </row>
        <row r="183">
          <cell r="C183">
            <v>2010104520</v>
          </cell>
          <cell r="D183" t="str">
            <v>CNY</v>
          </cell>
          <cell r="E183" t="str">
            <v>PCS</v>
          </cell>
          <cell r="F183">
            <v>9.2400000000000017E-3</v>
          </cell>
        </row>
        <row r="184">
          <cell r="C184">
            <v>2010104530</v>
          </cell>
          <cell r="D184" t="str">
            <v>CNY</v>
          </cell>
          <cell r="E184" t="str">
            <v>PCS</v>
          </cell>
          <cell r="F184">
            <v>2.1525000000000002E-2</v>
          </cell>
        </row>
        <row r="185">
          <cell r="C185">
            <v>2010104560</v>
          </cell>
          <cell r="D185" t="str">
            <v>CNY</v>
          </cell>
          <cell r="E185" t="str">
            <v>PCS</v>
          </cell>
          <cell r="F185">
            <v>6.3629999999999997E-3</v>
          </cell>
        </row>
        <row r="186">
          <cell r="C186">
            <v>2010104570</v>
          </cell>
          <cell r="D186" t="str">
            <v>CNY</v>
          </cell>
          <cell r="E186" t="str">
            <v>PCS</v>
          </cell>
          <cell r="F186">
            <v>7.6020000000000003E-3</v>
          </cell>
        </row>
        <row r="187">
          <cell r="C187">
            <v>2010104590</v>
          </cell>
          <cell r="D187" t="str">
            <v>CNY</v>
          </cell>
          <cell r="E187" t="str">
            <v>PCS</v>
          </cell>
          <cell r="F187">
            <v>9.2400000000000017E-3</v>
          </cell>
        </row>
        <row r="188">
          <cell r="C188">
            <v>2010104630</v>
          </cell>
          <cell r="D188" t="str">
            <v>CNY</v>
          </cell>
          <cell r="E188" t="str">
            <v>PCS</v>
          </cell>
          <cell r="F188">
            <v>9.2400000000000017E-3</v>
          </cell>
        </row>
        <row r="189">
          <cell r="C189">
            <v>2010104650</v>
          </cell>
          <cell r="D189" t="str">
            <v>CNY</v>
          </cell>
          <cell r="E189" t="str">
            <v>PCS</v>
          </cell>
          <cell r="F189">
            <v>7.2344999999999996E-3</v>
          </cell>
        </row>
        <row r="190">
          <cell r="C190">
            <v>2010104680</v>
          </cell>
          <cell r="D190" t="str">
            <v>CNY</v>
          </cell>
          <cell r="E190" t="str">
            <v>PCS</v>
          </cell>
          <cell r="F190">
            <v>6.2370000000000004E-3</v>
          </cell>
        </row>
        <row r="191">
          <cell r="C191">
            <v>2010104690</v>
          </cell>
          <cell r="D191" t="str">
            <v>CNY</v>
          </cell>
          <cell r="E191" t="str">
            <v>PCS</v>
          </cell>
          <cell r="F191">
            <v>2.9400000000000003E-2</v>
          </cell>
        </row>
        <row r="192">
          <cell r="C192">
            <v>2010104730</v>
          </cell>
          <cell r="D192" t="str">
            <v>CNY</v>
          </cell>
          <cell r="E192" t="str">
            <v>PCS</v>
          </cell>
          <cell r="F192">
            <v>9.2400000000000017E-3</v>
          </cell>
        </row>
        <row r="193">
          <cell r="C193">
            <v>2010104740</v>
          </cell>
          <cell r="D193" t="str">
            <v>CNY</v>
          </cell>
          <cell r="E193" t="str">
            <v>PCS</v>
          </cell>
          <cell r="F193">
            <v>1.0500000000000001E-2</v>
          </cell>
        </row>
        <row r="194">
          <cell r="C194">
            <v>2010104770</v>
          </cell>
          <cell r="D194" t="str">
            <v>CNY</v>
          </cell>
          <cell r="E194" t="str">
            <v>PCS</v>
          </cell>
          <cell r="F194">
            <v>1.0500000000000001E-2</v>
          </cell>
        </row>
        <row r="195">
          <cell r="C195">
            <v>2010104830</v>
          </cell>
          <cell r="D195" t="str">
            <v>CNY</v>
          </cell>
          <cell r="E195" t="str">
            <v>PCS</v>
          </cell>
          <cell r="F195">
            <v>1.0500000000000001E-2</v>
          </cell>
        </row>
        <row r="196">
          <cell r="C196">
            <v>2010104850</v>
          </cell>
          <cell r="D196" t="str">
            <v>CNY</v>
          </cell>
          <cell r="E196" t="str">
            <v>PCS</v>
          </cell>
          <cell r="F196">
            <v>5.7855000000000004E-2</v>
          </cell>
        </row>
        <row r="197">
          <cell r="C197">
            <v>2010104870</v>
          </cell>
          <cell r="D197" t="str">
            <v>CNY</v>
          </cell>
          <cell r="E197" t="str">
            <v>PCS</v>
          </cell>
          <cell r="F197">
            <v>7.2344999999999996E-3</v>
          </cell>
        </row>
        <row r="198">
          <cell r="C198">
            <v>2010104890</v>
          </cell>
          <cell r="D198" t="str">
            <v>CNY</v>
          </cell>
          <cell r="E198" t="str">
            <v>PCS</v>
          </cell>
          <cell r="F198">
            <v>7.2344999999999996E-3</v>
          </cell>
        </row>
        <row r="199">
          <cell r="C199">
            <v>2010104910</v>
          </cell>
          <cell r="D199" t="str">
            <v>CNY</v>
          </cell>
          <cell r="E199" t="str">
            <v>PCS</v>
          </cell>
          <cell r="F199">
            <v>1.0500000000000001E-2</v>
          </cell>
        </row>
        <row r="200">
          <cell r="C200">
            <v>2010104920</v>
          </cell>
          <cell r="D200" t="str">
            <v>CNY</v>
          </cell>
          <cell r="E200" t="str">
            <v>PCS</v>
          </cell>
          <cell r="F200">
            <v>2.9400000000000003E-2</v>
          </cell>
        </row>
        <row r="201">
          <cell r="C201">
            <v>2010104930</v>
          </cell>
          <cell r="D201" t="str">
            <v>CNY</v>
          </cell>
          <cell r="E201" t="str">
            <v>PCS</v>
          </cell>
          <cell r="F201">
            <v>1.0500000000000001E-2</v>
          </cell>
        </row>
        <row r="202">
          <cell r="C202">
            <v>2010104940</v>
          </cell>
          <cell r="D202" t="str">
            <v>CNY</v>
          </cell>
          <cell r="E202" t="str">
            <v>PCS</v>
          </cell>
          <cell r="F202">
            <v>7.2344999999999996E-3</v>
          </cell>
        </row>
        <row r="203">
          <cell r="C203">
            <v>2010104980</v>
          </cell>
          <cell r="D203" t="str">
            <v>CNY</v>
          </cell>
          <cell r="E203" t="str">
            <v>PCS</v>
          </cell>
          <cell r="F203">
            <v>7.2344999999999996E-3</v>
          </cell>
        </row>
        <row r="204">
          <cell r="C204">
            <v>2010105060</v>
          </cell>
          <cell r="D204" t="str">
            <v>CNY</v>
          </cell>
          <cell r="E204" t="str">
            <v>PCS</v>
          </cell>
          <cell r="F204">
            <v>4.5149999999999996E-2</v>
          </cell>
        </row>
        <row r="205">
          <cell r="C205">
            <v>2010105070</v>
          </cell>
          <cell r="D205" t="str">
            <v>CNY</v>
          </cell>
          <cell r="E205" t="str">
            <v>PCS</v>
          </cell>
          <cell r="F205">
            <v>9.2399999999999996E-2</v>
          </cell>
        </row>
        <row r="206">
          <cell r="C206">
            <v>2010105510</v>
          </cell>
          <cell r="D206" t="str">
            <v>CNY</v>
          </cell>
          <cell r="E206" t="str">
            <v>PCS</v>
          </cell>
          <cell r="F206">
            <v>1.7849999999999999E-3</v>
          </cell>
        </row>
        <row r="207">
          <cell r="C207">
            <v>2010105520</v>
          </cell>
          <cell r="D207" t="str">
            <v>CNY</v>
          </cell>
          <cell r="E207" t="str">
            <v>PCS</v>
          </cell>
          <cell r="F207">
            <v>1.7849999999999999E-3</v>
          </cell>
        </row>
        <row r="208">
          <cell r="C208">
            <v>2010105530</v>
          </cell>
          <cell r="D208" t="str">
            <v>CNY</v>
          </cell>
          <cell r="E208" t="str">
            <v>PCS</v>
          </cell>
          <cell r="F208">
            <v>1.1655000000000001E-3</v>
          </cell>
        </row>
        <row r="209">
          <cell r="C209">
            <v>2010105540</v>
          </cell>
          <cell r="D209" t="str">
            <v>CNY</v>
          </cell>
          <cell r="E209" t="str">
            <v>PCS</v>
          </cell>
          <cell r="F209">
            <v>1.1655000000000001E-3</v>
          </cell>
        </row>
        <row r="210">
          <cell r="C210">
            <v>2010105560</v>
          </cell>
          <cell r="D210" t="str">
            <v>CNY</v>
          </cell>
          <cell r="E210" t="str">
            <v>PCS</v>
          </cell>
          <cell r="F210">
            <v>2.0369999999999997E-3</v>
          </cell>
        </row>
        <row r="211">
          <cell r="C211">
            <v>2010105590</v>
          </cell>
          <cell r="D211" t="str">
            <v>CNY</v>
          </cell>
          <cell r="E211" t="str">
            <v>PCS</v>
          </cell>
          <cell r="F211">
            <v>2.8770000000000002E-3</v>
          </cell>
        </row>
        <row r="212">
          <cell r="C212">
            <v>2010105600</v>
          </cell>
          <cell r="D212" t="str">
            <v>CNY</v>
          </cell>
          <cell r="E212" t="str">
            <v>PCS</v>
          </cell>
          <cell r="F212">
            <v>1.5330000000000001E-3</v>
          </cell>
        </row>
        <row r="213">
          <cell r="C213">
            <v>2010105610</v>
          </cell>
          <cell r="D213" t="str">
            <v>CNY</v>
          </cell>
          <cell r="E213" t="str">
            <v>PCS</v>
          </cell>
          <cell r="F213">
            <v>1.5330000000000001E-3</v>
          </cell>
        </row>
        <row r="214">
          <cell r="C214">
            <v>2010105620</v>
          </cell>
          <cell r="D214" t="str">
            <v>CNY</v>
          </cell>
          <cell r="E214" t="str">
            <v>PCS</v>
          </cell>
          <cell r="F214">
            <v>1.5330000000000001E-3</v>
          </cell>
        </row>
        <row r="215">
          <cell r="C215">
            <v>2010105630</v>
          </cell>
          <cell r="D215" t="str">
            <v>CNY</v>
          </cell>
          <cell r="E215" t="str">
            <v>PCS</v>
          </cell>
          <cell r="F215">
            <v>1.0500000000000002E-3</v>
          </cell>
        </row>
        <row r="216">
          <cell r="C216">
            <v>2010105640</v>
          </cell>
          <cell r="D216" t="str">
            <v>CNY</v>
          </cell>
          <cell r="E216" t="str">
            <v>PCS</v>
          </cell>
          <cell r="F216">
            <v>9.9750000000000012E-4</v>
          </cell>
        </row>
        <row r="217">
          <cell r="C217">
            <v>2010105690</v>
          </cell>
          <cell r="D217" t="str">
            <v>CNY</v>
          </cell>
          <cell r="E217" t="str">
            <v>PCS</v>
          </cell>
          <cell r="F217">
            <v>1.5330000000000001E-3</v>
          </cell>
        </row>
        <row r="218">
          <cell r="C218">
            <v>2010105700</v>
          </cell>
          <cell r="D218" t="str">
            <v>CNY</v>
          </cell>
          <cell r="E218" t="str">
            <v>PCS</v>
          </cell>
          <cell r="F218">
            <v>1.5330000000000001E-3</v>
          </cell>
        </row>
        <row r="219">
          <cell r="C219">
            <v>2010105710</v>
          </cell>
          <cell r="D219" t="str">
            <v>CNY</v>
          </cell>
          <cell r="E219" t="str">
            <v>PCS</v>
          </cell>
          <cell r="F219">
            <v>1.3649999999999999E-3</v>
          </cell>
        </row>
        <row r="220">
          <cell r="C220">
            <v>2010105720</v>
          </cell>
          <cell r="D220" t="str">
            <v>CNY</v>
          </cell>
          <cell r="E220" t="str">
            <v>PCS</v>
          </cell>
          <cell r="F220">
            <v>1.5330000000000001E-3</v>
          </cell>
        </row>
        <row r="221">
          <cell r="C221">
            <v>2010105730</v>
          </cell>
          <cell r="D221" t="str">
            <v>CNY</v>
          </cell>
          <cell r="E221" t="str">
            <v>PCS</v>
          </cell>
          <cell r="F221">
            <v>1.029E-3</v>
          </cell>
        </row>
        <row r="222">
          <cell r="C222">
            <v>2010105810</v>
          </cell>
          <cell r="D222" t="str">
            <v>CNY</v>
          </cell>
          <cell r="E222" t="str">
            <v>PCS</v>
          </cell>
          <cell r="F222">
            <v>2.7300000000000001E-2</v>
          </cell>
        </row>
        <row r="223">
          <cell r="C223">
            <v>2010105820</v>
          </cell>
          <cell r="D223" t="str">
            <v>CNY</v>
          </cell>
          <cell r="E223" t="str">
            <v>PCS</v>
          </cell>
          <cell r="F223">
            <v>4.095E-2</v>
          </cell>
        </row>
        <row r="224">
          <cell r="C224">
            <v>2010105830</v>
          </cell>
          <cell r="D224" t="str">
            <v>CNY</v>
          </cell>
          <cell r="E224" t="str">
            <v>PCS</v>
          </cell>
          <cell r="F224">
            <v>2.7300000000000001E-2</v>
          </cell>
        </row>
        <row r="225">
          <cell r="C225">
            <v>2010105870</v>
          </cell>
          <cell r="D225" t="str">
            <v>CNY</v>
          </cell>
          <cell r="E225" t="str">
            <v>PCS</v>
          </cell>
          <cell r="F225">
            <v>1.3891500000000001E-2</v>
          </cell>
        </row>
        <row r="226">
          <cell r="C226">
            <v>2010105890</v>
          </cell>
          <cell r="D226" t="str">
            <v>CNY</v>
          </cell>
          <cell r="E226" t="str">
            <v>PCS</v>
          </cell>
          <cell r="F226">
            <v>5.8905000000000008E-3</v>
          </cell>
        </row>
        <row r="227">
          <cell r="C227">
            <v>2010105900</v>
          </cell>
          <cell r="D227" t="str">
            <v>CNY</v>
          </cell>
          <cell r="E227" t="str">
            <v>PCS</v>
          </cell>
          <cell r="F227">
            <v>4.1055000000000006E-3</v>
          </cell>
        </row>
        <row r="228">
          <cell r="C228">
            <v>2010105930</v>
          </cell>
          <cell r="D228" t="str">
            <v>CNY</v>
          </cell>
          <cell r="E228" t="str">
            <v>PCS</v>
          </cell>
          <cell r="F228">
            <v>4.1055000000000006E-3</v>
          </cell>
        </row>
        <row r="229">
          <cell r="C229">
            <v>2010105950</v>
          </cell>
          <cell r="D229" t="str">
            <v>CNY</v>
          </cell>
          <cell r="E229" t="str">
            <v>PCS</v>
          </cell>
          <cell r="F229">
            <v>2.0369999999999997E-3</v>
          </cell>
        </row>
        <row r="230">
          <cell r="C230">
            <v>2010105960</v>
          </cell>
          <cell r="D230" t="str">
            <v>CNY</v>
          </cell>
          <cell r="E230" t="str">
            <v>PCS</v>
          </cell>
          <cell r="F230">
            <v>2.1420000000000002E-3</v>
          </cell>
        </row>
        <row r="231">
          <cell r="C231">
            <v>2010106010</v>
          </cell>
          <cell r="D231" t="str">
            <v>CNY</v>
          </cell>
          <cell r="E231" t="str">
            <v>PCS</v>
          </cell>
          <cell r="F231">
            <v>1.1655000000000001E-3</v>
          </cell>
        </row>
        <row r="232">
          <cell r="C232">
            <v>2010106020</v>
          </cell>
          <cell r="D232" t="str">
            <v>CNY</v>
          </cell>
          <cell r="E232" t="str">
            <v>PCS</v>
          </cell>
          <cell r="F232">
            <v>1.7849999999999999E-3</v>
          </cell>
        </row>
        <row r="233">
          <cell r="C233">
            <v>2010106030</v>
          </cell>
          <cell r="D233" t="str">
            <v>CNY</v>
          </cell>
          <cell r="E233" t="str">
            <v>PCS</v>
          </cell>
          <cell r="F233">
            <v>1.7849999999999999E-3</v>
          </cell>
        </row>
        <row r="234">
          <cell r="C234">
            <v>2010106040</v>
          </cell>
          <cell r="D234" t="str">
            <v>CNY</v>
          </cell>
          <cell r="E234" t="str">
            <v>PCS</v>
          </cell>
          <cell r="F234">
            <v>1.1655000000000001E-3</v>
          </cell>
        </row>
        <row r="235">
          <cell r="C235">
            <v>2010106050</v>
          </cell>
          <cell r="D235" t="str">
            <v>CNY</v>
          </cell>
          <cell r="E235" t="str">
            <v>PCS</v>
          </cell>
          <cell r="F235">
            <v>1.029E-3</v>
          </cell>
        </row>
        <row r="236">
          <cell r="C236">
            <v>2010106110</v>
          </cell>
          <cell r="D236" t="str">
            <v>CNY</v>
          </cell>
          <cell r="E236" t="str">
            <v>PCS</v>
          </cell>
          <cell r="F236">
            <v>1.7849999999999999E-3</v>
          </cell>
        </row>
        <row r="237">
          <cell r="C237">
            <v>2010106120</v>
          </cell>
          <cell r="D237" t="str">
            <v>CNY</v>
          </cell>
          <cell r="E237" t="str">
            <v>PCS</v>
          </cell>
          <cell r="F237">
            <v>1.1655000000000001E-3</v>
          </cell>
        </row>
        <row r="238">
          <cell r="C238">
            <v>2010106130</v>
          </cell>
          <cell r="D238" t="str">
            <v>CNY</v>
          </cell>
          <cell r="E238" t="str">
            <v>PCS</v>
          </cell>
          <cell r="F238">
            <v>1.1655000000000001E-3</v>
          </cell>
        </row>
        <row r="239">
          <cell r="C239">
            <v>2010107000</v>
          </cell>
          <cell r="D239" t="str">
            <v>CNY</v>
          </cell>
          <cell r="E239" t="str">
            <v>PCS</v>
          </cell>
          <cell r="F239">
            <v>3.2550000000000001E-3</v>
          </cell>
        </row>
        <row r="240">
          <cell r="C240">
            <v>2010107010</v>
          </cell>
          <cell r="D240" t="str">
            <v>CNY</v>
          </cell>
          <cell r="E240" t="str">
            <v>PCS</v>
          </cell>
          <cell r="F240">
            <v>1.1655000000000001E-3</v>
          </cell>
        </row>
        <row r="241">
          <cell r="C241">
            <v>2010107020</v>
          </cell>
          <cell r="D241" t="str">
            <v>CNY</v>
          </cell>
          <cell r="E241" t="str">
            <v>PCS</v>
          </cell>
          <cell r="F241">
            <v>1.7849999999999999E-3</v>
          </cell>
        </row>
        <row r="242">
          <cell r="C242">
            <v>2010107040</v>
          </cell>
          <cell r="D242" t="str">
            <v>CNY</v>
          </cell>
          <cell r="E242" t="str">
            <v>PCS</v>
          </cell>
          <cell r="F242">
            <v>1.5330000000000001E-3</v>
          </cell>
        </row>
        <row r="243">
          <cell r="C243">
            <v>2010107060</v>
          </cell>
          <cell r="D243" t="str">
            <v>CNY</v>
          </cell>
          <cell r="E243" t="str">
            <v>PCS</v>
          </cell>
          <cell r="F243">
            <v>1.0500000000000001E-2</v>
          </cell>
        </row>
        <row r="244">
          <cell r="C244">
            <v>2010107090</v>
          </cell>
          <cell r="D244" t="str">
            <v>CNY</v>
          </cell>
          <cell r="E244" t="str">
            <v>PCS</v>
          </cell>
          <cell r="F244">
            <v>1.7849999999999999E-3</v>
          </cell>
        </row>
        <row r="245">
          <cell r="C245">
            <v>2010107120</v>
          </cell>
          <cell r="D245" t="str">
            <v>CNY</v>
          </cell>
          <cell r="E245" t="str">
            <v>PCS</v>
          </cell>
          <cell r="F245">
            <v>1.7849999999999999E-3</v>
          </cell>
        </row>
        <row r="246">
          <cell r="C246">
            <v>2010107150</v>
          </cell>
          <cell r="D246" t="str">
            <v>CNY</v>
          </cell>
          <cell r="E246" t="str">
            <v>PCS</v>
          </cell>
          <cell r="F246">
            <v>2.7300000000000001E-2</v>
          </cell>
        </row>
        <row r="247">
          <cell r="C247">
            <v>2010107170</v>
          </cell>
          <cell r="D247" t="str">
            <v>CNY</v>
          </cell>
          <cell r="E247" t="str">
            <v>PCS</v>
          </cell>
          <cell r="F247">
            <v>3.2550000000000001E-3</v>
          </cell>
        </row>
        <row r="248">
          <cell r="C248">
            <v>2010107220</v>
          </cell>
          <cell r="D248" t="str">
            <v>CNY</v>
          </cell>
          <cell r="E248" t="str">
            <v>PCS</v>
          </cell>
          <cell r="F248">
            <v>1.029E-3</v>
          </cell>
        </row>
        <row r="249">
          <cell r="C249">
            <v>2010107230</v>
          </cell>
          <cell r="D249" t="str">
            <v>CNY</v>
          </cell>
          <cell r="E249" t="str">
            <v>PCS</v>
          </cell>
          <cell r="F249">
            <v>1.7849999999999999E-3</v>
          </cell>
        </row>
        <row r="250">
          <cell r="C250">
            <v>2010107240</v>
          </cell>
          <cell r="D250" t="str">
            <v>CNY</v>
          </cell>
          <cell r="E250" t="str">
            <v>PCS</v>
          </cell>
          <cell r="F250">
            <v>1.7849999999999999E-3</v>
          </cell>
        </row>
        <row r="251">
          <cell r="C251">
            <v>2010108310</v>
          </cell>
          <cell r="D251" t="str">
            <v>CNY</v>
          </cell>
          <cell r="E251" t="str">
            <v>PCS</v>
          </cell>
          <cell r="F251">
            <v>1.1655000000000001E-3</v>
          </cell>
        </row>
        <row r="252">
          <cell r="C252">
            <v>2010108600</v>
          </cell>
          <cell r="D252" t="str">
            <v>CNY</v>
          </cell>
          <cell r="E252" t="str">
            <v>PCS</v>
          </cell>
          <cell r="F252">
            <v>1.1655000000000001E-3</v>
          </cell>
        </row>
        <row r="253">
          <cell r="C253">
            <v>2010109520</v>
          </cell>
          <cell r="D253" t="str">
            <v>CNY</v>
          </cell>
          <cell r="E253" t="str">
            <v>PCS</v>
          </cell>
          <cell r="F253">
            <v>1.1655000000000001E-3</v>
          </cell>
        </row>
        <row r="254">
          <cell r="C254">
            <v>2010109590</v>
          </cell>
          <cell r="D254" t="str">
            <v>CNY</v>
          </cell>
          <cell r="E254" t="str">
            <v>PCS</v>
          </cell>
          <cell r="F254">
            <v>1.1655000000000001E-3</v>
          </cell>
        </row>
        <row r="255">
          <cell r="C255">
            <v>2010109640</v>
          </cell>
          <cell r="D255" t="str">
            <v>CNY</v>
          </cell>
          <cell r="E255" t="str">
            <v>PCS</v>
          </cell>
          <cell r="F255">
            <v>1.7849999999999999E-3</v>
          </cell>
        </row>
        <row r="256">
          <cell r="C256">
            <v>2010110190</v>
          </cell>
          <cell r="D256" t="str">
            <v>CNY</v>
          </cell>
          <cell r="E256" t="str">
            <v>PCS</v>
          </cell>
          <cell r="F256">
            <v>1.7849999999999999E-3</v>
          </cell>
        </row>
        <row r="257">
          <cell r="C257">
            <v>2010110390</v>
          </cell>
          <cell r="D257" t="str">
            <v>CNY</v>
          </cell>
          <cell r="E257" t="str">
            <v>PCS</v>
          </cell>
          <cell r="F257">
            <v>0.17115000000000002</v>
          </cell>
        </row>
        <row r="258">
          <cell r="C258">
            <v>2010110400</v>
          </cell>
          <cell r="D258" t="str">
            <v>CNY</v>
          </cell>
          <cell r="E258" t="str">
            <v>PCS</v>
          </cell>
          <cell r="F258">
            <v>0.17115000000000002</v>
          </cell>
        </row>
        <row r="259">
          <cell r="C259">
            <v>2010110410</v>
          </cell>
          <cell r="D259" t="str">
            <v>CNY</v>
          </cell>
          <cell r="E259" t="str">
            <v>PCS</v>
          </cell>
          <cell r="F259">
            <v>2.2785000000000001E-3</v>
          </cell>
        </row>
        <row r="260">
          <cell r="C260">
            <v>2010110500</v>
          </cell>
          <cell r="D260" t="str">
            <v>CNY</v>
          </cell>
          <cell r="E260" t="str">
            <v>PCS</v>
          </cell>
          <cell r="F260">
            <v>1.7849999999999999E-3</v>
          </cell>
        </row>
        <row r="261">
          <cell r="C261">
            <v>2010110600</v>
          </cell>
          <cell r="D261" t="str">
            <v>CNY</v>
          </cell>
          <cell r="E261" t="str">
            <v>PCS</v>
          </cell>
          <cell r="F261">
            <v>2.2785000000000001E-3</v>
          </cell>
        </row>
        <row r="262">
          <cell r="C262">
            <v>2010110970</v>
          </cell>
          <cell r="D262" t="str">
            <v>CNY</v>
          </cell>
          <cell r="E262" t="str">
            <v>PCS</v>
          </cell>
          <cell r="F262">
            <v>6.4260000000000012E-2</v>
          </cell>
        </row>
        <row r="263">
          <cell r="C263">
            <v>2010111340</v>
          </cell>
          <cell r="D263" t="str">
            <v>CNY</v>
          </cell>
          <cell r="E263" t="str">
            <v>PCS</v>
          </cell>
          <cell r="F263">
            <v>4.1055000000000006E-3</v>
          </cell>
        </row>
        <row r="264">
          <cell r="C264">
            <v>2010111620</v>
          </cell>
          <cell r="D264" t="str">
            <v>CNY</v>
          </cell>
          <cell r="E264" t="str">
            <v>PCS</v>
          </cell>
          <cell r="F264">
            <v>7.2344999999999996E-3</v>
          </cell>
        </row>
        <row r="265">
          <cell r="C265">
            <v>2010111700</v>
          </cell>
          <cell r="D265" t="str">
            <v>CNY</v>
          </cell>
          <cell r="E265" t="str">
            <v>PCS</v>
          </cell>
          <cell r="F265">
            <v>1.0500000000000001E-2</v>
          </cell>
        </row>
        <row r="266">
          <cell r="C266">
            <v>2010111740</v>
          </cell>
          <cell r="D266" t="str">
            <v>CNY</v>
          </cell>
          <cell r="E266" t="str">
            <v>PCS</v>
          </cell>
          <cell r="F266">
            <v>1.3891500000000001E-2</v>
          </cell>
        </row>
        <row r="267">
          <cell r="C267">
            <v>2010112110</v>
          </cell>
          <cell r="D267" t="str">
            <v>CNY</v>
          </cell>
          <cell r="E267" t="str">
            <v>PCS</v>
          </cell>
          <cell r="F267">
            <v>2.2785000000000001E-3</v>
          </cell>
        </row>
        <row r="268">
          <cell r="C268">
            <v>2010112260</v>
          </cell>
          <cell r="D268" t="str">
            <v>CNY</v>
          </cell>
          <cell r="E268" t="str">
            <v>PCS</v>
          </cell>
          <cell r="F268">
            <v>9.0930000000000004E-3</v>
          </cell>
        </row>
        <row r="269">
          <cell r="C269">
            <v>2010500032</v>
          </cell>
          <cell r="D269" t="str">
            <v>CNY</v>
          </cell>
          <cell r="E269" t="str">
            <v>PCS</v>
          </cell>
          <cell r="F269">
            <v>6.615E-2</v>
          </cell>
        </row>
        <row r="270">
          <cell r="C270">
            <v>2010500091</v>
          </cell>
          <cell r="D270" t="str">
            <v>CNY</v>
          </cell>
          <cell r="E270" t="str">
            <v>PCS</v>
          </cell>
          <cell r="F270">
            <v>8.2424999999999998E-2</v>
          </cell>
        </row>
        <row r="271">
          <cell r="C271">
            <v>2010500121</v>
          </cell>
          <cell r="D271" t="str">
            <v>CNY</v>
          </cell>
          <cell r="E271" t="str">
            <v>PCS</v>
          </cell>
          <cell r="F271">
            <v>8.295000000000001E-2</v>
          </cell>
        </row>
        <row r="272">
          <cell r="C272">
            <v>2010500131</v>
          </cell>
          <cell r="D272" t="str">
            <v>CNY</v>
          </cell>
          <cell r="E272" t="str">
            <v>PCS</v>
          </cell>
          <cell r="F272">
            <v>9.2641500000000002E-2</v>
          </cell>
        </row>
        <row r="273">
          <cell r="C273">
            <v>2010500141</v>
          </cell>
          <cell r="D273" t="str">
            <v>CNY</v>
          </cell>
          <cell r="E273" t="str">
            <v>PCS</v>
          </cell>
          <cell r="F273">
            <v>6.615E-2</v>
          </cell>
        </row>
        <row r="274">
          <cell r="C274">
            <v>2010500201</v>
          </cell>
          <cell r="D274" t="str">
            <v>CNY</v>
          </cell>
          <cell r="E274" t="str">
            <v>PCS</v>
          </cell>
          <cell r="F274">
            <v>9.2641500000000002E-2</v>
          </cell>
        </row>
        <row r="275">
          <cell r="C275">
            <v>2010500202</v>
          </cell>
          <cell r="D275" t="str">
            <v>CNY</v>
          </cell>
          <cell r="E275" t="str">
            <v>PCS</v>
          </cell>
          <cell r="F275">
            <v>6.615E-2</v>
          </cell>
        </row>
        <row r="276">
          <cell r="C276">
            <v>2010500300</v>
          </cell>
          <cell r="D276" t="str">
            <v>CNY</v>
          </cell>
          <cell r="E276" t="str">
            <v>PCS</v>
          </cell>
          <cell r="F276">
            <v>8.295000000000001E-2</v>
          </cell>
        </row>
        <row r="277">
          <cell r="C277">
            <v>2010900012</v>
          </cell>
          <cell r="D277" t="str">
            <v>CNY</v>
          </cell>
          <cell r="E277" t="str">
            <v>PCS</v>
          </cell>
          <cell r="F277">
            <v>0.39900000000000002</v>
          </cell>
        </row>
        <row r="278">
          <cell r="C278">
            <v>2010900071</v>
          </cell>
          <cell r="D278" t="str">
            <v>CNY</v>
          </cell>
          <cell r="E278" t="str">
            <v>PCS</v>
          </cell>
          <cell r="F278">
            <v>0.12495000000000001</v>
          </cell>
        </row>
        <row r="279">
          <cell r="C279">
            <v>2010900082</v>
          </cell>
          <cell r="D279" t="str">
            <v>CNY</v>
          </cell>
          <cell r="E279" t="str">
            <v>PCS</v>
          </cell>
          <cell r="F279">
            <v>0.13650000000000001</v>
          </cell>
        </row>
        <row r="280">
          <cell r="C280">
            <v>2010900111</v>
          </cell>
          <cell r="D280" t="str">
            <v>CNY</v>
          </cell>
          <cell r="E280" t="str">
            <v>PCS</v>
          </cell>
          <cell r="F280">
            <v>0.71662500000000007</v>
          </cell>
        </row>
        <row r="281">
          <cell r="C281">
            <v>2010900152</v>
          </cell>
          <cell r="D281" t="str">
            <v>CNY</v>
          </cell>
          <cell r="E281" t="str">
            <v>PCS</v>
          </cell>
          <cell r="F281">
            <v>0.19215000000000002</v>
          </cell>
        </row>
        <row r="282">
          <cell r="C282">
            <v>2010900231</v>
          </cell>
          <cell r="D282" t="str">
            <v>CNY</v>
          </cell>
          <cell r="E282" t="str">
            <v>PCS</v>
          </cell>
          <cell r="F282">
            <v>0.19908000000000001</v>
          </cell>
        </row>
        <row r="283">
          <cell r="C283">
            <v>2010900941</v>
          </cell>
          <cell r="D283" t="str">
            <v>CNY</v>
          </cell>
          <cell r="E283" t="str">
            <v>PCS</v>
          </cell>
          <cell r="F283">
            <v>0.20475000000000002</v>
          </cell>
        </row>
        <row r="284">
          <cell r="C284">
            <v>2011100011</v>
          </cell>
          <cell r="D284" t="str">
            <v>CNY</v>
          </cell>
          <cell r="E284" t="str">
            <v>PCS</v>
          </cell>
          <cell r="F284">
            <v>0.63</v>
          </cell>
        </row>
        <row r="285">
          <cell r="C285">
            <v>2011100061</v>
          </cell>
          <cell r="D285" t="str">
            <v>CNY</v>
          </cell>
          <cell r="E285" t="str">
            <v>PCS</v>
          </cell>
          <cell r="F285">
            <v>0.28350000000000003</v>
          </cell>
        </row>
        <row r="286">
          <cell r="C286">
            <v>2011100071</v>
          </cell>
          <cell r="D286" t="str">
            <v>CNY</v>
          </cell>
          <cell r="E286" t="str">
            <v>PCS</v>
          </cell>
          <cell r="F286">
            <v>0.28350000000000003</v>
          </cell>
        </row>
        <row r="287">
          <cell r="C287">
            <v>2011100081</v>
          </cell>
          <cell r="D287" t="str">
            <v>CNY</v>
          </cell>
          <cell r="E287" t="str">
            <v>PCS</v>
          </cell>
          <cell r="F287">
            <v>0.54600000000000004</v>
          </cell>
        </row>
        <row r="288">
          <cell r="C288">
            <v>2011100091</v>
          </cell>
          <cell r="D288" t="str">
            <v>CNY</v>
          </cell>
          <cell r="E288" t="str">
            <v>PCS</v>
          </cell>
          <cell r="F288">
            <v>0.45150000000000001</v>
          </cell>
        </row>
        <row r="289">
          <cell r="C289">
            <v>2011100111</v>
          </cell>
          <cell r="D289" t="str">
            <v>CNY</v>
          </cell>
          <cell r="E289" t="str">
            <v>PCS</v>
          </cell>
          <cell r="F289">
            <v>0.55650000000000011</v>
          </cell>
        </row>
        <row r="290">
          <cell r="C290">
            <v>2011100131</v>
          </cell>
          <cell r="D290" t="str">
            <v>CNY</v>
          </cell>
          <cell r="E290" t="str">
            <v>PCS</v>
          </cell>
          <cell r="F290">
            <v>0.69300000000000006</v>
          </cell>
        </row>
        <row r="291">
          <cell r="C291">
            <v>2011100141</v>
          </cell>
          <cell r="D291" t="str">
            <v>CNY</v>
          </cell>
          <cell r="E291" t="str">
            <v>PCS</v>
          </cell>
          <cell r="F291">
            <v>0.65100000000000002</v>
          </cell>
        </row>
        <row r="292">
          <cell r="C292">
            <v>2011100151</v>
          </cell>
          <cell r="D292" t="str">
            <v>CNY</v>
          </cell>
          <cell r="E292" t="str">
            <v>PCS</v>
          </cell>
          <cell r="F292">
            <v>0.35700000000000004</v>
          </cell>
        </row>
        <row r="293">
          <cell r="C293">
            <v>2011100161</v>
          </cell>
          <cell r="D293" t="str">
            <v>CNY</v>
          </cell>
          <cell r="E293" t="str">
            <v>PCS</v>
          </cell>
          <cell r="F293">
            <v>0.252</v>
          </cell>
        </row>
        <row r="294">
          <cell r="C294">
            <v>2011100163</v>
          </cell>
          <cell r="D294" t="str">
            <v>CNY</v>
          </cell>
          <cell r="E294" t="str">
            <v>PCS</v>
          </cell>
          <cell r="F294">
            <v>0.24150000000000002</v>
          </cell>
        </row>
        <row r="295">
          <cell r="C295">
            <v>2011100164</v>
          </cell>
          <cell r="D295" t="str">
            <v>CNY</v>
          </cell>
          <cell r="E295" t="str">
            <v>PCS</v>
          </cell>
          <cell r="F295">
            <v>0.30135000000000001</v>
          </cell>
        </row>
        <row r="296">
          <cell r="C296">
            <v>2011100191</v>
          </cell>
          <cell r="D296" t="str">
            <v>CNY</v>
          </cell>
          <cell r="E296" t="str">
            <v>PCS</v>
          </cell>
          <cell r="F296">
            <v>0.66150000000000009</v>
          </cell>
        </row>
        <row r="297">
          <cell r="C297">
            <v>2011100213</v>
          </cell>
          <cell r="D297" t="str">
            <v>CNY</v>
          </cell>
          <cell r="E297" t="str">
            <v>PCS</v>
          </cell>
          <cell r="F297">
            <v>0.45150000000000001</v>
          </cell>
        </row>
        <row r="298">
          <cell r="C298">
            <v>2011100233</v>
          </cell>
          <cell r="D298" t="str">
            <v>CNY</v>
          </cell>
          <cell r="E298" t="str">
            <v>PCS</v>
          </cell>
          <cell r="F298">
            <v>0.55125000000000002</v>
          </cell>
        </row>
        <row r="299">
          <cell r="C299">
            <v>2011100302</v>
          </cell>
          <cell r="D299" t="str">
            <v>CNY</v>
          </cell>
          <cell r="E299" t="str">
            <v>PCS</v>
          </cell>
          <cell r="F299">
            <v>1.2495000000000001</v>
          </cell>
        </row>
        <row r="300">
          <cell r="C300">
            <v>2011101020</v>
          </cell>
          <cell r="D300" t="str">
            <v>CNY</v>
          </cell>
          <cell r="E300" t="str">
            <v>PCS</v>
          </cell>
          <cell r="F300">
            <v>0.46200000000000002</v>
          </cell>
        </row>
        <row r="301">
          <cell r="C301">
            <v>2011101821</v>
          </cell>
          <cell r="D301" t="str">
            <v>CNY</v>
          </cell>
          <cell r="E301" t="str">
            <v>PCS</v>
          </cell>
          <cell r="F301">
            <v>2.9898750000000001</v>
          </cell>
        </row>
        <row r="302">
          <cell r="C302">
            <v>2011101941</v>
          </cell>
          <cell r="D302" t="str">
            <v>CNY</v>
          </cell>
          <cell r="E302" t="str">
            <v>PCS</v>
          </cell>
          <cell r="F302">
            <v>0.40950000000000003</v>
          </cell>
        </row>
        <row r="303">
          <cell r="C303">
            <v>2011101953</v>
          </cell>
          <cell r="D303" t="str">
            <v>CNY</v>
          </cell>
          <cell r="E303" t="str">
            <v>PCS</v>
          </cell>
          <cell r="F303">
            <v>0.76439999999999997</v>
          </cell>
        </row>
        <row r="304">
          <cell r="C304">
            <v>2011101963</v>
          </cell>
          <cell r="D304" t="str">
            <v>CNY</v>
          </cell>
          <cell r="E304" t="str">
            <v>PCS</v>
          </cell>
          <cell r="F304">
            <v>0.77385000000000004</v>
          </cell>
        </row>
        <row r="305">
          <cell r="C305">
            <v>2011102170</v>
          </cell>
          <cell r="D305" t="str">
            <v>CNY</v>
          </cell>
          <cell r="E305" t="str">
            <v>PCS</v>
          </cell>
          <cell r="F305">
            <v>0.85365000000000002</v>
          </cell>
        </row>
        <row r="306">
          <cell r="C306">
            <v>2011500020</v>
          </cell>
          <cell r="D306" t="str">
            <v>CNY</v>
          </cell>
          <cell r="E306" t="str">
            <v>PCS</v>
          </cell>
          <cell r="F306">
            <v>6.615E-2</v>
          </cell>
        </row>
        <row r="307">
          <cell r="C307">
            <v>2011500270</v>
          </cell>
          <cell r="D307" t="str">
            <v>CNY</v>
          </cell>
          <cell r="E307" t="str">
            <v>PCS</v>
          </cell>
          <cell r="F307">
            <v>6.1120500000000001E-2</v>
          </cell>
        </row>
        <row r="308">
          <cell r="C308">
            <v>2020100010</v>
          </cell>
          <cell r="D308" t="str">
            <v>CNY</v>
          </cell>
          <cell r="E308" t="str">
            <v>PCS</v>
          </cell>
          <cell r="F308">
            <v>1.1655E-2</v>
          </cell>
        </row>
        <row r="309">
          <cell r="C309">
            <v>2020100020</v>
          </cell>
          <cell r="D309" t="str">
            <v>CNY</v>
          </cell>
          <cell r="E309" t="str">
            <v>PCS</v>
          </cell>
          <cell r="F309">
            <v>8.6099999999999996E-3</v>
          </cell>
        </row>
        <row r="310">
          <cell r="C310">
            <v>2020100030</v>
          </cell>
          <cell r="D310" t="str">
            <v>CNY</v>
          </cell>
          <cell r="E310" t="str">
            <v>PCS</v>
          </cell>
          <cell r="F310">
            <v>5.6700000000000006E-3</v>
          </cell>
        </row>
        <row r="311">
          <cell r="C311">
            <v>2020100040</v>
          </cell>
          <cell r="D311" t="str">
            <v>CNY</v>
          </cell>
          <cell r="E311" t="str">
            <v>PCS</v>
          </cell>
          <cell r="F311">
            <v>1.2075000000000001E-2</v>
          </cell>
        </row>
        <row r="312">
          <cell r="C312">
            <v>2020100050</v>
          </cell>
          <cell r="D312" t="str">
            <v>CNY</v>
          </cell>
          <cell r="E312" t="str">
            <v>PCS</v>
          </cell>
          <cell r="F312">
            <v>6.6150000000000002E-3</v>
          </cell>
        </row>
        <row r="313">
          <cell r="C313">
            <v>2020100060</v>
          </cell>
          <cell r="D313" t="str">
            <v>CNY</v>
          </cell>
          <cell r="E313" t="str">
            <v>PCS</v>
          </cell>
          <cell r="F313">
            <v>2.04435E-2</v>
          </cell>
        </row>
        <row r="314">
          <cell r="C314">
            <v>2020100070</v>
          </cell>
          <cell r="D314" t="str">
            <v>CNY</v>
          </cell>
          <cell r="E314" t="str">
            <v>PCS</v>
          </cell>
          <cell r="F314">
            <v>6.1635000000000006E-3</v>
          </cell>
        </row>
        <row r="315">
          <cell r="C315">
            <v>2020100090</v>
          </cell>
          <cell r="D315" t="str">
            <v>CNY</v>
          </cell>
          <cell r="E315" t="str">
            <v>PCS</v>
          </cell>
          <cell r="F315">
            <v>5.3549999999999995E-3</v>
          </cell>
        </row>
        <row r="316">
          <cell r="C316">
            <v>2020100100</v>
          </cell>
          <cell r="D316" t="str">
            <v>CNY</v>
          </cell>
          <cell r="E316" t="str">
            <v>PCS</v>
          </cell>
          <cell r="F316">
            <v>5.6700000000000006E-3</v>
          </cell>
        </row>
        <row r="317">
          <cell r="C317">
            <v>2020100110</v>
          </cell>
          <cell r="D317" t="str">
            <v>CNY</v>
          </cell>
          <cell r="E317" t="str">
            <v>PCS</v>
          </cell>
          <cell r="F317">
            <v>5.7749999999999998E-3</v>
          </cell>
        </row>
        <row r="318">
          <cell r="C318">
            <v>2020100120</v>
          </cell>
          <cell r="D318" t="str">
            <v>CNY</v>
          </cell>
          <cell r="E318" t="str">
            <v>PCS</v>
          </cell>
          <cell r="F318">
            <v>5.7749999999999998E-3</v>
          </cell>
        </row>
        <row r="319">
          <cell r="C319">
            <v>2020100130</v>
          </cell>
          <cell r="D319" t="str">
            <v>CNY</v>
          </cell>
          <cell r="E319" t="str">
            <v>PCS</v>
          </cell>
          <cell r="F319">
            <v>6.3734999999999998E-3</v>
          </cell>
        </row>
        <row r="320">
          <cell r="C320">
            <v>2020100150</v>
          </cell>
          <cell r="D320" t="str">
            <v>CNY</v>
          </cell>
          <cell r="E320" t="str">
            <v>PCS</v>
          </cell>
          <cell r="F320">
            <v>6.9300000000000004E-3</v>
          </cell>
        </row>
        <row r="321">
          <cell r="C321">
            <v>2020100160</v>
          </cell>
          <cell r="D321" t="str">
            <v>CNY</v>
          </cell>
          <cell r="E321" t="str">
            <v>PCS</v>
          </cell>
          <cell r="F321">
            <v>5.9850000000000007E-3</v>
          </cell>
        </row>
        <row r="322">
          <cell r="C322">
            <v>2020100170</v>
          </cell>
          <cell r="D322" t="str">
            <v>CNY</v>
          </cell>
          <cell r="E322" t="str">
            <v>PCS</v>
          </cell>
          <cell r="F322">
            <v>6.1739999999999998E-3</v>
          </cell>
        </row>
        <row r="323">
          <cell r="C323">
            <v>2020100180</v>
          </cell>
          <cell r="D323" t="str">
            <v>CNY</v>
          </cell>
          <cell r="E323" t="str">
            <v>PCS</v>
          </cell>
          <cell r="F323">
            <v>6.4050000000000001E-3</v>
          </cell>
        </row>
        <row r="324">
          <cell r="C324">
            <v>2020100190</v>
          </cell>
          <cell r="D324" t="str">
            <v>CNY</v>
          </cell>
          <cell r="E324" t="str">
            <v>PCS</v>
          </cell>
          <cell r="F324">
            <v>5.3549999999999995E-3</v>
          </cell>
        </row>
        <row r="325">
          <cell r="C325">
            <v>2020100200</v>
          </cell>
          <cell r="D325" t="str">
            <v>CNY</v>
          </cell>
          <cell r="E325" t="str">
            <v>PCS</v>
          </cell>
          <cell r="F325">
            <v>6.3734999999999998E-3</v>
          </cell>
        </row>
        <row r="326">
          <cell r="C326">
            <v>2020100210</v>
          </cell>
          <cell r="D326" t="str">
            <v>CNY</v>
          </cell>
          <cell r="E326" t="str">
            <v>PCS</v>
          </cell>
          <cell r="F326">
            <v>2.1798000000000001E-2</v>
          </cell>
        </row>
        <row r="327">
          <cell r="C327">
            <v>2020100230</v>
          </cell>
          <cell r="D327" t="str">
            <v>CNY</v>
          </cell>
          <cell r="E327" t="str">
            <v>PCS</v>
          </cell>
          <cell r="F327">
            <v>3.3600000000000005E-2</v>
          </cell>
        </row>
        <row r="328">
          <cell r="C328">
            <v>2020100240</v>
          </cell>
          <cell r="D328" t="str">
            <v>CNY</v>
          </cell>
          <cell r="E328" t="str">
            <v>PCS</v>
          </cell>
          <cell r="F328">
            <v>1.2075000000000001E-2</v>
          </cell>
        </row>
        <row r="329">
          <cell r="C329">
            <v>2020100250</v>
          </cell>
          <cell r="D329" t="str">
            <v>CNY</v>
          </cell>
          <cell r="E329" t="str">
            <v>PCS</v>
          </cell>
          <cell r="F329">
            <v>1.3545E-2</v>
          </cell>
        </row>
        <row r="330">
          <cell r="C330">
            <v>2020100260</v>
          </cell>
          <cell r="D330" t="str">
            <v>CNY</v>
          </cell>
          <cell r="E330" t="str">
            <v>PCS</v>
          </cell>
          <cell r="F330">
            <v>1.6800000000000002E-2</v>
          </cell>
        </row>
        <row r="331">
          <cell r="C331">
            <v>2020100280</v>
          </cell>
          <cell r="D331" t="str">
            <v>CNY</v>
          </cell>
          <cell r="E331" t="str">
            <v>PCS</v>
          </cell>
          <cell r="F331">
            <v>7.481249999999999E-2</v>
          </cell>
        </row>
        <row r="332">
          <cell r="C332">
            <v>2020100290</v>
          </cell>
          <cell r="D332" t="str">
            <v>CNY</v>
          </cell>
          <cell r="E332" t="str">
            <v>PCS</v>
          </cell>
          <cell r="F332">
            <v>5.9850000000000007E-2</v>
          </cell>
        </row>
        <row r="333">
          <cell r="C333">
            <v>2020100310</v>
          </cell>
          <cell r="D333" t="str">
            <v>CNY</v>
          </cell>
          <cell r="E333" t="str">
            <v>PCS</v>
          </cell>
          <cell r="F333">
            <v>6.4050000000000001E-3</v>
          </cell>
        </row>
        <row r="334">
          <cell r="C334">
            <v>2020100320</v>
          </cell>
          <cell r="D334" t="str">
            <v>CNY</v>
          </cell>
          <cell r="E334" t="str">
            <v>PCS</v>
          </cell>
          <cell r="F334">
            <v>1.4857500000000003E-2</v>
          </cell>
        </row>
        <row r="335">
          <cell r="C335">
            <v>2020100330</v>
          </cell>
          <cell r="D335" t="str">
            <v>CNY</v>
          </cell>
          <cell r="E335" t="str">
            <v>PCS</v>
          </cell>
          <cell r="F335">
            <v>6.6150000000000002E-3</v>
          </cell>
        </row>
        <row r="336">
          <cell r="C336">
            <v>2020100350</v>
          </cell>
          <cell r="D336" t="str">
            <v>CNY</v>
          </cell>
          <cell r="E336" t="str">
            <v>PCS</v>
          </cell>
          <cell r="F336">
            <v>8.6099999999999996E-3</v>
          </cell>
        </row>
        <row r="337">
          <cell r="C337">
            <v>2020100370</v>
          </cell>
          <cell r="D337" t="str">
            <v>CNY</v>
          </cell>
          <cell r="E337" t="str">
            <v>PCS</v>
          </cell>
          <cell r="F337">
            <v>1.1140499999999999E-2</v>
          </cell>
        </row>
        <row r="338">
          <cell r="C338">
            <v>2020100380</v>
          </cell>
          <cell r="D338" t="str">
            <v>CNY</v>
          </cell>
          <cell r="E338" t="str">
            <v>PCS</v>
          </cell>
          <cell r="F338">
            <v>6.3734999999999998E-3</v>
          </cell>
        </row>
        <row r="339">
          <cell r="C339">
            <v>2020100400</v>
          </cell>
          <cell r="D339" t="str">
            <v>CNY</v>
          </cell>
          <cell r="E339" t="str">
            <v>PCS</v>
          </cell>
          <cell r="F339">
            <v>6.6150000000000002E-3</v>
          </cell>
        </row>
        <row r="340">
          <cell r="C340">
            <v>2020100430</v>
          </cell>
          <cell r="D340" t="str">
            <v>CNY</v>
          </cell>
          <cell r="E340" t="str">
            <v>PCS</v>
          </cell>
          <cell r="F340">
            <v>8.2004999999999995E-3</v>
          </cell>
        </row>
        <row r="341">
          <cell r="C341">
            <v>2020100510</v>
          </cell>
          <cell r="D341" t="str">
            <v>CNY</v>
          </cell>
          <cell r="E341" t="str">
            <v>PCS</v>
          </cell>
          <cell r="F341">
            <v>6.7200000000000003E-3</v>
          </cell>
        </row>
        <row r="342">
          <cell r="C342">
            <v>2020100530</v>
          </cell>
          <cell r="D342" t="str">
            <v>CNY</v>
          </cell>
          <cell r="E342" t="str">
            <v>PCS</v>
          </cell>
          <cell r="F342">
            <v>6.4050000000000001E-3</v>
          </cell>
        </row>
        <row r="343">
          <cell r="C343">
            <v>2020100560</v>
          </cell>
          <cell r="D343" t="str">
            <v>CNY</v>
          </cell>
          <cell r="E343" t="str">
            <v>PCS</v>
          </cell>
          <cell r="F343">
            <v>8.6099999999999996E-3</v>
          </cell>
        </row>
        <row r="344">
          <cell r="C344">
            <v>2020100580</v>
          </cell>
          <cell r="D344" t="str">
            <v>CNY</v>
          </cell>
          <cell r="E344" t="str">
            <v>PCS</v>
          </cell>
          <cell r="F344">
            <v>5.6700000000000006E-3</v>
          </cell>
        </row>
        <row r="345">
          <cell r="C345">
            <v>2020100690</v>
          </cell>
          <cell r="D345" t="str">
            <v>CNY</v>
          </cell>
          <cell r="E345" t="str">
            <v>PCS</v>
          </cell>
          <cell r="F345">
            <v>1.218E-2</v>
          </cell>
        </row>
        <row r="346">
          <cell r="C346">
            <v>2020100760</v>
          </cell>
          <cell r="D346" t="str">
            <v>CNY</v>
          </cell>
          <cell r="E346" t="str">
            <v>PCS</v>
          </cell>
          <cell r="F346">
            <v>8.6099999999999996E-3</v>
          </cell>
        </row>
        <row r="347">
          <cell r="C347">
            <v>2020100850</v>
          </cell>
          <cell r="D347" t="str">
            <v>CNY</v>
          </cell>
          <cell r="E347" t="str">
            <v>PCS</v>
          </cell>
          <cell r="F347">
            <v>1.4825999999999999E-2</v>
          </cell>
        </row>
        <row r="348">
          <cell r="C348">
            <v>2020100860</v>
          </cell>
          <cell r="D348" t="str">
            <v>CNY</v>
          </cell>
          <cell r="E348" t="str">
            <v>PCS</v>
          </cell>
          <cell r="F348">
            <v>1.281E-2</v>
          </cell>
        </row>
        <row r="349">
          <cell r="C349">
            <v>2020100880</v>
          </cell>
          <cell r="D349" t="str">
            <v>CNY</v>
          </cell>
          <cell r="E349" t="str">
            <v>PCS</v>
          </cell>
          <cell r="F349">
            <v>1.4122500000000001E-2</v>
          </cell>
        </row>
        <row r="350">
          <cell r="C350">
            <v>2020100910</v>
          </cell>
          <cell r="D350" t="str">
            <v>CNY</v>
          </cell>
          <cell r="E350" t="str">
            <v>PCS</v>
          </cell>
          <cell r="F350">
            <v>1.806E-2</v>
          </cell>
        </row>
        <row r="351">
          <cell r="C351">
            <v>2020100960</v>
          </cell>
          <cell r="D351" t="str">
            <v>CNY</v>
          </cell>
          <cell r="E351" t="str">
            <v>PCS</v>
          </cell>
          <cell r="F351">
            <v>1.20015E-2</v>
          </cell>
        </row>
        <row r="352">
          <cell r="C352">
            <v>2020100990</v>
          </cell>
          <cell r="D352" t="str">
            <v>CNY</v>
          </cell>
          <cell r="E352" t="str">
            <v>PCS</v>
          </cell>
          <cell r="F352">
            <v>2.6838000000000001E-2</v>
          </cell>
        </row>
        <row r="353">
          <cell r="C353">
            <v>2020101000</v>
          </cell>
          <cell r="D353" t="str">
            <v>CNY</v>
          </cell>
          <cell r="E353" t="str">
            <v>PCS</v>
          </cell>
          <cell r="F353">
            <v>1.4122500000000001E-2</v>
          </cell>
        </row>
        <row r="354">
          <cell r="C354">
            <v>2020101070</v>
          </cell>
          <cell r="D354" t="str">
            <v>CNY</v>
          </cell>
          <cell r="E354" t="str">
            <v>PCS</v>
          </cell>
          <cell r="F354">
            <v>1.9278E-2</v>
          </cell>
        </row>
        <row r="355">
          <cell r="C355">
            <v>2020101110</v>
          </cell>
          <cell r="D355" t="str">
            <v>CNY</v>
          </cell>
          <cell r="E355" t="str">
            <v>PCS</v>
          </cell>
          <cell r="F355">
            <v>2.3415000000000002E-2</v>
          </cell>
        </row>
        <row r="356">
          <cell r="C356">
            <v>2020101120</v>
          </cell>
          <cell r="D356" t="str">
            <v>CNY</v>
          </cell>
          <cell r="E356" t="str">
            <v>PCS</v>
          </cell>
          <cell r="F356">
            <v>3.3453000000000004E-2</v>
          </cell>
        </row>
        <row r="357">
          <cell r="C357">
            <v>2020101160</v>
          </cell>
          <cell r="D357" t="str">
            <v>CNY</v>
          </cell>
          <cell r="E357" t="str">
            <v>PCS</v>
          </cell>
          <cell r="F357">
            <v>5.9850000000000007E-2</v>
          </cell>
        </row>
        <row r="358">
          <cell r="C358">
            <v>2020101180</v>
          </cell>
          <cell r="D358" t="str">
            <v>CNY</v>
          </cell>
          <cell r="E358" t="str">
            <v>PCS</v>
          </cell>
          <cell r="F358">
            <v>3.9899999999999998E-2</v>
          </cell>
        </row>
        <row r="359">
          <cell r="C359">
            <v>2020101190</v>
          </cell>
          <cell r="D359" t="str">
            <v>CNY</v>
          </cell>
          <cell r="E359" t="str">
            <v>PCS</v>
          </cell>
          <cell r="F359">
            <v>3.5700000000000003E-2</v>
          </cell>
        </row>
        <row r="360">
          <cell r="C360">
            <v>2020101230</v>
          </cell>
          <cell r="D360" t="str">
            <v>CNY</v>
          </cell>
          <cell r="E360" t="str">
            <v>PCS</v>
          </cell>
          <cell r="F360">
            <v>4.2105000000000004E-2</v>
          </cell>
        </row>
        <row r="361">
          <cell r="C361">
            <v>2020101240</v>
          </cell>
          <cell r="D361" t="str">
            <v>CNY</v>
          </cell>
          <cell r="E361" t="str">
            <v>PCS</v>
          </cell>
          <cell r="F361">
            <v>5.9850000000000007E-2</v>
          </cell>
        </row>
        <row r="362">
          <cell r="C362">
            <v>2020101270</v>
          </cell>
          <cell r="D362" t="str">
            <v>CNY</v>
          </cell>
          <cell r="E362" t="str">
            <v>PCS</v>
          </cell>
          <cell r="F362">
            <v>5.2500000000000003E-3</v>
          </cell>
        </row>
        <row r="363">
          <cell r="C363">
            <v>2020101290</v>
          </cell>
          <cell r="D363" t="str">
            <v>CNY</v>
          </cell>
          <cell r="E363" t="str">
            <v>PCS</v>
          </cell>
          <cell r="F363">
            <v>2.0369999999999999E-2</v>
          </cell>
        </row>
        <row r="364">
          <cell r="C364">
            <v>2020101300</v>
          </cell>
          <cell r="D364" t="str">
            <v>CNY</v>
          </cell>
          <cell r="E364" t="str">
            <v>PCS</v>
          </cell>
          <cell r="F364">
            <v>5.8799999999999998E-3</v>
          </cell>
        </row>
        <row r="365">
          <cell r="C365">
            <v>2020101310</v>
          </cell>
          <cell r="D365" t="str">
            <v>CNY</v>
          </cell>
          <cell r="E365" t="str">
            <v>PCS</v>
          </cell>
          <cell r="F365">
            <v>3.8850000000000004E-3</v>
          </cell>
        </row>
        <row r="366">
          <cell r="C366">
            <v>2020101320</v>
          </cell>
          <cell r="D366" t="str">
            <v>CNY</v>
          </cell>
          <cell r="E366" t="str">
            <v>PCS</v>
          </cell>
          <cell r="F366">
            <v>2.2050000000000004E-3</v>
          </cell>
        </row>
        <row r="367">
          <cell r="C367">
            <v>2020101330</v>
          </cell>
          <cell r="D367" t="str">
            <v>CNY</v>
          </cell>
          <cell r="E367" t="str">
            <v>PCS</v>
          </cell>
          <cell r="F367">
            <v>5.2500000000000003E-3</v>
          </cell>
        </row>
        <row r="368">
          <cell r="C368">
            <v>2020101350</v>
          </cell>
          <cell r="D368" t="str">
            <v>CNY</v>
          </cell>
          <cell r="E368" t="str">
            <v>PCS</v>
          </cell>
          <cell r="F368">
            <v>2.0474999999999998E-3</v>
          </cell>
        </row>
        <row r="369">
          <cell r="C369">
            <v>2020101360</v>
          </cell>
          <cell r="D369" t="str">
            <v>CNY</v>
          </cell>
          <cell r="E369" t="str">
            <v>PCS</v>
          </cell>
          <cell r="F369">
            <v>3.3600000000000001E-3</v>
          </cell>
        </row>
        <row r="370">
          <cell r="C370">
            <v>2020101370</v>
          </cell>
          <cell r="D370" t="str">
            <v>CNY</v>
          </cell>
          <cell r="E370" t="str">
            <v>PCS</v>
          </cell>
          <cell r="F370">
            <v>3.3600000000000001E-3</v>
          </cell>
        </row>
        <row r="371">
          <cell r="C371">
            <v>2020101380</v>
          </cell>
          <cell r="D371" t="str">
            <v>CNY</v>
          </cell>
          <cell r="E371" t="str">
            <v>PCS</v>
          </cell>
          <cell r="F371">
            <v>3.2864999999999999E-3</v>
          </cell>
        </row>
        <row r="372">
          <cell r="C372">
            <v>2020101390</v>
          </cell>
          <cell r="D372" t="str">
            <v>CNY</v>
          </cell>
          <cell r="E372" t="str">
            <v>PCS</v>
          </cell>
          <cell r="F372">
            <v>3.3600000000000001E-3</v>
          </cell>
        </row>
        <row r="373">
          <cell r="C373">
            <v>2020101400</v>
          </cell>
          <cell r="D373" t="str">
            <v>CNY</v>
          </cell>
          <cell r="E373" t="str">
            <v>PCS</v>
          </cell>
          <cell r="F373">
            <v>2.3100000000000004E-3</v>
          </cell>
        </row>
        <row r="374">
          <cell r="C374">
            <v>2020101420</v>
          </cell>
          <cell r="D374" t="str">
            <v>CNY</v>
          </cell>
          <cell r="E374" t="str">
            <v>PCS</v>
          </cell>
          <cell r="F374">
            <v>2.3100000000000004E-3</v>
          </cell>
        </row>
        <row r="375">
          <cell r="C375">
            <v>2020101430</v>
          </cell>
          <cell r="D375" t="str">
            <v>CNY</v>
          </cell>
          <cell r="E375" t="str">
            <v>PCS</v>
          </cell>
          <cell r="F375">
            <v>2.3100000000000004E-3</v>
          </cell>
        </row>
        <row r="376">
          <cell r="C376">
            <v>2020101440</v>
          </cell>
          <cell r="D376" t="str">
            <v>CNY</v>
          </cell>
          <cell r="E376" t="str">
            <v>PCS</v>
          </cell>
          <cell r="F376">
            <v>6.2264999999999994E-3</v>
          </cell>
        </row>
        <row r="377">
          <cell r="C377">
            <v>2020101470</v>
          </cell>
          <cell r="D377" t="str">
            <v>CNY</v>
          </cell>
          <cell r="E377" t="str">
            <v>PCS</v>
          </cell>
          <cell r="F377">
            <v>1.45635E-2</v>
          </cell>
        </row>
        <row r="378">
          <cell r="C378">
            <v>2020101490</v>
          </cell>
          <cell r="D378" t="str">
            <v>CNY</v>
          </cell>
          <cell r="E378" t="str">
            <v>PCS</v>
          </cell>
          <cell r="F378">
            <v>2.3100000000000004E-3</v>
          </cell>
        </row>
        <row r="379">
          <cell r="C379">
            <v>2020101510</v>
          </cell>
          <cell r="D379" t="str">
            <v>CNY</v>
          </cell>
          <cell r="E379" t="str">
            <v>PCS</v>
          </cell>
          <cell r="F379">
            <v>2.3100000000000004E-3</v>
          </cell>
        </row>
        <row r="380">
          <cell r="C380">
            <v>2020101520</v>
          </cell>
          <cell r="D380" t="str">
            <v>CNY</v>
          </cell>
          <cell r="E380" t="str">
            <v>PCS</v>
          </cell>
          <cell r="F380">
            <v>2.0474999999999998E-3</v>
          </cell>
        </row>
        <row r="381">
          <cell r="C381">
            <v>2020101530</v>
          </cell>
          <cell r="D381" t="str">
            <v>CNY</v>
          </cell>
          <cell r="E381" t="str">
            <v>PCS</v>
          </cell>
          <cell r="F381">
            <v>2.2995000000000003E-3</v>
          </cell>
        </row>
        <row r="382">
          <cell r="C382">
            <v>2020101570</v>
          </cell>
          <cell r="D382" t="str">
            <v>CNY</v>
          </cell>
          <cell r="E382" t="str">
            <v>PCS</v>
          </cell>
          <cell r="F382">
            <v>2.3100000000000004E-3</v>
          </cell>
        </row>
        <row r="383">
          <cell r="C383">
            <v>2020101590</v>
          </cell>
          <cell r="D383" t="str">
            <v>CNY</v>
          </cell>
          <cell r="E383" t="str">
            <v>PCS</v>
          </cell>
          <cell r="F383">
            <v>3.3600000000000001E-3</v>
          </cell>
        </row>
        <row r="384">
          <cell r="C384">
            <v>2020101610</v>
          </cell>
          <cell r="D384" t="str">
            <v>CNY</v>
          </cell>
          <cell r="E384" t="str">
            <v>PCS</v>
          </cell>
          <cell r="F384">
            <v>2.3100000000000004E-3</v>
          </cell>
        </row>
        <row r="385">
          <cell r="C385">
            <v>2020101640</v>
          </cell>
          <cell r="D385" t="str">
            <v>CNY</v>
          </cell>
          <cell r="E385" t="str">
            <v>PCS</v>
          </cell>
          <cell r="F385">
            <v>2.3100000000000004E-3</v>
          </cell>
        </row>
        <row r="386">
          <cell r="C386">
            <v>2020101660</v>
          </cell>
          <cell r="D386" t="str">
            <v>CNY</v>
          </cell>
          <cell r="E386" t="str">
            <v>PCS</v>
          </cell>
          <cell r="F386">
            <v>5.7645000000000005E-3</v>
          </cell>
        </row>
        <row r="387">
          <cell r="C387">
            <v>2020101690</v>
          </cell>
          <cell r="D387" t="str">
            <v>CNY</v>
          </cell>
          <cell r="E387" t="str">
            <v>PCS</v>
          </cell>
          <cell r="F387">
            <v>7.980000000000001E-3</v>
          </cell>
        </row>
        <row r="388">
          <cell r="C388">
            <v>2020101700</v>
          </cell>
          <cell r="D388" t="str">
            <v>CNY</v>
          </cell>
          <cell r="E388" t="str">
            <v>PCS</v>
          </cell>
          <cell r="F388">
            <v>2.3100000000000004E-3</v>
          </cell>
        </row>
        <row r="389">
          <cell r="C389">
            <v>2020101720</v>
          </cell>
          <cell r="D389" t="str">
            <v>CNY</v>
          </cell>
          <cell r="E389" t="str">
            <v>PCS</v>
          </cell>
          <cell r="F389">
            <v>2.3100000000000004E-3</v>
          </cell>
        </row>
        <row r="390">
          <cell r="C390">
            <v>2020101780</v>
          </cell>
          <cell r="D390" t="str">
            <v>CNY</v>
          </cell>
          <cell r="E390" t="str">
            <v>PCS</v>
          </cell>
          <cell r="F390">
            <v>3.2864999999999999E-3</v>
          </cell>
        </row>
        <row r="391">
          <cell r="C391">
            <v>2020101800</v>
          </cell>
          <cell r="D391" t="str">
            <v>CNY</v>
          </cell>
          <cell r="E391" t="str">
            <v>PCS</v>
          </cell>
          <cell r="F391">
            <v>2.3100000000000004E-3</v>
          </cell>
        </row>
        <row r="392">
          <cell r="C392">
            <v>2020101850</v>
          </cell>
          <cell r="D392" t="str">
            <v>CNY</v>
          </cell>
          <cell r="E392" t="str">
            <v>PCS</v>
          </cell>
          <cell r="F392">
            <v>2.3205000000000001E-3</v>
          </cell>
        </row>
        <row r="393">
          <cell r="C393">
            <v>2020101870</v>
          </cell>
          <cell r="D393" t="str">
            <v>CNY</v>
          </cell>
          <cell r="E393" t="str">
            <v>PCS</v>
          </cell>
          <cell r="F393">
            <v>2.3100000000000004E-3</v>
          </cell>
        </row>
        <row r="394">
          <cell r="C394">
            <v>2020101950</v>
          </cell>
          <cell r="D394" t="str">
            <v>CNY</v>
          </cell>
          <cell r="E394" t="str">
            <v>PCS</v>
          </cell>
          <cell r="F394">
            <v>7.6650000000000008E-3</v>
          </cell>
        </row>
        <row r="395">
          <cell r="C395">
            <v>2020101970</v>
          </cell>
          <cell r="D395" t="str">
            <v>CNY</v>
          </cell>
          <cell r="E395" t="str">
            <v>PCS</v>
          </cell>
          <cell r="F395">
            <v>5.4599999999999996E-3</v>
          </cell>
        </row>
        <row r="396">
          <cell r="C396">
            <v>2020101980</v>
          </cell>
          <cell r="D396" t="str">
            <v>CNY</v>
          </cell>
          <cell r="E396" t="str">
            <v>PCS</v>
          </cell>
          <cell r="F396">
            <v>3.4125000000000002E-3</v>
          </cell>
        </row>
        <row r="397">
          <cell r="C397">
            <v>2020101990</v>
          </cell>
          <cell r="D397" t="str">
            <v>CNY</v>
          </cell>
          <cell r="E397" t="str">
            <v>PCS</v>
          </cell>
          <cell r="F397">
            <v>2.3100000000000004E-3</v>
          </cell>
        </row>
        <row r="398">
          <cell r="C398">
            <v>2020102010</v>
          </cell>
          <cell r="D398" t="str">
            <v>CNY</v>
          </cell>
          <cell r="E398" t="str">
            <v>PCS</v>
          </cell>
          <cell r="F398">
            <v>1.3650000000000001E-2</v>
          </cell>
        </row>
        <row r="399">
          <cell r="C399">
            <v>2020102040</v>
          </cell>
          <cell r="D399" t="str">
            <v>CNY</v>
          </cell>
          <cell r="E399" t="str">
            <v>PCS</v>
          </cell>
          <cell r="F399">
            <v>2.2260000000000001E-3</v>
          </cell>
        </row>
        <row r="400">
          <cell r="C400">
            <v>2020102060</v>
          </cell>
          <cell r="D400" t="str">
            <v>CNY</v>
          </cell>
          <cell r="E400" t="str">
            <v>PCS</v>
          </cell>
          <cell r="F400">
            <v>2.3100000000000004E-3</v>
          </cell>
        </row>
        <row r="401">
          <cell r="C401">
            <v>2020102090</v>
          </cell>
          <cell r="D401" t="str">
            <v>CNY</v>
          </cell>
          <cell r="E401" t="str">
            <v>PCS</v>
          </cell>
          <cell r="F401">
            <v>8.2740000000000001E-3</v>
          </cell>
        </row>
        <row r="402">
          <cell r="C402">
            <v>2020102120</v>
          </cell>
          <cell r="D402" t="str">
            <v>CNY</v>
          </cell>
          <cell r="E402" t="str">
            <v>PCS</v>
          </cell>
          <cell r="F402">
            <v>4.4100000000000007E-3</v>
          </cell>
        </row>
        <row r="403">
          <cell r="C403">
            <v>2020102150</v>
          </cell>
          <cell r="D403" t="str">
            <v>CNY</v>
          </cell>
          <cell r="E403" t="str">
            <v>PCS</v>
          </cell>
          <cell r="F403">
            <v>1.4070000000000001E-2</v>
          </cell>
        </row>
        <row r="404">
          <cell r="C404">
            <v>2020102170</v>
          </cell>
          <cell r="D404" t="str">
            <v>CNY</v>
          </cell>
          <cell r="E404" t="str">
            <v>PCS</v>
          </cell>
          <cell r="F404">
            <v>1.3650000000000001E-2</v>
          </cell>
        </row>
        <row r="405">
          <cell r="C405">
            <v>2020102200</v>
          </cell>
          <cell r="D405" t="str">
            <v>CNY</v>
          </cell>
          <cell r="E405" t="str">
            <v>PCS</v>
          </cell>
          <cell r="F405">
            <v>2.6565000000000002E-2</v>
          </cell>
        </row>
        <row r="406">
          <cell r="C406">
            <v>2020103000</v>
          </cell>
          <cell r="D406" t="str">
            <v>CNY</v>
          </cell>
          <cell r="E406" t="str">
            <v>PCS</v>
          </cell>
          <cell r="F406">
            <v>4.9350000000000002E-3</v>
          </cell>
        </row>
        <row r="407">
          <cell r="C407">
            <v>2020103440</v>
          </cell>
          <cell r="D407" t="str">
            <v>CNY</v>
          </cell>
          <cell r="E407" t="str">
            <v>PCS</v>
          </cell>
          <cell r="F407">
            <v>8.3370000000000014E-2</v>
          </cell>
        </row>
        <row r="408">
          <cell r="C408">
            <v>2020103980</v>
          </cell>
          <cell r="D408" t="str">
            <v>CNY</v>
          </cell>
          <cell r="E408" t="str">
            <v>PCS</v>
          </cell>
          <cell r="F408">
            <v>0.17430000000000001</v>
          </cell>
        </row>
        <row r="409">
          <cell r="C409">
            <v>2020103990</v>
          </cell>
          <cell r="D409" t="str">
            <v>CNY</v>
          </cell>
          <cell r="E409" t="str">
            <v>PCS</v>
          </cell>
          <cell r="F409">
            <v>3.9060000000000004E-2</v>
          </cell>
        </row>
        <row r="410">
          <cell r="C410">
            <v>2020104100</v>
          </cell>
          <cell r="D410" t="str">
            <v>CNY</v>
          </cell>
          <cell r="E410" t="str">
            <v>PCS</v>
          </cell>
          <cell r="F410">
            <v>1.6065000000000003E-2</v>
          </cell>
        </row>
        <row r="411">
          <cell r="C411">
            <v>2020104190</v>
          </cell>
          <cell r="D411" t="str">
            <v>CNY</v>
          </cell>
          <cell r="E411" t="str">
            <v>PCS</v>
          </cell>
          <cell r="F411">
            <v>2.2890000000000002E-3</v>
          </cell>
        </row>
        <row r="412">
          <cell r="C412">
            <v>2020104260</v>
          </cell>
          <cell r="D412" t="str">
            <v>CNY</v>
          </cell>
          <cell r="E412" t="str">
            <v>PCS</v>
          </cell>
          <cell r="F412">
            <v>3.7905000000000001E-2</v>
          </cell>
        </row>
        <row r="413">
          <cell r="C413">
            <v>2020104270</v>
          </cell>
          <cell r="D413" t="str">
            <v>CNY</v>
          </cell>
          <cell r="E413" t="str">
            <v>PCS</v>
          </cell>
          <cell r="F413">
            <v>3.9060000000000004E-2</v>
          </cell>
        </row>
        <row r="414">
          <cell r="C414">
            <v>2020104720</v>
          </cell>
          <cell r="D414" t="str">
            <v>CNY</v>
          </cell>
          <cell r="E414" t="str">
            <v>PCS</v>
          </cell>
          <cell r="F414">
            <v>5.1450000000000011E-3</v>
          </cell>
        </row>
        <row r="415">
          <cell r="C415">
            <v>2020104740</v>
          </cell>
          <cell r="D415" t="str">
            <v>CNY</v>
          </cell>
          <cell r="E415" t="str">
            <v>PCS</v>
          </cell>
          <cell r="F415">
            <v>3.3600000000000001E-3</v>
          </cell>
        </row>
        <row r="416">
          <cell r="C416">
            <v>2020104910</v>
          </cell>
          <cell r="D416" t="str">
            <v>CNY</v>
          </cell>
          <cell r="E416" t="str">
            <v>PCS</v>
          </cell>
          <cell r="F416">
            <v>0.14700000000000002</v>
          </cell>
        </row>
        <row r="417">
          <cell r="C417">
            <v>2020104920</v>
          </cell>
          <cell r="D417" t="str">
            <v>CNY</v>
          </cell>
          <cell r="E417" t="str">
            <v>PCS</v>
          </cell>
          <cell r="F417">
            <v>3.9900000000000005E-3</v>
          </cell>
        </row>
        <row r="418">
          <cell r="C418">
            <v>2020104940</v>
          </cell>
          <cell r="D418" t="str">
            <v>CNY</v>
          </cell>
          <cell r="E418" t="str">
            <v>PCS</v>
          </cell>
          <cell r="F418">
            <v>2.2050000000000004E-3</v>
          </cell>
        </row>
        <row r="419">
          <cell r="C419">
            <v>2020104970</v>
          </cell>
          <cell r="D419" t="str">
            <v>CNY</v>
          </cell>
          <cell r="E419" t="str">
            <v>PCS</v>
          </cell>
          <cell r="F419">
            <v>7.0350000000000005E-3</v>
          </cell>
        </row>
        <row r="420">
          <cell r="C420">
            <v>2020105080</v>
          </cell>
          <cell r="D420" t="str">
            <v>CNY</v>
          </cell>
          <cell r="E420" t="str">
            <v>PCS</v>
          </cell>
          <cell r="F420">
            <v>2.1944999999999999E-2</v>
          </cell>
        </row>
        <row r="421">
          <cell r="C421">
            <v>2020105710</v>
          </cell>
          <cell r="D421" t="str">
            <v>CNY</v>
          </cell>
          <cell r="E421" t="str">
            <v>PCS</v>
          </cell>
          <cell r="F421">
            <v>1.6957499999999997E-2</v>
          </cell>
        </row>
        <row r="422">
          <cell r="C422">
            <v>2020300011</v>
          </cell>
          <cell r="D422" t="str">
            <v>CNY</v>
          </cell>
          <cell r="E422" t="str">
            <v>PCS</v>
          </cell>
          <cell r="F422">
            <v>0.11108999999999999</v>
          </cell>
        </row>
        <row r="423">
          <cell r="C423">
            <v>2020300013</v>
          </cell>
          <cell r="D423" t="str">
            <v>CNY</v>
          </cell>
          <cell r="E423" t="str">
            <v>PCS</v>
          </cell>
          <cell r="F423">
            <v>5.4600000000000003E-2</v>
          </cell>
        </row>
        <row r="424">
          <cell r="C424">
            <v>2020300021</v>
          </cell>
          <cell r="D424" t="str">
            <v>CNY</v>
          </cell>
          <cell r="E424" t="str">
            <v>PCS</v>
          </cell>
          <cell r="F424">
            <v>0.11198250000000001</v>
          </cell>
        </row>
        <row r="425">
          <cell r="C425">
            <v>2020300022</v>
          </cell>
          <cell r="D425" t="str">
            <v>CNY</v>
          </cell>
          <cell r="E425" t="str">
            <v>PCS</v>
          </cell>
          <cell r="F425">
            <v>4.725E-2</v>
          </cell>
        </row>
        <row r="426">
          <cell r="C426">
            <v>2020300031</v>
          </cell>
          <cell r="D426" t="str">
            <v>CNY</v>
          </cell>
          <cell r="E426" t="str">
            <v>PCS</v>
          </cell>
          <cell r="F426">
            <v>0.116025</v>
          </cell>
        </row>
        <row r="427">
          <cell r="C427">
            <v>2020300033</v>
          </cell>
          <cell r="D427" t="str">
            <v>CNY</v>
          </cell>
          <cell r="E427" t="str">
            <v>PCS</v>
          </cell>
          <cell r="F427">
            <v>5.1450000000000003E-2</v>
          </cell>
        </row>
        <row r="428">
          <cell r="C428">
            <v>2020300041</v>
          </cell>
          <cell r="D428" t="str">
            <v>CNY</v>
          </cell>
          <cell r="E428" t="str">
            <v>PCS</v>
          </cell>
          <cell r="F428">
            <v>0.20685000000000001</v>
          </cell>
        </row>
        <row r="429">
          <cell r="C429">
            <v>2020300042</v>
          </cell>
          <cell r="D429" t="str">
            <v>CNY</v>
          </cell>
          <cell r="E429" t="str">
            <v>PCS</v>
          </cell>
          <cell r="F429">
            <v>0.11592000000000002</v>
          </cell>
        </row>
        <row r="430">
          <cell r="C430">
            <v>2020300051</v>
          </cell>
          <cell r="D430" t="str">
            <v>CNY</v>
          </cell>
          <cell r="E430" t="str">
            <v>PCS</v>
          </cell>
          <cell r="F430">
            <v>0.20685000000000001</v>
          </cell>
        </row>
        <row r="431">
          <cell r="C431">
            <v>2020300061</v>
          </cell>
          <cell r="D431" t="str">
            <v>CNY</v>
          </cell>
          <cell r="E431" t="str">
            <v>PCS</v>
          </cell>
          <cell r="F431">
            <v>0.34177500000000005</v>
          </cell>
        </row>
        <row r="432">
          <cell r="C432">
            <v>2020300081</v>
          </cell>
          <cell r="D432" t="str">
            <v>CNY</v>
          </cell>
          <cell r="E432" t="str">
            <v>PCS</v>
          </cell>
          <cell r="F432">
            <v>0.1113</v>
          </cell>
        </row>
        <row r="433">
          <cell r="C433">
            <v>2020300091</v>
          </cell>
          <cell r="D433" t="str">
            <v>CNY</v>
          </cell>
          <cell r="E433" t="str">
            <v>PCS</v>
          </cell>
          <cell r="F433">
            <v>0.1113</v>
          </cell>
        </row>
        <row r="434">
          <cell r="C434">
            <v>2020300102</v>
          </cell>
          <cell r="D434" t="str">
            <v>CNY</v>
          </cell>
          <cell r="E434" t="str">
            <v>PCS</v>
          </cell>
          <cell r="F434">
            <v>0.13755000000000001</v>
          </cell>
        </row>
        <row r="435">
          <cell r="C435">
            <v>2020300111</v>
          </cell>
          <cell r="D435" t="str">
            <v>CNY</v>
          </cell>
          <cell r="E435" t="str">
            <v>PCS</v>
          </cell>
          <cell r="F435">
            <v>0.31065300000000001</v>
          </cell>
        </row>
        <row r="436">
          <cell r="C436">
            <v>2020300151</v>
          </cell>
          <cell r="D436" t="str">
            <v>CNY</v>
          </cell>
          <cell r="E436" t="str">
            <v>PCS</v>
          </cell>
          <cell r="F436">
            <v>0.14269499999999999</v>
          </cell>
        </row>
        <row r="437">
          <cell r="C437">
            <v>2020300152</v>
          </cell>
          <cell r="D437" t="str">
            <v>CNY</v>
          </cell>
          <cell r="E437" t="str">
            <v>PCS</v>
          </cell>
          <cell r="F437">
            <v>8.4000000000000005E-2</v>
          </cell>
        </row>
        <row r="438">
          <cell r="C438">
            <v>2020300162</v>
          </cell>
          <cell r="D438" t="str">
            <v>CNY</v>
          </cell>
          <cell r="E438" t="str">
            <v>PCS</v>
          </cell>
          <cell r="F438">
            <v>2.3625000000000003</v>
          </cell>
        </row>
        <row r="439">
          <cell r="C439">
            <v>2020300163</v>
          </cell>
          <cell r="D439" t="str">
            <v>CNY</v>
          </cell>
          <cell r="E439" t="str">
            <v>PCS</v>
          </cell>
          <cell r="F439">
            <v>1.8165</v>
          </cell>
        </row>
        <row r="440">
          <cell r="C440">
            <v>2020300172</v>
          </cell>
          <cell r="D440" t="str">
            <v>CNY</v>
          </cell>
          <cell r="E440" t="str">
            <v>PCS</v>
          </cell>
          <cell r="F440">
            <v>0.36015000000000003</v>
          </cell>
        </row>
        <row r="441">
          <cell r="C441">
            <v>2020300191</v>
          </cell>
          <cell r="D441" t="str">
            <v>CNY</v>
          </cell>
          <cell r="E441" t="str">
            <v>PCS</v>
          </cell>
          <cell r="F441">
            <v>0.11667600000000002</v>
          </cell>
        </row>
        <row r="442">
          <cell r="C442">
            <v>2020300192</v>
          </cell>
          <cell r="D442" t="str">
            <v>CNY</v>
          </cell>
          <cell r="E442" t="str">
            <v>PCS</v>
          </cell>
          <cell r="F442">
            <v>0.10166099999999999</v>
          </cell>
        </row>
        <row r="443">
          <cell r="C443">
            <v>2020300201</v>
          </cell>
          <cell r="D443" t="str">
            <v>CNY</v>
          </cell>
          <cell r="E443" t="str">
            <v>PCS</v>
          </cell>
          <cell r="F443">
            <v>0.134127</v>
          </cell>
        </row>
        <row r="444">
          <cell r="C444">
            <v>2020300231</v>
          </cell>
          <cell r="D444" t="str">
            <v>CNY</v>
          </cell>
          <cell r="E444" t="str">
            <v>PCS</v>
          </cell>
          <cell r="F444">
            <v>0.14909999999999998</v>
          </cell>
        </row>
        <row r="445">
          <cell r="C445">
            <v>2020300241</v>
          </cell>
          <cell r="D445" t="str">
            <v>CNY</v>
          </cell>
          <cell r="E445" t="str">
            <v>PCS</v>
          </cell>
          <cell r="F445">
            <v>4.3071000000000005E-2</v>
          </cell>
        </row>
        <row r="446">
          <cell r="C446">
            <v>2020300334</v>
          </cell>
          <cell r="D446" t="str">
            <v>CNY</v>
          </cell>
          <cell r="E446" t="str">
            <v>PCS</v>
          </cell>
          <cell r="F446">
            <v>0.24076500000000001</v>
          </cell>
        </row>
        <row r="447">
          <cell r="C447">
            <v>2020300372</v>
          </cell>
          <cell r="D447" t="str">
            <v>CNY</v>
          </cell>
          <cell r="E447" t="str">
            <v>PCS</v>
          </cell>
          <cell r="F447">
            <v>0.436002</v>
          </cell>
        </row>
        <row r="448">
          <cell r="C448">
            <v>2020300432</v>
          </cell>
          <cell r="D448" t="str">
            <v>CNY</v>
          </cell>
          <cell r="E448" t="str">
            <v>PCS</v>
          </cell>
          <cell r="F448">
            <v>7.1504999999999999E-2</v>
          </cell>
        </row>
        <row r="449">
          <cell r="C449">
            <v>2020300451</v>
          </cell>
          <cell r="D449" t="str">
            <v>CNY</v>
          </cell>
          <cell r="E449" t="str">
            <v>PCS</v>
          </cell>
          <cell r="F449">
            <v>0.30565500000000007</v>
          </cell>
        </row>
        <row r="450">
          <cell r="C450">
            <v>2020300454</v>
          </cell>
          <cell r="D450" t="str">
            <v>CNY</v>
          </cell>
          <cell r="E450" t="str">
            <v>PCS</v>
          </cell>
          <cell r="F450">
            <v>0.189</v>
          </cell>
        </row>
        <row r="451">
          <cell r="C451">
            <v>2020300561</v>
          </cell>
          <cell r="D451" t="str">
            <v>CNY</v>
          </cell>
          <cell r="E451" t="str">
            <v>PCS</v>
          </cell>
          <cell r="F451">
            <v>1.8646425</v>
          </cell>
        </row>
        <row r="452">
          <cell r="C452">
            <v>2020300562</v>
          </cell>
          <cell r="D452" t="str">
            <v>CNY</v>
          </cell>
          <cell r="E452" t="str">
            <v>PCS</v>
          </cell>
          <cell r="F452">
            <v>1.21065</v>
          </cell>
        </row>
        <row r="453">
          <cell r="C453">
            <v>2020300571</v>
          </cell>
          <cell r="D453" t="str">
            <v>CNY</v>
          </cell>
          <cell r="E453" t="str">
            <v>PCS</v>
          </cell>
          <cell r="F453">
            <v>0.15329999999999999</v>
          </cell>
        </row>
        <row r="454">
          <cell r="C454">
            <v>2020300573</v>
          </cell>
          <cell r="D454" t="str">
            <v>CNY</v>
          </cell>
          <cell r="E454" t="str">
            <v>PCS</v>
          </cell>
          <cell r="F454">
            <v>8.4000000000000005E-2</v>
          </cell>
        </row>
        <row r="455">
          <cell r="C455">
            <v>2020300581</v>
          </cell>
          <cell r="D455" t="str">
            <v>CNY</v>
          </cell>
          <cell r="E455" t="str">
            <v>PCS</v>
          </cell>
          <cell r="F455">
            <v>0.62790000000000001</v>
          </cell>
        </row>
        <row r="456">
          <cell r="C456">
            <v>2020300583</v>
          </cell>
          <cell r="D456" t="str">
            <v>CNY</v>
          </cell>
          <cell r="E456" t="str">
            <v>PCS</v>
          </cell>
          <cell r="F456">
            <v>0.45674999999999999</v>
          </cell>
        </row>
        <row r="457">
          <cell r="C457">
            <v>2020300642</v>
          </cell>
          <cell r="D457" t="str">
            <v>CNY</v>
          </cell>
          <cell r="E457" t="str">
            <v>PCS</v>
          </cell>
          <cell r="F457">
            <v>7.5600000000000001E-2</v>
          </cell>
        </row>
        <row r="458">
          <cell r="C458">
            <v>2020300651</v>
          </cell>
          <cell r="D458" t="str">
            <v>CNY</v>
          </cell>
          <cell r="E458" t="str">
            <v>PCS</v>
          </cell>
          <cell r="F458">
            <v>0.16635150000000001</v>
          </cell>
        </row>
        <row r="459">
          <cell r="C459">
            <v>2020300661</v>
          </cell>
          <cell r="D459" t="str">
            <v>CNY</v>
          </cell>
          <cell r="E459" t="str">
            <v>PCS</v>
          </cell>
          <cell r="F459">
            <v>0.33705000000000002</v>
          </cell>
        </row>
        <row r="460">
          <cell r="C460">
            <v>2020300663</v>
          </cell>
          <cell r="D460" t="str">
            <v>CNY</v>
          </cell>
          <cell r="E460" t="str">
            <v>PCS</v>
          </cell>
          <cell r="F460">
            <v>0.17325000000000002</v>
          </cell>
        </row>
        <row r="461">
          <cell r="C461">
            <v>2020300673</v>
          </cell>
          <cell r="D461" t="str">
            <v>CNY</v>
          </cell>
          <cell r="E461" t="str">
            <v>PCS</v>
          </cell>
          <cell r="F461">
            <v>0.22575000000000001</v>
          </cell>
        </row>
        <row r="462">
          <cell r="C462">
            <v>2020300721</v>
          </cell>
          <cell r="D462" t="str">
            <v>CNY</v>
          </cell>
          <cell r="E462" t="str">
            <v>PCS</v>
          </cell>
          <cell r="F462">
            <v>0.152145</v>
          </cell>
        </row>
        <row r="463">
          <cell r="C463">
            <v>2020300722</v>
          </cell>
          <cell r="D463" t="str">
            <v>CNY</v>
          </cell>
          <cell r="E463" t="str">
            <v>PCS</v>
          </cell>
          <cell r="F463">
            <v>9.2399999999999996E-2</v>
          </cell>
        </row>
        <row r="464">
          <cell r="C464">
            <v>2020300753</v>
          </cell>
          <cell r="D464" t="str">
            <v>CNY</v>
          </cell>
          <cell r="E464" t="str">
            <v>PCS</v>
          </cell>
          <cell r="F464">
            <v>7.2450000000000014E-2</v>
          </cell>
        </row>
        <row r="465">
          <cell r="C465">
            <v>2020300772</v>
          </cell>
          <cell r="D465" t="str">
            <v>CNY</v>
          </cell>
          <cell r="E465" t="str">
            <v>PCS</v>
          </cell>
          <cell r="F465">
            <v>0.65100000000000002</v>
          </cell>
        </row>
        <row r="466">
          <cell r="C466">
            <v>2020300801</v>
          </cell>
          <cell r="D466" t="str">
            <v>CNY</v>
          </cell>
          <cell r="E466" t="str">
            <v>PCS</v>
          </cell>
          <cell r="F466">
            <v>0.67588500000000007</v>
          </cell>
        </row>
        <row r="467">
          <cell r="C467">
            <v>2020300811</v>
          </cell>
          <cell r="D467" t="str">
            <v>CNY</v>
          </cell>
          <cell r="E467" t="str">
            <v>PCS</v>
          </cell>
          <cell r="F467">
            <v>0.17115000000000002</v>
          </cell>
        </row>
        <row r="468">
          <cell r="C468">
            <v>2020300821</v>
          </cell>
          <cell r="D468" t="str">
            <v>CNY</v>
          </cell>
          <cell r="E468" t="str">
            <v>PCS</v>
          </cell>
          <cell r="F468">
            <v>0.14804999999999999</v>
          </cell>
        </row>
        <row r="469">
          <cell r="C469">
            <v>2020300822</v>
          </cell>
          <cell r="D469" t="str">
            <v>CNY</v>
          </cell>
          <cell r="E469" t="str">
            <v>PCS</v>
          </cell>
          <cell r="F469">
            <v>9.5864999999999992E-2</v>
          </cell>
        </row>
        <row r="470">
          <cell r="C470">
            <v>2020300831</v>
          </cell>
          <cell r="D470" t="str">
            <v>CNY</v>
          </cell>
          <cell r="E470" t="str">
            <v>PCS</v>
          </cell>
          <cell r="F470">
            <v>0.32550000000000001</v>
          </cell>
        </row>
        <row r="471">
          <cell r="C471">
            <v>2020300891</v>
          </cell>
          <cell r="D471" t="str">
            <v>CNY</v>
          </cell>
          <cell r="E471" t="str">
            <v>PCS</v>
          </cell>
          <cell r="F471">
            <v>0.20013</v>
          </cell>
        </row>
        <row r="472">
          <cell r="C472">
            <v>2020300893</v>
          </cell>
          <cell r="D472" t="str">
            <v>CNY</v>
          </cell>
          <cell r="E472" t="str">
            <v>PCS</v>
          </cell>
          <cell r="F472">
            <v>9.9750000000000005E-2</v>
          </cell>
        </row>
        <row r="473">
          <cell r="C473">
            <v>2020300901</v>
          </cell>
          <cell r="D473" t="str">
            <v>CNY</v>
          </cell>
          <cell r="E473" t="str">
            <v>PCS</v>
          </cell>
          <cell r="F473">
            <v>0.31814999999999999</v>
          </cell>
        </row>
        <row r="474">
          <cell r="C474">
            <v>2020300922</v>
          </cell>
          <cell r="D474" t="str">
            <v>CNY</v>
          </cell>
          <cell r="E474" t="str">
            <v>PCS</v>
          </cell>
          <cell r="F474">
            <v>4.3575000000000003E-2</v>
          </cell>
        </row>
        <row r="475">
          <cell r="C475">
            <v>2020300972</v>
          </cell>
          <cell r="D475" t="str">
            <v>CNY</v>
          </cell>
          <cell r="E475" t="str">
            <v>PCS</v>
          </cell>
          <cell r="F475">
            <v>6.2559000000000003E-2</v>
          </cell>
        </row>
        <row r="476">
          <cell r="C476">
            <v>2020301001</v>
          </cell>
          <cell r="D476" t="str">
            <v>CNY</v>
          </cell>
          <cell r="E476" t="str">
            <v>PCS</v>
          </cell>
          <cell r="F476">
            <v>0.61004999999999998</v>
          </cell>
        </row>
        <row r="477">
          <cell r="C477">
            <v>2020301002</v>
          </cell>
          <cell r="D477" t="str">
            <v>CNY</v>
          </cell>
          <cell r="E477" t="str">
            <v>PCS</v>
          </cell>
          <cell r="F477">
            <v>0.41464499999999999</v>
          </cell>
        </row>
        <row r="478">
          <cell r="C478">
            <v>2020301005</v>
          </cell>
          <cell r="D478" t="str">
            <v>CNY</v>
          </cell>
          <cell r="E478" t="str">
            <v>PCS</v>
          </cell>
          <cell r="F478">
            <v>0.29924999999999996</v>
          </cell>
        </row>
        <row r="479">
          <cell r="C479">
            <v>2020301011</v>
          </cell>
          <cell r="D479" t="str">
            <v>CNY</v>
          </cell>
          <cell r="E479" t="str">
            <v>PCS</v>
          </cell>
          <cell r="F479">
            <v>0.63336000000000015</v>
          </cell>
        </row>
        <row r="480">
          <cell r="C480">
            <v>2020301021</v>
          </cell>
          <cell r="D480" t="str">
            <v>CNY</v>
          </cell>
          <cell r="E480" t="str">
            <v>PCS</v>
          </cell>
          <cell r="F480">
            <v>0.14909999999999998</v>
          </cell>
        </row>
        <row r="481">
          <cell r="C481">
            <v>2020301031</v>
          </cell>
          <cell r="D481" t="str">
            <v>CNY</v>
          </cell>
          <cell r="E481" t="str">
            <v>PCS</v>
          </cell>
          <cell r="F481">
            <v>0.17115000000000002</v>
          </cell>
        </row>
        <row r="482">
          <cell r="C482">
            <v>2020301041</v>
          </cell>
          <cell r="D482" t="str">
            <v>CNY</v>
          </cell>
          <cell r="E482" t="str">
            <v>PCS</v>
          </cell>
          <cell r="F482">
            <v>1.4238000000000002</v>
          </cell>
        </row>
        <row r="483">
          <cell r="C483">
            <v>2020301101</v>
          </cell>
          <cell r="D483" t="str">
            <v>CNY</v>
          </cell>
          <cell r="E483" t="str">
            <v>PCS</v>
          </cell>
          <cell r="F483">
            <v>0.14700000000000002</v>
          </cell>
        </row>
        <row r="484">
          <cell r="C484">
            <v>2020301121</v>
          </cell>
          <cell r="D484" t="str">
            <v>CNY</v>
          </cell>
          <cell r="E484" t="str">
            <v>PCS</v>
          </cell>
          <cell r="F484">
            <v>0.21840000000000001</v>
          </cell>
        </row>
        <row r="485">
          <cell r="C485">
            <v>2020301151</v>
          </cell>
          <cell r="D485" t="str">
            <v>CNY</v>
          </cell>
          <cell r="E485" t="str">
            <v>PCS</v>
          </cell>
          <cell r="F485">
            <v>7.9799999999999996E-2</v>
          </cell>
        </row>
        <row r="486">
          <cell r="C486">
            <v>2020301162</v>
          </cell>
          <cell r="D486" t="str">
            <v>CNY</v>
          </cell>
          <cell r="E486" t="str">
            <v>PCS</v>
          </cell>
          <cell r="F486">
            <v>0.10500000000000001</v>
          </cell>
        </row>
        <row r="487">
          <cell r="C487">
            <v>2020301201</v>
          </cell>
          <cell r="D487" t="str">
            <v>CNY</v>
          </cell>
          <cell r="E487" t="str">
            <v>PCS</v>
          </cell>
          <cell r="F487">
            <v>0.88200000000000001</v>
          </cell>
        </row>
        <row r="488">
          <cell r="C488">
            <v>2020301301</v>
          </cell>
          <cell r="D488" t="str">
            <v>CNY</v>
          </cell>
          <cell r="E488" t="str">
            <v>PCS</v>
          </cell>
          <cell r="F488">
            <v>0.20176632000000003</v>
          </cell>
        </row>
        <row r="489">
          <cell r="C489">
            <v>2020301311</v>
          </cell>
          <cell r="D489" t="str">
            <v>CNY</v>
          </cell>
          <cell r="E489" t="str">
            <v>PCS</v>
          </cell>
          <cell r="F489">
            <v>0.36959999999999998</v>
          </cell>
        </row>
        <row r="490">
          <cell r="C490">
            <v>2020301562</v>
          </cell>
          <cell r="D490" t="str">
            <v>CNY</v>
          </cell>
          <cell r="E490" t="str">
            <v>PCS</v>
          </cell>
          <cell r="F490">
            <v>1.1854500000000001</v>
          </cell>
        </row>
        <row r="491">
          <cell r="C491">
            <v>2020302542</v>
          </cell>
          <cell r="D491" t="str">
            <v>CNY</v>
          </cell>
          <cell r="E491" t="str">
            <v>PCS</v>
          </cell>
          <cell r="F491">
            <v>0.49349999999999999</v>
          </cell>
        </row>
        <row r="492">
          <cell r="C492">
            <v>2020302561</v>
          </cell>
          <cell r="D492" t="str">
            <v>CNY</v>
          </cell>
          <cell r="E492" t="str">
            <v>PCS</v>
          </cell>
          <cell r="F492">
            <v>0.26764500000000002</v>
          </cell>
        </row>
        <row r="493">
          <cell r="C493">
            <v>2020302563</v>
          </cell>
          <cell r="D493" t="str">
            <v>CNY</v>
          </cell>
          <cell r="E493" t="str">
            <v>PCS</v>
          </cell>
          <cell r="F493">
            <v>0.15855</v>
          </cell>
        </row>
        <row r="494">
          <cell r="C494">
            <v>2020302581</v>
          </cell>
          <cell r="D494" t="str">
            <v>CNY</v>
          </cell>
          <cell r="E494" t="str">
            <v>PCS</v>
          </cell>
          <cell r="F494">
            <v>0.14269499999999999</v>
          </cell>
        </row>
        <row r="495">
          <cell r="C495">
            <v>2020302621</v>
          </cell>
          <cell r="D495" t="str">
            <v>CNY</v>
          </cell>
          <cell r="E495" t="str">
            <v>PCS</v>
          </cell>
          <cell r="F495">
            <v>0.1638</v>
          </cell>
        </row>
        <row r="496">
          <cell r="C496">
            <v>2020302661</v>
          </cell>
          <cell r="D496" t="str">
            <v>CNY</v>
          </cell>
          <cell r="E496" t="str">
            <v>PCS</v>
          </cell>
          <cell r="F496">
            <v>0.49874999999999997</v>
          </cell>
        </row>
        <row r="497">
          <cell r="C497">
            <v>2020302671</v>
          </cell>
          <cell r="D497" t="str">
            <v>CNY</v>
          </cell>
          <cell r="E497" t="str">
            <v>PCS</v>
          </cell>
          <cell r="F497">
            <v>0.15959999999999999</v>
          </cell>
        </row>
        <row r="498">
          <cell r="C498">
            <v>2020302672</v>
          </cell>
          <cell r="D498" t="str">
            <v>CNY</v>
          </cell>
          <cell r="E498" t="str">
            <v>PCS</v>
          </cell>
          <cell r="F498">
            <v>9.6600000000000005E-2</v>
          </cell>
        </row>
        <row r="499">
          <cell r="C499">
            <v>2020302681</v>
          </cell>
          <cell r="D499" t="str">
            <v>CNY</v>
          </cell>
          <cell r="E499" t="str">
            <v>PCS</v>
          </cell>
          <cell r="F499">
            <v>0.21504000000000001</v>
          </cell>
        </row>
        <row r="500">
          <cell r="C500">
            <v>2020302683</v>
          </cell>
          <cell r="D500" t="str">
            <v>CNY</v>
          </cell>
          <cell r="E500" t="str">
            <v>PCS</v>
          </cell>
          <cell r="F500">
            <v>0.12809999999999999</v>
          </cell>
        </row>
        <row r="501">
          <cell r="C501">
            <v>2020302691</v>
          </cell>
          <cell r="D501" t="str">
            <v>CNY</v>
          </cell>
          <cell r="E501" t="str">
            <v>PCS</v>
          </cell>
          <cell r="F501">
            <v>0.29400000000000004</v>
          </cell>
        </row>
        <row r="502">
          <cell r="C502">
            <v>2020302701</v>
          </cell>
          <cell r="D502" t="str">
            <v>CNY</v>
          </cell>
          <cell r="E502" t="str">
            <v>PCS</v>
          </cell>
          <cell r="F502">
            <v>0.63419999999999999</v>
          </cell>
        </row>
        <row r="503">
          <cell r="C503">
            <v>2020302711</v>
          </cell>
          <cell r="D503" t="str">
            <v>CNY</v>
          </cell>
          <cell r="E503" t="str">
            <v>PCS</v>
          </cell>
          <cell r="F503">
            <v>0.82950000000000013</v>
          </cell>
        </row>
        <row r="504">
          <cell r="C504">
            <v>2020302721</v>
          </cell>
          <cell r="D504" t="str">
            <v>CNY</v>
          </cell>
          <cell r="E504" t="str">
            <v>PCS</v>
          </cell>
          <cell r="F504">
            <v>1.6630950000000002</v>
          </cell>
        </row>
        <row r="505">
          <cell r="C505">
            <v>2020302731</v>
          </cell>
          <cell r="D505" t="str">
            <v>CNY</v>
          </cell>
          <cell r="E505" t="str">
            <v>PCS</v>
          </cell>
          <cell r="F505">
            <v>0.10862250000000001</v>
          </cell>
        </row>
        <row r="506">
          <cell r="C506">
            <v>2020302741</v>
          </cell>
          <cell r="D506" t="str">
            <v>CNY</v>
          </cell>
          <cell r="E506" t="str">
            <v>PCS</v>
          </cell>
          <cell r="F506">
            <v>0.37485000000000002</v>
          </cell>
        </row>
        <row r="507">
          <cell r="C507">
            <v>2020302743</v>
          </cell>
          <cell r="D507" t="str">
            <v>CNY</v>
          </cell>
          <cell r="E507" t="str">
            <v>PCS</v>
          </cell>
          <cell r="F507">
            <v>0.25409999999999999</v>
          </cell>
        </row>
        <row r="508">
          <cell r="C508">
            <v>2020302751</v>
          </cell>
          <cell r="D508" t="str">
            <v>CNY</v>
          </cell>
          <cell r="E508" t="str">
            <v>PCS</v>
          </cell>
          <cell r="F508">
            <v>0.11655</v>
          </cell>
        </row>
        <row r="509">
          <cell r="C509">
            <v>2020302752</v>
          </cell>
          <cell r="D509" t="str">
            <v>CNY</v>
          </cell>
          <cell r="E509" t="str">
            <v>PCS</v>
          </cell>
          <cell r="F509">
            <v>6.0900000000000003E-2</v>
          </cell>
        </row>
        <row r="510">
          <cell r="C510">
            <v>2020302761</v>
          </cell>
          <cell r="D510" t="str">
            <v>CNY</v>
          </cell>
          <cell r="E510" t="str">
            <v>PCS</v>
          </cell>
          <cell r="F510">
            <v>0.10804500000000002</v>
          </cell>
        </row>
        <row r="511">
          <cell r="C511">
            <v>2020302771</v>
          </cell>
          <cell r="D511" t="str">
            <v>CNY</v>
          </cell>
          <cell r="E511" t="str">
            <v>PCS</v>
          </cell>
          <cell r="F511">
            <v>0.25095000000000001</v>
          </cell>
        </row>
        <row r="512">
          <cell r="C512">
            <v>2020302772</v>
          </cell>
          <cell r="D512" t="str">
            <v>CNY</v>
          </cell>
          <cell r="E512" t="str">
            <v>PCS</v>
          </cell>
          <cell r="F512">
            <v>0.12495000000000001</v>
          </cell>
        </row>
        <row r="513">
          <cell r="C513">
            <v>2020302791</v>
          </cell>
          <cell r="D513" t="str">
            <v>CNY</v>
          </cell>
          <cell r="E513" t="str">
            <v>PCS</v>
          </cell>
          <cell r="F513">
            <v>0.39375000000000004</v>
          </cell>
        </row>
        <row r="514">
          <cell r="C514">
            <v>2020302803</v>
          </cell>
          <cell r="D514" t="str">
            <v>CNY</v>
          </cell>
          <cell r="E514" t="str">
            <v>PCS</v>
          </cell>
          <cell r="F514">
            <v>7.035000000000001E-2</v>
          </cell>
        </row>
        <row r="515">
          <cell r="C515">
            <v>2020302811</v>
          </cell>
          <cell r="D515" t="str">
            <v>CNY</v>
          </cell>
          <cell r="E515" t="str">
            <v>PCS</v>
          </cell>
          <cell r="F515">
            <v>0.41580000000000006</v>
          </cell>
        </row>
        <row r="516">
          <cell r="C516">
            <v>2020302921</v>
          </cell>
          <cell r="D516" t="str">
            <v>CNY</v>
          </cell>
          <cell r="E516" t="str">
            <v>PCS</v>
          </cell>
          <cell r="F516">
            <v>0.21210000000000001</v>
          </cell>
        </row>
        <row r="517">
          <cell r="C517">
            <v>2020303081</v>
          </cell>
          <cell r="D517" t="str">
            <v>CNY</v>
          </cell>
          <cell r="E517" t="str">
            <v>PCS</v>
          </cell>
          <cell r="F517">
            <v>0.11865000000000001</v>
          </cell>
        </row>
        <row r="518">
          <cell r="C518">
            <v>2020303211</v>
          </cell>
          <cell r="D518" t="str">
            <v>CNY</v>
          </cell>
          <cell r="E518" t="str">
            <v>PCS</v>
          </cell>
          <cell r="F518">
            <v>0.72555000000000003</v>
          </cell>
        </row>
        <row r="519">
          <cell r="C519">
            <v>2020303291</v>
          </cell>
          <cell r="D519" t="str">
            <v>CNY</v>
          </cell>
          <cell r="E519" t="str">
            <v>PCS</v>
          </cell>
          <cell r="F519">
            <v>0.10279500000000001</v>
          </cell>
        </row>
        <row r="520">
          <cell r="C520">
            <v>2020303371</v>
          </cell>
          <cell r="D520" t="str">
            <v>CNY</v>
          </cell>
          <cell r="E520" t="str">
            <v>PCS</v>
          </cell>
          <cell r="F520">
            <v>0.51765000000000005</v>
          </cell>
        </row>
        <row r="521">
          <cell r="C521">
            <v>2020303380</v>
          </cell>
          <cell r="D521" t="str">
            <v>CNY</v>
          </cell>
          <cell r="E521" t="str">
            <v>PCS</v>
          </cell>
          <cell r="F521">
            <v>0.2424345</v>
          </cell>
        </row>
        <row r="522">
          <cell r="C522">
            <v>2020303580</v>
          </cell>
          <cell r="D522" t="str">
            <v>CNY</v>
          </cell>
          <cell r="E522" t="str">
            <v>PCS</v>
          </cell>
          <cell r="F522">
            <v>0.40845000000000004</v>
          </cell>
        </row>
        <row r="523">
          <cell r="C523">
            <v>2020304080</v>
          </cell>
          <cell r="D523" t="str">
            <v>CNY</v>
          </cell>
          <cell r="E523" t="str">
            <v>PCS</v>
          </cell>
          <cell r="F523">
            <v>0.46200000000000002</v>
          </cell>
        </row>
        <row r="524">
          <cell r="C524">
            <v>2020304121</v>
          </cell>
          <cell r="D524" t="str">
            <v>CNY</v>
          </cell>
          <cell r="E524" t="str">
            <v>PCS</v>
          </cell>
          <cell r="F524">
            <v>9.9750000000000005E-2</v>
          </cell>
        </row>
        <row r="525">
          <cell r="C525">
            <v>2020500091</v>
          </cell>
          <cell r="D525" t="str">
            <v>CNY</v>
          </cell>
          <cell r="E525" t="str">
            <v>PCS</v>
          </cell>
          <cell r="F525">
            <v>0.51239999999999997</v>
          </cell>
        </row>
        <row r="526">
          <cell r="C526">
            <v>2020500092</v>
          </cell>
          <cell r="D526" t="str">
            <v>CNY</v>
          </cell>
          <cell r="E526" t="str">
            <v>PCS</v>
          </cell>
          <cell r="F526">
            <v>0.38850000000000001</v>
          </cell>
        </row>
        <row r="527">
          <cell r="C527">
            <v>2020500094</v>
          </cell>
          <cell r="D527" t="str">
            <v>CNY</v>
          </cell>
          <cell r="E527" t="str">
            <v>PCS</v>
          </cell>
          <cell r="F527">
            <v>0.33054000000000006</v>
          </cell>
        </row>
        <row r="528">
          <cell r="C528">
            <v>2020500101</v>
          </cell>
          <cell r="D528" t="str">
            <v>CNY</v>
          </cell>
          <cell r="E528" t="str">
            <v>PCS</v>
          </cell>
          <cell r="F528">
            <v>0.16800000000000001</v>
          </cell>
        </row>
        <row r="529">
          <cell r="C529">
            <v>2020500111</v>
          </cell>
          <cell r="D529" t="str">
            <v>CNY</v>
          </cell>
          <cell r="E529" t="str">
            <v>PCS</v>
          </cell>
          <cell r="F529">
            <v>0.71085000000000009</v>
          </cell>
        </row>
        <row r="530">
          <cell r="C530">
            <v>2020500112</v>
          </cell>
          <cell r="D530" t="str">
            <v>CNY</v>
          </cell>
          <cell r="E530" t="str">
            <v>PCS</v>
          </cell>
          <cell r="F530">
            <v>0.64049999999999996</v>
          </cell>
        </row>
        <row r="531">
          <cell r="C531">
            <v>2020500131</v>
          </cell>
          <cell r="D531" t="str">
            <v>CNY</v>
          </cell>
          <cell r="E531" t="str">
            <v>PCS</v>
          </cell>
          <cell r="F531">
            <v>0.84630000000000005</v>
          </cell>
        </row>
        <row r="532">
          <cell r="C532">
            <v>2020500152</v>
          </cell>
          <cell r="D532" t="str">
            <v>CNY</v>
          </cell>
          <cell r="E532" t="str">
            <v>PCS</v>
          </cell>
          <cell r="F532">
            <v>0.16800000000000001</v>
          </cell>
        </row>
        <row r="533">
          <cell r="C533">
            <v>2020500322</v>
          </cell>
          <cell r="D533" t="str">
            <v>CNY</v>
          </cell>
          <cell r="E533" t="str">
            <v>PCS</v>
          </cell>
          <cell r="F533">
            <v>0.21189000000000002</v>
          </cell>
        </row>
        <row r="534">
          <cell r="C534">
            <v>2020500461</v>
          </cell>
          <cell r="D534" t="str">
            <v>CNY</v>
          </cell>
          <cell r="E534" t="str">
            <v>PCS</v>
          </cell>
          <cell r="F534">
            <v>0.59744999999999993</v>
          </cell>
        </row>
        <row r="535">
          <cell r="C535">
            <v>2020500462</v>
          </cell>
          <cell r="D535" t="str">
            <v>CNY</v>
          </cell>
          <cell r="E535" t="str">
            <v>PCS</v>
          </cell>
          <cell r="F535">
            <v>0.46305000000000002</v>
          </cell>
        </row>
        <row r="536">
          <cell r="C536">
            <v>2020500463</v>
          </cell>
          <cell r="D536" t="str">
            <v>CNY</v>
          </cell>
          <cell r="E536" t="str">
            <v>PCS</v>
          </cell>
          <cell r="F536">
            <v>0.44304749999999998</v>
          </cell>
        </row>
        <row r="537">
          <cell r="C537">
            <v>2020500671</v>
          </cell>
          <cell r="D537" t="str">
            <v>CNY</v>
          </cell>
          <cell r="E537" t="str">
            <v>PCS</v>
          </cell>
          <cell r="F537">
            <v>0.20443500000000001</v>
          </cell>
        </row>
        <row r="538">
          <cell r="C538">
            <v>2020500672</v>
          </cell>
          <cell r="D538" t="str">
            <v>CNY</v>
          </cell>
          <cell r="E538" t="str">
            <v>PCS</v>
          </cell>
          <cell r="F538">
            <v>0.11529</v>
          </cell>
        </row>
        <row r="539">
          <cell r="C539">
            <v>2020500781</v>
          </cell>
          <cell r="D539" t="str">
            <v>CNY</v>
          </cell>
          <cell r="E539" t="str">
            <v>PCS</v>
          </cell>
          <cell r="F539">
            <v>0.18059999999999998</v>
          </cell>
        </row>
        <row r="540">
          <cell r="C540">
            <v>2020500801</v>
          </cell>
          <cell r="D540" t="str">
            <v>CNY</v>
          </cell>
          <cell r="E540" t="str">
            <v>PCS</v>
          </cell>
          <cell r="F540">
            <v>0.28066500000000005</v>
          </cell>
        </row>
        <row r="541">
          <cell r="C541">
            <v>2020501692</v>
          </cell>
          <cell r="D541" t="str">
            <v>CNY</v>
          </cell>
          <cell r="E541" t="str">
            <v>PCS</v>
          </cell>
          <cell r="F541">
            <v>2.507085</v>
          </cell>
        </row>
        <row r="542">
          <cell r="C542">
            <v>2020501702</v>
          </cell>
          <cell r="D542" t="str">
            <v>CNY</v>
          </cell>
          <cell r="E542" t="str">
            <v>PCS</v>
          </cell>
          <cell r="F542">
            <v>0.29757</v>
          </cell>
        </row>
        <row r="543">
          <cell r="C543">
            <v>2020501712</v>
          </cell>
          <cell r="D543" t="str">
            <v>CNY</v>
          </cell>
          <cell r="E543" t="str">
            <v>PCS</v>
          </cell>
          <cell r="F543">
            <v>6.5703750000000003</v>
          </cell>
        </row>
        <row r="544">
          <cell r="C544">
            <v>2020501722</v>
          </cell>
          <cell r="D544" t="str">
            <v>CNY</v>
          </cell>
          <cell r="E544" t="str">
            <v>PCS</v>
          </cell>
          <cell r="F544">
            <v>0.75243000000000004</v>
          </cell>
        </row>
        <row r="545">
          <cell r="C545">
            <v>2020502870</v>
          </cell>
          <cell r="D545" t="str">
            <v>CNY</v>
          </cell>
          <cell r="E545" t="str">
            <v>PCS</v>
          </cell>
          <cell r="F545">
            <v>0.13965000000000002</v>
          </cell>
        </row>
        <row r="546">
          <cell r="C546">
            <v>2020700011</v>
          </cell>
          <cell r="D546" t="str">
            <v>CNY</v>
          </cell>
          <cell r="E546" t="str">
            <v>PCS</v>
          </cell>
          <cell r="F546">
            <v>0.17223150000000001</v>
          </cell>
        </row>
        <row r="547">
          <cell r="C547">
            <v>2020700031</v>
          </cell>
          <cell r="D547" t="str">
            <v>CNY</v>
          </cell>
          <cell r="E547" t="str">
            <v>PCS</v>
          </cell>
          <cell r="F547">
            <v>0.18039000000000002</v>
          </cell>
        </row>
        <row r="548">
          <cell r="C548">
            <v>2020700041</v>
          </cell>
          <cell r="D548" t="str">
            <v>CNY</v>
          </cell>
          <cell r="E548" t="str">
            <v>PCS</v>
          </cell>
          <cell r="F548">
            <v>0.1839915</v>
          </cell>
        </row>
        <row r="549">
          <cell r="C549">
            <v>2020700051</v>
          </cell>
          <cell r="D549" t="str">
            <v>CNY</v>
          </cell>
          <cell r="E549" t="str">
            <v>PCS</v>
          </cell>
          <cell r="F549">
            <v>1.6065000000000003E-2</v>
          </cell>
        </row>
        <row r="550">
          <cell r="C550">
            <v>2020700052</v>
          </cell>
          <cell r="D550" t="str">
            <v>CNY</v>
          </cell>
          <cell r="E550" t="str">
            <v>PCS</v>
          </cell>
          <cell r="F550">
            <v>0.13953449999999998</v>
          </cell>
        </row>
        <row r="551">
          <cell r="C551">
            <v>2020700061</v>
          </cell>
          <cell r="D551" t="str">
            <v>CNY</v>
          </cell>
          <cell r="E551" t="str">
            <v>PCS</v>
          </cell>
          <cell r="F551">
            <v>8.4315000000000001E-2</v>
          </cell>
        </row>
        <row r="552">
          <cell r="C552">
            <v>2020700071</v>
          </cell>
          <cell r="D552" t="str">
            <v>CNY</v>
          </cell>
          <cell r="E552" t="str">
            <v>PCS</v>
          </cell>
          <cell r="F552">
            <v>0.11035500000000001</v>
          </cell>
        </row>
        <row r="553">
          <cell r="C553">
            <v>2020700082</v>
          </cell>
          <cell r="D553" t="str">
            <v>CNY</v>
          </cell>
          <cell r="E553" t="str">
            <v>PCS</v>
          </cell>
          <cell r="F553">
            <v>0.21278250000000001</v>
          </cell>
        </row>
        <row r="554">
          <cell r="C554">
            <v>2020700111</v>
          </cell>
          <cell r="D554" t="str">
            <v>CNY</v>
          </cell>
          <cell r="E554" t="str">
            <v>PCS</v>
          </cell>
          <cell r="F554">
            <v>8.6625000000000008E-2</v>
          </cell>
        </row>
        <row r="555">
          <cell r="C555">
            <v>2020700201</v>
          </cell>
          <cell r="D555" t="str">
            <v>CNY</v>
          </cell>
          <cell r="E555" t="str">
            <v>PCS</v>
          </cell>
          <cell r="F555">
            <v>0.108213</v>
          </cell>
        </row>
        <row r="556">
          <cell r="C556">
            <v>2020700211</v>
          </cell>
          <cell r="D556" t="str">
            <v>CNY</v>
          </cell>
          <cell r="E556" t="str">
            <v>PCS</v>
          </cell>
          <cell r="F556">
            <v>0.10953599999999999</v>
          </cell>
        </row>
        <row r="557">
          <cell r="C557">
            <v>2020700961</v>
          </cell>
          <cell r="D557" t="str">
            <v>CNY</v>
          </cell>
          <cell r="E557" t="str">
            <v>PCS</v>
          </cell>
          <cell r="F557">
            <v>0.13077749999999999</v>
          </cell>
        </row>
        <row r="558">
          <cell r="C558">
            <v>2020701110</v>
          </cell>
          <cell r="D558" t="str">
            <v>CNY</v>
          </cell>
          <cell r="E558" t="str">
            <v>PCS</v>
          </cell>
          <cell r="F558">
            <v>0.18301500000000001</v>
          </cell>
        </row>
        <row r="559">
          <cell r="C559">
            <v>2020701451</v>
          </cell>
          <cell r="D559" t="str">
            <v>CNY</v>
          </cell>
          <cell r="E559" t="str">
            <v>PCS</v>
          </cell>
          <cell r="F559">
            <v>6.6674999999999998E-2</v>
          </cell>
        </row>
        <row r="560">
          <cell r="C560">
            <v>2020701470</v>
          </cell>
          <cell r="D560" t="str">
            <v>CNY</v>
          </cell>
          <cell r="E560" t="str">
            <v>PCS</v>
          </cell>
          <cell r="F560">
            <v>8.5575000000000012E-2</v>
          </cell>
        </row>
        <row r="561">
          <cell r="C561">
            <v>2020701481</v>
          </cell>
          <cell r="D561" t="str">
            <v>CNY</v>
          </cell>
          <cell r="E561" t="str">
            <v>PCS</v>
          </cell>
          <cell r="F561">
            <v>6.4365000000000006E-2</v>
          </cell>
        </row>
        <row r="562">
          <cell r="C562">
            <v>2021100162</v>
          </cell>
          <cell r="D562" t="str">
            <v>CNY</v>
          </cell>
          <cell r="E562" t="str">
            <v>PCS</v>
          </cell>
          <cell r="F562">
            <v>1.6338000000000001</v>
          </cell>
        </row>
        <row r="563">
          <cell r="C563">
            <v>2021100191</v>
          </cell>
          <cell r="D563" t="str">
            <v>CNY</v>
          </cell>
          <cell r="E563" t="str">
            <v>PCS</v>
          </cell>
          <cell r="F563">
            <v>2.7499500000000006</v>
          </cell>
        </row>
        <row r="564">
          <cell r="C564">
            <v>2021100202</v>
          </cell>
          <cell r="D564" t="str">
            <v>CNY</v>
          </cell>
          <cell r="E564" t="str">
            <v>PCS</v>
          </cell>
          <cell r="F564">
            <v>1.6065</v>
          </cell>
        </row>
        <row r="565">
          <cell r="C565">
            <v>2021100242</v>
          </cell>
          <cell r="D565" t="str">
            <v>CNY</v>
          </cell>
          <cell r="E565" t="str">
            <v>PCS</v>
          </cell>
          <cell r="F565">
            <v>2.6017740000000003</v>
          </cell>
        </row>
        <row r="566">
          <cell r="C566">
            <v>2021100280</v>
          </cell>
          <cell r="D566" t="str">
            <v>CNY</v>
          </cell>
          <cell r="E566" t="str">
            <v>PCS</v>
          </cell>
          <cell r="F566">
            <v>1.7849999999999999</v>
          </cell>
        </row>
        <row r="567">
          <cell r="C567">
            <v>2021100951</v>
          </cell>
          <cell r="D567" t="str">
            <v>CNY</v>
          </cell>
          <cell r="E567" t="str">
            <v>PCS</v>
          </cell>
          <cell r="F567">
            <v>3.2243400000000002</v>
          </cell>
        </row>
        <row r="568">
          <cell r="C568">
            <v>2021101031</v>
          </cell>
          <cell r="D568" t="str">
            <v>CNY</v>
          </cell>
          <cell r="E568" t="str">
            <v>PCS</v>
          </cell>
          <cell r="F568">
            <v>0.84000000000000008</v>
          </cell>
        </row>
        <row r="569">
          <cell r="C569">
            <v>2021101071</v>
          </cell>
          <cell r="D569" t="str">
            <v>CNY</v>
          </cell>
          <cell r="E569" t="str">
            <v>PCS</v>
          </cell>
          <cell r="F569">
            <v>3.1500000000000004</v>
          </cell>
        </row>
        <row r="570">
          <cell r="C570">
            <v>2030100011</v>
          </cell>
          <cell r="D570" t="str">
            <v>CNY</v>
          </cell>
          <cell r="E570" t="str">
            <v>PCS</v>
          </cell>
          <cell r="F570">
            <v>0.126</v>
          </cell>
        </row>
        <row r="571">
          <cell r="C571">
            <v>2030100031</v>
          </cell>
          <cell r="D571" t="str">
            <v>CNY</v>
          </cell>
          <cell r="E571" t="str">
            <v>PCS</v>
          </cell>
          <cell r="F571">
            <v>0.46462500000000001</v>
          </cell>
        </row>
        <row r="572">
          <cell r="C572">
            <v>2030100112</v>
          </cell>
          <cell r="D572" t="str">
            <v>CNY</v>
          </cell>
          <cell r="E572" t="str">
            <v>PCS</v>
          </cell>
          <cell r="F572">
            <v>8.4000000000000012E-3</v>
          </cell>
        </row>
        <row r="573">
          <cell r="C573">
            <v>2030100121</v>
          </cell>
          <cell r="D573" t="str">
            <v>CNY</v>
          </cell>
          <cell r="E573" t="str">
            <v>PCS</v>
          </cell>
          <cell r="F573">
            <v>9.9749999999999995E-3</v>
          </cell>
        </row>
        <row r="574">
          <cell r="C574">
            <v>2030100131</v>
          </cell>
          <cell r="D574" t="str">
            <v>CNY</v>
          </cell>
          <cell r="E574" t="str">
            <v>PCS</v>
          </cell>
          <cell r="F574">
            <v>9.9749999999999995E-3</v>
          </cell>
        </row>
        <row r="575">
          <cell r="C575">
            <v>2030100151</v>
          </cell>
          <cell r="D575" t="str">
            <v>CNY</v>
          </cell>
          <cell r="E575" t="str">
            <v>PCS</v>
          </cell>
          <cell r="F575">
            <v>9.9749999999999995E-3</v>
          </cell>
        </row>
        <row r="576">
          <cell r="C576">
            <v>2030100241</v>
          </cell>
          <cell r="D576" t="str">
            <v>CNY</v>
          </cell>
          <cell r="E576" t="str">
            <v>PCS</v>
          </cell>
          <cell r="F576">
            <v>0.1239</v>
          </cell>
        </row>
        <row r="577">
          <cell r="C577">
            <v>2030100251</v>
          </cell>
          <cell r="D577" t="str">
            <v>CNY</v>
          </cell>
          <cell r="E577" t="str">
            <v>PCS</v>
          </cell>
          <cell r="F577">
            <v>0.1638</v>
          </cell>
        </row>
        <row r="578">
          <cell r="C578">
            <v>2030100281</v>
          </cell>
          <cell r="D578" t="str">
            <v>CNY</v>
          </cell>
          <cell r="E578" t="str">
            <v>PCS</v>
          </cell>
          <cell r="F578">
            <v>9.9749999999999995E-3</v>
          </cell>
        </row>
        <row r="579">
          <cell r="C579">
            <v>2030100291</v>
          </cell>
          <cell r="D579" t="str">
            <v>CNY</v>
          </cell>
          <cell r="E579" t="str">
            <v>PCS</v>
          </cell>
          <cell r="F579">
            <v>9.9749999999999995E-3</v>
          </cell>
        </row>
        <row r="580">
          <cell r="C580">
            <v>2030100473</v>
          </cell>
          <cell r="D580" t="str">
            <v>CNY</v>
          </cell>
          <cell r="E580" t="str">
            <v>PCS</v>
          </cell>
          <cell r="F580">
            <v>0.13009500000000002</v>
          </cell>
        </row>
        <row r="581">
          <cell r="C581">
            <v>2030100503</v>
          </cell>
          <cell r="D581" t="str">
            <v>CNY</v>
          </cell>
          <cell r="E581" t="str">
            <v>PCS</v>
          </cell>
          <cell r="F581">
            <v>0.51985500000000007</v>
          </cell>
        </row>
        <row r="582">
          <cell r="C582">
            <v>2030100631</v>
          </cell>
          <cell r="D582" t="str">
            <v>CNY</v>
          </cell>
          <cell r="E582" t="str">
            <v>PCS</v>
          </cell>
          <cell r="F582">
            <v>8.8977000000000001E-2</v>
          </cell>
        </row>
        <row r="583">
          <cell r="C583">
            <v>2030100741</v>
          </cell>
          <cell r="D583" t="str">
            <v>CNY</v>
          </cell>
          <cell r="E583" t="str">
            <v>PCS</v>
          </cell>
          <cell r="F583">
            <v>0.14700000000000002</v>
          </cell>
        </row>
        <row r="584">
          <cell r="C584">
            <v>2030100751</v>
          </cell>
          <cell r="D584" t="str">
            <v>CNY</v>
          </cell>
          <cell r="E584" t="str">
            <v>PCS</v>
          </cell>
          <cell r="F584">
            <v>0.14700000000000002</v>
          </cell>
        </row>
        <row r="585">
          <cell r="C585">
            <v>2030100771</v>
          </cell>
          <cell r="D585" t="str">
            <v>CNY</v>
          </cell>
          <cell r="E585" t="str">
            <v>PCS</v>
          </cell>
          <cell r="F585">
            <v>0.14700000000000002</v>
          </cell>
        </row>
        <row r="586">
          <cell r="C586">
            <v>2030100821</v>
          </cell>
          <cell r="D586" t="str">
            <v>CNY</v>
          </cell>
          <cell r="E586" t="str">
            <v>PCS</v>
          </cell>
          <cell r="F586">
            <v>0.16275000000000001</v>
          </cell>
        </row>
        <row r="587">
          <cell r="C587">
            <v>2030100831</v>
          </cell>
          <cell r="D587" t="str">
            <v>CNY</v>
          </cell>
          <cell r="E587" t="str">
            <v>PCS</v>
          </cell>
          <cell r="F587">
            <v>0.14700000000000002</v>
          </cell>
        </row>
        <row r="588">
          <cell r="C588">
            <v>2030100841</v>
          </cell>
          <cell r="D588" t="str">
            <v>CNY</v>
          </cell>
          <cell r="E588" t="str">
            <v>PCS</v>
          </cell>
          <cell r="F588">
            <v>9.9749999999999995E-3</v>
          </cell>
        </row>
        <row r="589">
          <cell r="C589">
            <v>2030100851</v>
          </cell>
          <cell r="D589" t="str">
            <v>CNY</v>
          </cell>
          <cell r="E589" t="str">
            <v>PCS</v>
          </cell>
          <cell r="F589">
            <v>0.14700000000000002</v>
          </cell>
        </row>
        <row r="590">
          <cell r="C590">
            <v>2030100861</v>
          </cell>
          <cell r="D590" t="str">
            <v>CNY</v>
          </cell>
          <cell r="E590" t="str">
            <v>PCS</v>
          </cell>
          <cell r="F590">
            <v>5.2500000000000005E-2</v>
          </cell>
        </row>
        <row r="591">
          <cell r="C591">
            <v>2030100912</v>
          </cell>
          <cell r="D591" t="str">
            <v>CNY</v>
          </cell>
          <cell r="E591" t="str">
            <v>PCS</v>
          </cell>
          <cell r="F591">
            <v>0.336924</v>
          </cell>
        </row>
        <row r="592">
          <cell r="C592">
            <v>2030101260</v>
          </cell>
          <cell r="D592" t="str">
            <v>CNY</v>
          </cell>
          <cell r="E592" t="str">
            <v>PCS</v>
          </cell>
          <cell r="F592">
            <v>0.14700000000000002</v>
          </cell>
        </row>
        <row r="593">
          <cell r="C593">
            <v>2030101380</v>
          </cell>
          <cell r="D593" t="str">
            <v>CNY</v>
          </cell>
          <cell r="E593" t="str">
            <v>PCS</v>
          </cell>
          <cell r="F593">
            <v>0.10406550000000001</v>
          </cell>
        </row>
        <row r="594">
          <cell r="C594">
            <v>2030101410</v>
          </cell>
          <cell r="D594" t="str">
            <v>CNY</v>
          </cell>
          <cell r="E594" t="str">
            <v>PCS</v>
          </cell>
          <cell r="F594">
            <v>0.15540000000000001</v>
          </cell>
        </row>
        <row r="595">
          <cell r="C595">
            <v>2030102731</v>
          </cell>
          <cell r="D595" t="str">
            <v>CNY</v>
          </cell>
          <cell r="E595" t="str">
            <v>PCS</v>
          </cell>
          <cell r="F595">
            <v>0.12629399999999999</v>
          </cell>
        </row>
        <row r="596">
          <cell r="C596">
            <v>2030103060</v>
          </cell>
          <cell r="D596" t="str">
            <v>CNY</v>
          </cell>
          <cell r="E596" t="str">
            <v>PCS</v>
          </cell>
          <cell r="F596">
            <v>0.30449999999999999</v>
          </cell>
        </row>
        <row r="597">
          <cell r="C597">
            <v>2030300031</v>
          </cell>
          <cell r="D597" t="str">
            <v>CNY</v>
          </cell>
          <cell r="E597" t="str">
            <v>PCS</v>
          </cell>
          <cell r="F597">
            <v>0.97567050000000011</v>
          </cell>
        </row>
        <row r="598">
          <cell r="C598">
            <v>2030300073</v>
          </cell>
          <cell r="D598" t="str">
            <v>CNY</v>
          </cell>
          <cell r="E598" t="str">
            <v>PCS</v>
          </cell>
          <cell r="F598">
            <v>0.41475000000000006</v>
          </cell>
        </row>
        <row r="599">
          <cell r="C599">
            <v>2030300133</v>
          </cell>
          <cell r="D599" t="str">
            <v>CNY</v>
          </cell>
          <cell r="E599" t="str">
            <v>PCS</v>
          </cell>
          <cell r="F599">
            <v>0.68250000000000011</v>
          </cell>
        </row>
        <row r="600">
          <cell r="C600">
            <v>2030300202</v>
          </cell>
          <cell r="D600" t="str">
            <v>CNY</v>
          </cell>
          <cell r="E600" t="str">
            <v>PCS</v>
          </cell>
          <cell r="F600">
            <v>2.5305000000000004</v>
          </cell>
        </row>
        <row r="601">
          <cell r="C601">
            <v>2030300211</v>
          </cell>
          <cell r="D601" t="str">
            <v>CNY</v>
          </cell>
          <cell r="E601" t="str">
            <v>PCS</v>
          </cell>
          <cell r="F601">
            <v>0.75491850000000005</v>
          </cell>
        </row>
        <row r="602">
          <cell r="C602">
            <v>2030300215</v>
          </cell>
          <cell r="D602" t="str">
            <v>CNY</v>
          </cell>
          <cell r="E602" t="str">
            <v>PCS</v>
          </cell>
          <cell r="F602">
            <v>0.66150000000000009</v>
          </cell>
        </row>
        <row r="603">
          <cell r="C603">
            <v>2030300262</v>
          </cell>
          <cell r="D603" t="str">
            <v>CNY</v>
          </cell>
          <cell r="E603" t="str">
            <v>PCS</v>
          </cell>
          <cell r="F603">
            <v>1.3933500000000001</v>
          </cell>
        </row>
        <row r="604">
          <cell r="C604">
            <v>2030301011</v>
          </cell>
          <cell r="D604" t="str">
            <v>CNY</v>
          </cell>
          <cell r="E604" t="str">
            <v>PCS</v>
          </cell>
          <cell r="F604">
            <v>0.34650000000000003</v>
          </cell>
        </row>
        <row r="605">
          <cell r="C605">
            <v>2030301060</v>
          </cell>
          <cell r="D605" t="str">
            <v>CNY</v>
          </cell>
          <cell r="E605" t="str">
            <v>PCS</v>
          </cell>
          <cell r="F605">
            <v>1.1445000000000001</v>
          </cell>
        </row>
        <row r="606">
          <cell r="C606">
            <v>2030301591</v>
          </cell>
          <cell r="D606" t="str">
            <v>CNY</v>
          </cell>
          <cell r="E606" t="str">
            <v>PCS</v>
          </cell>
          <cell r="F606">
            <v>1.9194000000000002</v>
          </cell>
        </row>
        <row r="607">
          <cell r="C607">
            <v>2030302030</v>
          </cell>
          <cell r="D607" t="str">
            <v>CNY</v>
          </cell>
          <cell r="E607" t="str">
            <v>PCS</v>
          </cell>
          <cell r="F607">
            <v>0.10605000000000001</v>
          </cell>
        </row>
        <row r="608">
          <cell r="C608">
            <v>2030302050</v>
          </cell>
          <cell r="D608" t="str">
            <v>CNY</v>
          </cell>
          <cell r="E608" t="str">
            <v>PCS</v>
          </cell>
          <cell r="F608">
            <v>0.26612250000000004</v>
          </cell>
        </row>
        <row r="609">
          <cell r="C609">
            <v>2030302100</v>
          </cell>
          <cell r="D609" t="str">
            <v>CNY</v>
          </cell>
          <cell r="E609" t="str">
            <v>PCS</v>
          </cell>
          <cell r="F609">
            <v>0.504</v>
          </cell>
        </row>
        <row r="610">
          <cell r="C610">
            <v>2030302110</v>
          </cell>
          <cell r="D610" t="str">
            <v>CNY</v>
          </cell>
          <cell r="E610" t="str">
            <v>PCS</v>
          </cell>
          <cell r="F610">
            <v>0.11884950000000001</v>
          </cell>
        </row>
        <row r="611">
          <cell r="C611">
            <v>2030500021</v>
          </cell>
          <cell r="D611" t="str">
            <v>CNY</v>
          </cell>
          <cell r="E611" t="str">
            <v>PCS</v>
          </cell>
          <cell r="F611">
            <v>6.4385999999999999E-2</v>
          </cell>
        </row>
        <row r="612">
          <cell r="C612">
            <v>2030500462</v>
          </cell>
          <cell r="D612" t="str">
            <v>CNY</v>
          </cell>
          <cell r="E612" t="str">
            <v>PCS</v>
          </cell>
          <cell r="F612">
            <v>0.27144599999999997</v>
          </cell>
        </row>
        <row r="613">
          <cell r="C613">
            <v>2030500511</v>
          </cell>
          <cell r="D613" t="str">
            <v>CNY</v>
          </cell>
          <cell r="E613" t="str">
            <v>PCS</v>
          </cell>
          <cell r="F613">
            <v>5.7539999999999994E-2</v>
          </cell>
        </row>
        <row r="614">
          <cell r="C614">
            <v>2030900011</v>
          </cell>
          <cell r="D614" t="str">
            <v>CNY</v>
          </cell>
          <cell r="E614" t="str">
            <v>PCS</v>
          </cell>
          <cell r="F614">
            <v>1.0500000000000001E-2</v>
          </cell>
        </row>
        <row r="615">
          <cell r="C615">
            <v>2030900021</v>
          </cell>
          <cell r="D615" t="str">
            <v>CNY</v>
          </cell>
          <cell r="E615" t="str">
            <v>PCS</v>
          </cell>
          <cell r="F615">
            <v>2.4234000000000002E-2</v>
          </cell>
        </row>
        <row r="616">
          <cell r="C616">
            <v>2030900081</v>
          </cell>
          <cell r="D616" t="str">
            <v>CNY</v>
          </cell>
          <cell r="E616" t="str">
            <v>PCS</v>
          </cell>
          <cell r="F616">
            <v>1.0500000000000001E-2</v>
          </cell>
        </row>
        <row r="617">
          <cell r="C617">
            <v>2030900101</v>
          </cell>
          <cell r="D617" t="str">
            <v>CNY</v>
          </cell>
          <cell r="E617" t="str">
            <v>PCS</v>
          </cell>
          <cell r="F617">
            <v>2.7930000000000003E-2</v>
          </cell>
        </row>
        <row r="618">
          <cell r="C618">
            <v>2030900172</v>
          </cell>
          <cell r="D618" t="str">
            <v>CNY</v>
          </cell>
          <cell r="E618" t="str">
            <v>PCS</v>
          </cell>
          <cell r="F618">
            <v>2.6019E-2</v>
          </cell>
        </row>
        <row r="619">
          <cell r="C619">
            <v>2030900871</v>
          </cell>
          <cell r="D619" t="str">
            <v>CNY</v>
          </cell>
          <cell r="E619" t="str">
            <v>PCS</v>
          </cell>
          <cell r="F619">
            <v>4.9350000000000005E-2</v>
          </cell>
        </row>
        <row r="620">
          <cell r="C620">
            <v>2030900941</v>
          </cell>
          <cell r="D620" t="str">
            <v>CNY</v>
          </cell>
          <cell r="E620" t="str">
            <v>PCS</v>
          </cell>
          <cell r="F620">
            <v>3.6330000000000001E-2</v>
          </cell>
        </row>
        <row r="621">
          <cell r="C621">
            <v>2030901080</v>
          </cell>
          <cell r="D621" t="str">
            <v>CNY</v>
          </cell>
          <cell r="E621" t="str">
            <v>PCS</v>
          </cell>
          <cell r="F621">
            <v>4.2000000000000003E-2</v>
          </cell>
        </row>
        <row r="622">
          <cell r="C622">
            <v>2030901092</v>
          </cell>
          <cell r="D622" t="str">
            <v>CNY</v>
          </cell>
          <cell r="E622" t="str">
            <v>PCS</v>
          </cell>
          <cell r="F622">
            <v>2.6019E-2</v>
          </cell>
        </row>
        <row r="623">
          <cell r="C623">
            <v>2040100041</v>
          </cell>
          <cell r="D623" t="str">
            <v>CNY</v>
          </cell>
          <cell r="E623" t="str">
            <v>PCS</v>
          </cell>
          <cell r="F623">
            <v>0.57750000000000012</v>
          </cell>
        </row>
        <row r="624">
          <cell r="C624">
            <v>2040300011</v>
          </cell>
          <cell r="D624" t="str">
            <v>CNY</v>
          </cell>
          <cell r="E624" t="str">
            <v>PCS</v>
          </cell>
          <cell r="F624">
            <v>0.172431</v>
          </cell>
        </row>
        <row r="625">
          <cell r="C625">
            <v>2040300071</v>
          </cell>
          <cell r="D625" t="str">
            <v>CNY</v>
          </cell>
          <cell r="E625" t="str">
            <v>PCS</v>
          </cell>
          <cell r="F625">
            <v>0.45255000000000001</v>
          </cell>
        </row>
        <row r="626">
          <cell r="C626">
            <v>2040301013</v>
          </cell>
          <cell r="D626" t="str">
            <v>CNY</v>
          </cell>
          <cell r="E626" t="str">
            <v>PCS</v>
          </cell>
          <cell r="F626">
            <v>0.17188499999999998</v>
          </cell>
        </row>
        <row r="627">
          <cell r="C627">
            <v>2040301221</v>
          </cell>
          <cell r="D627" t="str">
            <v>CNY</v>
          </cell>
          <cell r="E627" t="str">
            <v>PCS</v>
          </cell>
          <cell r="F627">
            <v>0.23793</v>
          </cell>
        </row>
        <row r="628">
          <cell r="C628">
            <v>2040301237</v>
          </cell>
          <cell r="D628" t="str">
            <v>CNY</v>
          </cell>
          <cell r="E628" t="str">
            <v>PCS</v>
          </cell>
          <cell r="F628">
            <v>0.17188499999999998</v>
          </cell>
        </row>
        <row r="629">
          <cell r="C629">
            <v>2040400011</v>
          </cell>
          <cell r="D629" t="str">
            <v>CNY</v>
          </cell>
          <cell r="E629" t="str">
            <v>PCS</v>
          </cell>
          <cell r="F629">
            <v>0.10500000000000001</v>
          </cell>
        </row>
        <row r="630">
          <cell r="C630">
            <v>2040400052</v>
          </cell>
          <cell r="D630" t="str">
            <v>CNY</v>
          </cell>
          <cell r="E630" t="str">
            <v>PCS</v>
          </cell>
          <cell r="F630">
            <v>9.8657999999999996E-2</v>
          </cell>
        </row>
        <row r="631">
          <cell r="C631">
            <v>2040400061</v>
          </cell>
          <cell r="D631" t="str">
            <v>CNY</v>
          </cell>
          <cell r="E631" t="str">
            <v>PCS</v>
          </cell>
          <cell r="F631">
            <v>8.4000000000000005E-2</v>
          </cell>
        </row>
        <row r="632">
          <cell r="C632">
            <v>2040400151</v>
          </cell>
          <cell r="D632" t="str">
            <v>CNY</v>
          </cell>
          <cell r="E632" t="str">
            <v>PCS</v>
          </cell>
          <cell r="F632">
            <v>0.27825000000000005</v>
          </cell>
        </row>
        <row r="633">
          <cell r="C633">
            <v>2040400161</v>
          </cell>
          <cell r="D633" t="str">
            <v>CNY</v>
          </cell>
          <cell r="E633" t="str">
            <v>PCS</v>
          </cell>
          <cell r="F633">
            <v>0.24150000000000002</v>
          </cell>
        </row>
        <row r="634">
          <cell r="C634">
            <v>2040400220</v>
          </cell>
          <cell r="D634" t="str">
            <v>CNY</v>
          </cell>
          <cell r="E634" t="str">
            <v>PCS</v>
          </cell>
          <cell r="F634">
            <v>0.24150000000000002</v>
          </cell>
        </row>
        <row r="635">
          <cell r="C635">
            <v>2040400230</v>
          </cell>
          <cell r="D635" t="str">
            <v>CNY</v>
          </cell>
          <cell r="E635" t="str">
            <v>PCS</v>
          </cell>
          <cell r="F635">
            <v>0.27825000000000005</v>
          </cell>
        </row>
        <row r="636">
          <cell r="C636">
            <v>2040400240</v>
          </cell>
          <cell r="D636" t="str">
            <v>CNY</v>
          </cell>
          <cell r="E636" t="str">
            <v>PCS</v>
          </cell>
          <cell r="F636">
            <v>0.27825000000000005</v>
          </cell>
        </row>
        <row r="637">
          <cell r="C637">
            <v>2040400740</v>
          </cell>
          <cell r="D637" t="str">
            <v>CNY</v>
          </cell>
          <cell r="E637" t="str">
            <v>PCS</v>
          </cell>
          <cell r="F637">
            <v>8.4000000000000005E-2</v>
          </cell>
        </row>
        <row r="638">
          <cell r="C638">
            <v>2040500031</v>
          </cell>
          <cell r="D638" t="str">
            <v>CNY</v>
          </cell>
          <cell r="E638" t="str">
            <v>PCS</v>
          </cell>
          <cell r="F638">
            <v>0.20433000000000001</v>
          </cell>
        </row>
        <row r="639">
          <cell r="C639">
            <v>2040500061</v>
          </cell>
          <cell r="D639" t="str">
            <v>CNY</v>
          </cell>
          <cell r="E639" t="str">
            <v>PCS</v>
          </cell>
          <cell r="F639">
            <v>0.20433000000000001</v>
          </cell>
        </row>
        <row r="640">
          <cell r="C640">
            <v>2040500074</v>
          </cell>
          <cell r="D640" t="str">
            <v>CNY</v>
          </cell>
          <cell r="E640" t="str">
            <v>PCS</v>
          </cell>
          <cell r="F640">
            <v>0.126</v>
          </cell>
        </row>
        <row r="641">
          <cell r="C641">
            <v>2040500150</v>
          </cell>
          <cell r="D641" t="str">
            <v>CNY</v>
          </cell>
          <cell r="E641" t="str">
            <v>PCS</v>
          </cell>
          <cell r="F641">
            <v>0.19950000000000001</v>
          </cell>
        </row>
        <row r="642">
          <cell r="C642">
            <v>2040500160</v>
          </cell>
          <cell r="D642" t="str">
            <v>CNY</v>
          </cell>
          <cell r="E642" t="str">
            <v>PCS</v>
          </cell>
          <cell r="F642">
            <v>0.19950000000000001</v>
          </cell>
        </row>
        <row r="643">
          <cell r="C643">
            <v>2040500170</v>
          </cell>
          <cell r="D643" t="str">
            <v>CNY</v>
          </cell>
          <cell r="E643" t="str">
            <v>PCS</v>
          </cell>
          <cell r="F643">
            <v>0.20433000000000001</v>
          </cell>
        </row>
        <row r="644">
          <cell r="C644">
            <v>2040500180</v>
          </cell>
          <cell r="D644" t="str">
            <v>CNY</v>
          </cell>
          <cell r="E644" t="str">
            <v>PCS</v>
          </cell>
          <cell r="F644">
            <v>0.20433000000000001</v>
          </cell>
        </row>
        <row r="645">
          <cell r="C645">
            <v>2040500661</v>
          </cell>
          <cell r="D645" t="str">
            <v>CNY</v>
          </cell>
          <cell r="E645" t="str">
            <v>PCS</v>
          </cell>
          <cell r="F645">
            <v>0.19950000000000001</v>
          </cell>
        </row>
        <row r="646">
          <cell r="C646">
            <v>2040500700</v>
          </cell>
          <cell r="D646" t="str">
            <v>CNY</v>
          </cell>
          <cell r="E646" t="str">
            <v>PCS</v>
          </cell>
          <cell r="F646">
            <v>0.19950000000000001</v>
          </cell>
        </row>
        <row r="647">
          <cell r="C647">
            <v>2040500710</v>
          </cell>
          <cell r="D647" t="str">
            <v>CNY</v>
          </cell>
          <cell r="E647" t="str">
            <v>PCS</v>
          </cell>
          <cell r="F647">
            <v>0.42000000000000004</v>
          </cell>
        </row>
        <row r="648">
          <cell r="C648">
            <v>2040700031</v>
          </cell>
          <cell r="D648" t="str">
            <v>CNY</v>
          </cell>
          <cell r="E648" t="str">
            <v>PCS</v>
          </cell>
          <cell r="F648">
            <v>0.56215950000000003</v>
          </cell>
        </row>
        <row r="649">
          <cell r="C649">
            <v>2040700033</v>
          </cell>
          <cell r="D649" t="str">
            <v>CNY</v>
          </cell>
          <cell r="E649" t="str">
            <v>PCS</v>
          </cell>
          <cell r="F649">
            <v>0.57340500000000005</v>
          </cell>
        </row>
        <row r="650">
          <cell r="C650">
            <v>2040700051</v>
          </cell>
          <cell r="D650" t="str">
            <v>CNY</v>
          </cell>
          <cell r="E650" t="str">
            <v>PCS</v>
          </cell>
          <cell r="F650">
            <v>0.7087500000000001</v>
          </cell>
        </row>
        <row r="651">
          <cell r="C651">
            <v>2040901200</v>
          </cell>
          <cell r="D651" t="str">
            <v>CNY</v>
          </cell>
          <cell r="E651" t="str">
            <v>PCS</v>
          </cell>
          <cell r="F651">
            <v>8.427877500000001</v>
          </cell>
        </row>
        <row r="652">
          <cell r="C652">
            <v>2041100061</v>
          </cell>
          <cell r="D652" t="str">
            <v>CNY</v>
          </cell>
          <cell r="E652" t="str">
            <v>PCS</v>
          </cell>
          <cell r="F652">
            <v>4.9350000000000005E-2</v>
          </cell>
        </row>
        <row r="653">
          <cell r="C653">
            <v>2041100071</v>
          </cell>
          <cell r="D653" t="str">
            <v>CNY</v>
          </cell>
          <cell r="E653" t="str">
            <v>PCS</v>
          </cell>
          <cell r="F653">
            <v>6.1949999999999998E-2</v>
          </cell>
        </row>
        <row r="654">
          <cell r="C654">
            <v>2041100101</v>
          </cell>
          <cell r="D654" t="str">
            <v>CNY</v>
          </cell>
          <cell r="E654" t="str">
            <v>PCS</v>
          </cell>
          <cell r="F654">
            <v>5.67E-2</v>
          </cell>
        </row>
        <row r="655">
          <cell r="C655">
            <v>2041100171</v>
          </cell>
          <cell r="D655" t="str">
            <v>CNY</v>
          </cell>
          <cell r="E655" t="str">
            <v>PCS</v>
          </cell>
          <cell r="F655">
            <v>6.3630000000000006E-2</v>
          </cell>
        </row>
        <row r="656">
          <cell r="C656">
            <v>2041100201</v>
          </cell>
          <cell r="D656" t="str">
            <v>CNY</v>
          </cell>
          <cell r="E656" t="str">
            <v>PCS</v>
          </cell>
          <cell r="F656">
            <v>4.5885000000000002E-2</v>
          </cell>
        </row>
        <row r="657">
          <cell r="C657">
            <v>2041100261</v>
          </cell>
          <cell r="D657" t="str">
            <v>CNY</v>
          </cell>
          <cell r="E657" t="str">
            <v>PCS</v>
          </cell>
          <cell r="F657">
            <v>0.13020000000000001</v>
          </cell>
        </row>
        <row r="658">
          <cell r="C658">
            <v>2041100271</v>
          </cell>
          <cell r="D658" t="str">
            <v>CNY</v>
          </cell>
          <cell r="E658" t="str">
            <v>PCS</v>
          </cell>
          <cell r="F658">
            <v>2.6250000000000002E-2</v>
          </cell>
        </row>
        <row r="659">
          <cell r="C659">
            <v>2041100272</v>
          </cell>
          <cell r="D659" t="str">
            <v>CNY</v>
          </cell>
          <cell r="E659" t="str">
            <v>PCS</v>
          </cell>
          <cell r="F659">
            <v>4.2000000000000003E-2</v>
          </cell>
        </row>
        <row r="660">
          <cell r="C660">
            <v>2041100273</v>
          </cell>
          <cell r="D660" t="str">
            <v>CNY</v>
          </cell>
          <cell r="E660" t="str">
            <v>PCS</v>
          </cell>
          <cell r="F660">
            <v>4.2839999999999996E-2</v>
          </cell>
        </row>
        <row r="661">
          <cell r="C661">
            <v>2041100301</v>
          </cell>
          <cell r="D661" t="str">
            <v>CNY</v>
          </cell>
          <cell r="E661" t="str">
            <v>PCS</v>
          </cell>
          <cell r="F661">
            <v>4.8300000000000003E-2</v>
          </cell>
        </row>
        <row r="662">
          <cell r="C662">
            <v>2041100302</v>
          </cell>
          <cell r="D662" t="str">
            <v>CNY</v>
          </cell>
          <cell r="E662" t="str">
            <v>PCS</v>
          </cell>
          <cell r="F662">
            <v>4.6830000000000004E-2</v>
          </cell>
        </row>
        <row r="663">
          <cell r="C663">
            <v>2041100321</v>
          </cell>
          <cell r="D663" t="str">
            <v>CNY</v>
          </cell>
          <cell r="E663" t="str">
            <v>PCS</v>
          </cell>
          <cell r="F663">
            <v>4.8300000000000003E-2</v>
          </cell>
        </row>
        <row r="664">
          <cell r="C664">
            <v>2041100322</v>
          </cell>
          <cell r="D664" t="str">
            <v>CNY</v>
          </cell>
          <cell r="E664" t="str">
            <v>PCS</v>
          </cell>
          <cell r="F664">
            <v>4.6830000000000004E-2</v>
          </cell>
        </row>
        <row r="665">
          <cell r="C665">
            <v>2041100361</v>
          </cell>
          <cell r="D665" t="str">
            <v>CNY</v>
          </cell>
          <cell r="E665" t="str">
            <v>PCS</v>
          </cell>
          <cell r="F665">
            <v>7.0245000000000002E-2</v>
          </cell>
        </row>
        <row r="666">
          <cell r="C666">
            <v>2041100393</v>
          </cell>
          <cell r="D666" t="str">
            <v>CNY</v>
          </cell>
          <cell r="E666" t="str">
            <v>PCS</v>
          </cell>
          <cell r="F666">
            <v>5.7750000000000003E-2</v>
          </cell>
        </row>
        <row r="667">
          <cell r="C667">
            <v>2041100434</v>
          </cell>
          <cell r="D667" t="str">
            <v>CNY</v>
          </cell>
          <cell r="E667" t="str">
            <v>PCS</v>
          </cell>
          <cell r="F667">
            <v>8.8620000000000004E-2</v>
          </cell>
        </row>
        <row r="668">
          <cell r="C668">
            <v>2041100512</v>
          </cell>
          <cell r="D668" t="str">
            <v>CNY</v>
          </cell>
          <cell r="E668" t="str">
            <v>PCS</v>
          </cell>
          <cell r="F668">
            <v>8.0482500000000012E-2</v>
          </cell>
        </row>
        <row r="669">
          <cell r="C669">
            <v>2041100513</v>
          </cell>
          <cell r="D669" t="str">
            <v>CNY</v>
          </cell>
          <cell r="E669" t="str">
            <v>PCS</v>
          </cell>
          <cell r="F669">
            <v>4.4625000000000005E-2</v>
          </cell>
        </row>
        <row r="670">
          <cell r="C670">
            <v>2041100522</v>
          </cell>
          <cell r="D670" t="str">
            <v>CNY</v>
          </cell>
          <cell r="E670" t="str">
            <v>PCS</v>
          </cell>
          <cell r="F670">
            <v>4.4625000000000005E-2</v>
          </cell>
        </row>
        <row r="671">
          <cell r="C671">
            <v>2041101391</v>
          </cell>
          <cell r="D671" t="str">
            <v>CNY</v>
          </cell>
          <cell r="E671" t="str">
            <v>PCS</v>
          </cell>
          <cell r="F671">
            <v>6.1949999999999998E-2</v>
          </cell>
        </row>
        <row r="672">
          <cell r="C672">
            <v>2041101401</v>
          </cell>
          <cell r="D672" t="str">
            <v>CNY</v>
          </cell>
          <cell r="E672" t="str">
            <v>PCS</v>
          </cell>
          <cell r="F672">
            <v>6.1949999999999998E-2</v>
          </cell>
        </row>
        <row r="673">
          <cell r="C673">
            <v>2041101411</v>
          </cell>
          <cell r="D673" t="str">
            <v>CNY</v>
          </cell>
          <cell r="E673" t="str">
            <v>PCS</v>
          </cell>
          <cell r="F673">
            <v>6.1949999999999998E-2</v>
          </cell>
        </row>
        <row r="674">
          <cell r="C674">
            <v>2041101431</v>
          </cell>
          <cell r="D674" t="str">
            <v>CNY</v>
          </cell>
          <cell r="E674" t="str">
            <v>PCS</v>
          </cell>
          <cell r="F674">
            <v>6.1949999999999998E-2</v>
          </cell>
        </row>
        <row r="675">
          <cell r="C675">
            <v>2041101441</v>
          </cell>
          <cell r="D675" t="str">
            <v>CNY</v>
          </cell>
          <cell r="E675" t="str">
            <v>PCS</v>
          </cell>
          <cell r="F675">
            <v>6.1949999999999998E-2</v>
          </cell>
        </row>
        <row r="676">
          <cell r="C676">
            <v>2041101631</v>
          </cell>
          <cell r="D676" t="str">
            <v>CNY</v>
          </cell>
          <cell r="E676" t="str">
            <v>PCS</v>
          </cell>
          <cell r="F676">
            <v>5.1555000000000011E-2</v>
          </cell>
        </row>
        <row r="677">
          <cell r="C677">
            <v>2041101641</v>
          </cell>
          <cell r="D677" t="str">
            <v>CNY</v>
          </cell>
          <cell r="E677" t="str">
            <v>PCS</v>
          </cell>
          <cell r="F677">
            <v>5.5019999999999999E-2</v>
          </cell>
        </row>
        <row r="678">
          <cell r="C678">
            <v>2050100031</v>
          </cell>
          <cell r="D678" t="str">
            <v>CNY</v>
          </cell>
          <cell r="E678" t="str">
            <v>PCS</v>
          </cell>
          <cell r="F678">
            <v>17.388840000000002</v>
          </cell>
        </row>
        <row r="679">
          <cell r="C679">
            <v>2050100041</v>
          </cell>
          <cell r="D679" t="str">
            <v>CNY</v>
          </cell>
          <cell r="E679" t="str">
            <v>PCS</v>
          </cell>
          <cell r="F679">
            <v>8.5392299999999999</v>
          </cell>
        </row>
        <row r="680">
          <cell r="C680">
            <v>2050100042</v>
          </cell>
          <cell r="D680" t="str">
            <v>CNY</v>
          </cell>
          <cell r="E680" t="str">
            <v>PCS</v>
          </cell>
          <cell r="F680">
            <v>7.6986630000000007</v>
          </cell>
        </row>
        <row r="681">
          <cell r="C681">
            <v>2050100181</v>
          </cell>
          <cell r="D681" t="str">
            <v>CNY</v>
          </cell>
          <cell r="E681" t="str">
            <v>PCS</v>
          </cell>
          <cell r="F681">
            <v>38.966120549999999</v>
          </cell>
        </row>
        <row r="682">
          <cell r="C682">
            <v>2050100371</v>
          </cell>
          <cell r="D682" t="str">
            <v>CNY</v>
          </cell>
          <cell r="E682" t="str">
            <v>PCS</v>
          </cell>
          <cell r="F682">
            <v>7.8981000000000003</v>
          </cell>
        </row>
        <row r="683">
          <cell r="C683">
            <v>2050100591</v>
          </cell>
          <cell r="D683" t="str">
            <v>CNY</v>
          </cell>
          <cell r="E683" t="str">
            <v>PCS</v>
          </cell>
          <cell r="F683">
            <v>13.755000000000001</v>
          </cell>
        </row>
        <row r="684">
          <cell r="C684">
            <v>2050100601</v>
          </cell>
          <cell r="D684" t="str">
            <v>CNY</v>
          </cell>
          <cell r="E684" t="str">
            <v>PCS</v>
          </cell>
          <cell r="F684">
            <v>14.051582999999999</v>
          </cell>
        </row>
        <row r="685">
          <cell r="C685">
            <v>2050100621</v>
          </cell>
          <cell r="D685" t="str">
            <v>CNY</v>
          </cell>
          <cell r="E685" t="str">
            <v>PCS</v>
          </cell>
          <cell r="F685">
            <v>2.9437065000000002</v>
          </cell>
        </row>
        <row r="686">
          <cell r="C686">
            <v>2050100821</v>
          </cell>
          <cell r="D686" t="str">
            <v>CNY</v>
          </cell>
          <cell r="E686" t="str">
            <v>PCS</v>
          </cell>
          <cell r="F686">
            <v>3.0555000000000003</v>
          </cell>
        </row>
        <row r="687">
          <cell r="C687">
            <v>2050100831</v>
          </cell>
          <cell r="D687" t="str">
            <v>CNY</v>
          </cell>
          <cell r="E687" t="str">
            <v>PCS</v>
          </cell>
          <cell r="F687">
            <v>2.983155</v>
          </cell>
        </row>
        <row r="688">
          <cell r="C688">
            <v>2050100861</v>
          </cell>
          <cell r="D688" t="str">
            <v>CNY</v>
          </cell>
          <cell r="E688" t="str">
            <v>PCS</v>
          </cell>
          <cell r="F688">
            <v>27.641249999999999</v>
          </cell>
        </row>
        <row r="689">
          <cell r="C689">
            <v>2050100871</v>
          </cell>
          <cell r="D689" t="str">
            <v>CNY</v>
          </cell>
          <cell r="E689" t="str">
            <v>PCS</v>
          </cell>
          <cell r="F689">
            <v>4.1349</v>
          </cell>
        </row>
        <row r="690">
          <cell r="C690">
            <v>2050100921</v>
          </cell>
          <cell r="D690" t="str">
            <v>CNY</v>
          </cell>
          <cell r="E690" t="str">
            <v>PCS</v>
          </cell>
          <cell r="F690">
            <v>3.0664199999999999</v>
          </cell>
        </row>
        <row r="691">
          <cell r="C691">
            <v>2050101081</v>
          </cell>
          <cell r="D691" t="str">
            <v>CNY</v>
          </cell>
          <cell r="E691" t="str">
            <v>PCS</v>
          </cell>
          <cell r="F691">
            <v>6.4995000000000003</v>
          </cell>
        </row>
        <row r="692">
          <cell r="C692">
            <v>2050101801</v>
          </cell>
          <cell r="D692" t="str">
            <v>CNY</v>
          </cell>
          <cell r="E692" t="str">
            <v>PCS</v>
          </cell>
          <cell r="F692">
            <v>3.0975000000000001</v>
          </cell>
        </row>
        <row r="693">
          <cell r="C693">
            <v>2050101901</v>
          </cell>
          <cell r="D693" t="str">
            <v>CNY</v>
          </cell>
          <cell r="E693" t="str">
            <v>PCS</v>
          </cell>
          <cell r="F693">
            <v>5.5754999999999999</v>
          </cell>
        </row>
        <row r="694">
          <cell r="C694">
            <v>2050101961</v>
          </cell>
          <cell r="D694" t="str">
            <v>CNY</v>
          </cell>
          <cell r="E694" t="str">
            <v>PCS</v>
          </cell>
          <cell r="F694">
            <v>25.220790000000001</v>
          </cell>
        </row>
        <row r="695">
          <cell r="C695">
            <v>2050101971</v>
          </cell>
          <cell r="D695" t="str">
            <v>CNY</v>
          </cell>
          <cell r="E695" t="str">
            <v>PCS</v>
          </cell>
          <cell r="F695">
            <v>21.617820000000002</v>
          </cell>
        </row>
        <row r="696">
          <cell r="C696">
            <v>2050102281</v>
          </cell>
          <cell r="D696" t="str">
            <v>CNY</v>
          </cell>
          <cell r="E696" t="str">
            <v>PCS</v>
          </cell>
          <cell r="F696">
            <v>6.09</v>
          </cell>
        </row>
        <row r="697">
          <cell r="C697">
            <v>2050102411</v>
          </cell>
          <cell r="D697" t="str">
            <v>CNY</v>
          </cell>
          <cell r="E697" t="str">
            <v>PCS</v>
          </cell>
          <cell r="F697">
            <v>3.1594500000000001</v>
          </cell>
        </row>
        <row r="698">
          <cell r="C698">
            <v>2050102431</v>
          </cell>
          <cell r="D698" t="str">
            <v>CNY</v>
          </cell>
          <cell r="E698" t="str">
            <v>PCS</v>
          </cell>
          <cell r="F698">
            <v>42.743358000000001</v>
          </cell>
        </row>
        <row r="699">
          <cell r="C699">
            <v>2050102462</v>
          </cell>
          <cell r="D699" t="str">
            <v>CNY</v>
          </cell>
          <cell r="E699" t="str">
            <v>PCS</v>
          </cell>
          <cell r="F699">
            <v>2.7825000000000002</v>
          </cell>
        </row>
        <row r="700">
          <cell r="C700">
            <v>2050102621</v>
          </cell>
          <cell r="D700" t="str">
            <v>CNY</v>
          </cell>
          <cell r="E700" t="str">
            <v>PCS</v>
          </cell>
          <cell r="F700">
            <v>20.795575500000002</v>
          </cell>
        </row>
        <row r="701">
          <cell r="C701">
            <v>2050102701</v>
          </cell>
          <cell r="D701" t="str">
            <v>CNY</v>
          </cell>
          <cell r="E701" t="str">
            <v>PCS</v>
          </cell>
          <cell r="F701">
            <v>4.0887000000000002</v>
          </cell>
        </row>
        <row r="702">
          <cell r="C702">
            <v>2050102781</v>
          </cell>
          <cell r="D702" t="str">
            <v>CNY</v>
          </cell>
          <cell r="E702" t="str">
            <v>PCS</v>
          </cell>
          <cell r="F702">
            <v>6.3525</v>
          </cell>
        </row>
        <row r="703">
          <cell r="C703">
            <v>2050102950</v>
          </cell>
          <cell r="D703" t="str">
            <v>CNY</v>
          </cell>
          <cell r="E703" t="str">
            <v>PCS</v>
          </cell>
          <cell r="F703">
            <v>6.504435</v>
          </cell>
        </row>
        <row r="704">
          <cell r="C704">
            <v>2050300071</v>
          </cell>
          <cell r="D704" t="str">
            <v>CNY</v>
          </cell>
          <cell r="E704" t="str">
            <v>PCS</v>
          </cell>
          <cell r="F704">
            <v>5.5576500000000006</v>
          </cell>
        </row>
        <row r="705">
          <cell r="C705">
            <v>2050300741</v>
          </cell>
          <cell r="D705" t="str">
            <v>CNY</v>
          </cell>
          <cell r="E705" t="str">
            <v>PCS</v>
          </cell>
          <cell r="F705">
            <v>1.008</v>
          </cell>
        </row>
        <row r="706">
          <cell r="C706">
            <v>2050300811</v>
          </cell>
          <cell r="D706" t="str">
            <v>CNY</v>
          </cell>
          <cell r="E706" t="str">
            <v>PCS</v>
          </cell>
          <cell r="F706">
            <v>17.840655000000002</v>
          </cell>
        </row>
        <row r="707">
          <cell r="C707">
            <v>2050300861</v>
          </cell>
          <cell r="D707" t="str">
            <v>CNY</v>
          </cell>
          <cell r="E707" t="str">
            <v>PCS</v>
          </cell>
          <cell r="F707">
            <v>5.3896500000000005</v>
          </cell>
        </row>
        <row r="708">
          <cell r="C708">
            <v>2050300931</v>
          </cell>
          <cell r="D708" t="str">
            <v>CNY</v>
          </cell>
          <cell r="E708" t="str">
            <v>PCS</v>
          </cell>
          <cell r="F708">
            <v>1.05</v>
          </cell>
        </row>
        <row r="709">
          <cell r="C709">
            <v>2050500031</v>
          </cell>
          <cell r="D709" t="str">
            <v>CNY</v>
          </cell>
          <cell r="E709" t="str">
            <v>PCS</v>
          </cell>
          <cell r="F709">
            <v>0.28980000000000006</v>
          </cell>
        </row>
        <row r="710">
          <cell r="C710">
            <v>2050500032</v>
          </cell>
          <cell r="D710" t="str">
            <v>CNY</v>
          </cell>
          <cell r="E710" t="str">
            <v>PCS</v>
          </cell>
          <cell r="F710">
            <v>0.23454900000000001</v>
          </cell>
        </row>
        <row r="711">
          <cell r="C711">
            <v>2050500041</v>
          </cell>
          <cell r="D711" t="str">
            <v>CNY</v>
          </cell>
          <cell r="E711" t="str">
            <v>PCS</v>
          </cell>
          <cell r="F711">
            <v>0.29819999999999997</v>
          </cell>
        </row>
        <row r="712">
          <cell r="C712">
            <v>2050500042</v>
          </cell>
          <cell r="D712" t="str">
            <v>CNY</v>
          </cell>
          <cell r="E712" t="str">
            <v>PCS</v>
          </cell>
          <cell r="F712">
            <v>0.30974999999999997</v>
          </cell>
        </row>
        <row r="713">
          <cell r="C713">
            <v>2050500063</v>
          </cell>
          <cell r="D713" t="str">
            <v>CNY</v>
          </cell>
          <cell r="E713" t="str">
            <v>PCS</v>
          </cell>
          <cell r="F713">
            <v>0.49769999999999998</v>
          </cell>
        </row>
        <row r="714">
          <cell r="C714">
            <v>2050500064</v>
          </cell>
          <cell r="D714" t="str">
            <v>CNY</v>
          </cell>
          <cell r="E714" t="str">
            <v>PCS</v>
          </cell>
          <cell r="F714">
            <v>0.39091500000000001</v>
          </cell>
        </row>
        <row r="715">
          <cell r="C715">
            <v>2050500093</v>
          </cell>
          <cell r="D715" t="str">
            <v>CNY</v>
          </cell>
          <cell r="E715" t="str">
            <v>PCS</v>
          </cell>
          <cell r="F715">
            <v>0.63</v>
          </cell>
        </row>
        <row r="716">
          <cell r="C716">
            <v>2050500094</v>
          </cell>
          <cell r="D716" t="str">
            <v>CNY</v>
          </cell>
          <cell r="E716" t="str">
            <v>PCS</v>
          </cell>
          <cell r="F716">
            <v>0.66401999999999994</v>
          </cell>
        </row>
        <row r="717">
          <cell r="C717">
            <v>2050500192</v>
          </cell>
          <cell r="D717" t="str">
            <v>CNY</v>
          </cell>
          <cell r="E717" t="str">
            <v>PCS</v>
          </cell>
          <cell r="F717">
            <v>0.29400000000000004</v>
          </cell>
        </row>
        <row r="718">
          <cell r="C718">
            <v>2050500193</v>
          </cell>
          <cell r="D718" t="str">
            <v>CNY</v>
          </cell>
          <cell r="E718" t="str">
            <v>PCS</v>
          </cell>
          <cell r="F718">
            <v>0.22812299999999999</v>
          </cell>
        </row>
        <row r="719">
          <cell r="C719">
            <v>2050500392</v>
          </cell>
          <cell r="D719" t="str">
            <v>CNY</v>
          </cell>
          <cell r="E719" t="str">
            <v>PCS</v>
          </cell>
          <cell r="F719">
            <v>0.70245000000000002</v>
          </cell>
        </row>
        <row r="720">
          <cell r="C720">
            <v>2050500393</v>
          </cell>
          <cell r="D720" t="str">
            <v>CNY</v>
          </cell>
          <cell r="E720" t="str">
            <v>PCS</v>
          </cell>
          <cell r="F720">
            <v>0.94290000000000007</v>
          </cell>
        </row>
        <row r="721">
          <cell r="C721">
            <v>2050501564</v>
          </cell>
          <cell r="D721" t="str">
            <v>CNY</v>
          </cell>
          <cell r="E721" t="str">
            <v>PCS</v>
          </cell>
          <cell r="F721">
            <v>0.45239250000000003</v>
          </cell>
        </row>
        <row r="722">
          <cell r="C722">
            <v>2050501701</v>
          </cell>
          <cell r="D722" t="str">
            <v>CNY</v>
          </cell>
          <cell r="E722" t="str">
            <v>PCS</v>
          </cell>
          <cell r="F722">
            <v>0.24150000000000002</v>
          </cell>
        </row>
        <row r="723">
          <cell r="C723">
            <v>2050501711</v>
          </cell>
          <cell r="D723" t="str">
            <v>CNY</v>
          </cell>
          <cell r="E723" t="str">
            <v>PCS</v>
          </cell>
          <cell r="F723">
            <v>0.17850000000000002</v>
          </cell>
        </row>
        <row r="724">
          <cell r="C724">
            <v>2050501741</v>
          </cell>
          <cell r="D724" t="str">
            <v>CNY</v>
          </cell>
          <cell r="E724" t="str">
            <v>PCS</v>
          </cell>
          <cell r="F724">
            <v>0.56070000000000009</v>
          </cell>
        </row>
        <row r="725">
          <cell r="C725">
            <v>2050501751</v>
          </cell>
          <cell r="D725" t="str">
            <v>CNY</v>
          </cell>
          <cell r="E725" t="str">
            <v>PCS</v>
          </cell>
          <cell r="F725">
            <v>0.39028499999999999</v>
          </cell>
        </row>
        <row r="726">
          <cell r="C726">
            <v>2050501761</v>
          </cell>
          <cell r="D726" t="str">
            <v>CNY</v>
          </cell>
          <cell r="E726" t="str">
            <v>PCS</v>
          </cell>
          <cell r="F726">
            <v>0.31899000000000005</v>
          </cell>
        </row>
        <row r="727">
          <cell r="C727">
            <v>2050501900</v>
          </cell>
          <cell r="D727" t="str">
            <v>CNY</v>
          </cell>
          <cell r="E727" t="str">
            <v>PCS</v>
          </cell>
          <cell r="F727">
            <v>1.3650000000000002</v>
          </cell>
        </row>
        <row r="728">
          <cell r="C728">
            <v>2050501951</v>
          </cell>
          <cell r="D728" t="str">
            <v>CNY</v>
          </cell>
          <cell r="E728" t="str">
            <v>PCS</v>
          </cell>
          <cell r="F728">
            <v>0.504</v>
          </cell>
        </row>
        <row r="729">
          <cell r="C729">
            <v>2050502010</v>
          </cell>
          <cell r="D729" t="str">
            <v>CNY</v>
          </cell>
          <cell r="E729" t="str">
            <v>PCS</v>
          </cell>
          <cell r="F729">
            <v>2.78775</v>
          </cell>
        </row>
        <row r="730">
          <cell r="C730">
            <v>2050700011</v>
          </cell>
          <cell r="D730" t="str">
            <v>CNY</v>
          </cell>
          <cell r="E730" t="str">
            <v>PCS</v>
          </cell>
          <cell r="F730">
            <v>0.48300000000000004</v>
          </cell>
        </row>
        <row r="731">
          <cell r="C731">
            <v>2050700041</v>
          </cell>
          <cell r="D731" t="str">
            <v>CNY</v>
          </cell>
          <cell r="E731" t="str">
            <v>PCS</v>
          </cell>
          <cell r="F731">
            <v>1.5009855000000001</v>
          </cell>
        </row>
        <row r="732">
          <cell r="C732">
            <v>2050700042</v>
          </cell>
          <cell r="D732" t="str">
            <v>CNY</v>
          </cell>
          <cell r="E732" t="str">
            <v>PCS</v>
          </cell>
          <cell r="F732">
            <v>0.58800000000000008</v>
          </cell>
        </row>
        <row r="733">
          <cell r="C733">
            <v>2050700051</v>
          </cell>
          <cell r="D733" t="str">
            <v>CNY</v>
          </cell>
          <cell r="E733" t="str">
            <v>PCS</v>
          </cell>
          <cell r="F733">
            <v>1.06785</v>
          </cell>
        </row>
        <row r="734">
          <cell r="C734">
            <v>2050700241</v>
          </cell>
          <cell r="D734" t="str">
            <v>CNY</v>
          </cell>
          <cell r="E734" t="str">
            <v>PCS</v>
          </cell>
          <cell r="F734">
            <v>0.50336999999999998</v>
          </cell>
        </row>
        <row r="735">
          <cell r="C735">
            <v>2050700242</v>
          </cell>
          <cell r="D735" t="str">
            <v>CNY</v>
          </cell>
          <cell r="E735" t="str">
            <v>PCS</v>
          </cell>
          <cell r="F735">
            <v>0.38671500000000003</v>
          </cell>
        </row>
        <row r="736">
          <cell r="C736">
            <v>2050700312</v>
          </cell>
          <cell r="D736" t="str">
            <v>CNY</v>
          </cell>
          <cell r="E736" t="str">
            <v>PCS</v>
          </cell>
          <cell r="F736">
            <v>11.865000000000002</v>
          </cell>
        </row>
        <row r="737">
          <cell r="C737">
            <v>2050700433</v>
          </cell>
          <cell r="D737" t="str">
            <v>CNY</v>
          </cell>
          <cell r="E737" t="str">
            <v>PCS</v>
          </cell>
          <cell r="F737">
            <v>0.41468700000000003</v>
          </cell>
        </row>
        <row r="738">
          <cell r="C738">
            <v>2050700434</v>
          </cell>
          <cell r="D738" t="str">
            <v>CNY</v>
          </cell>
          <cell r="E738" t="str">
            <v>PCS</v>
          </cell>
          <cell r="F738">
            <v>0.65044350000000006</v>
          </cell>
        </row>
        <row r="739">
          <cell r="C739">
            <v>2050700435</v>
          </cell>
          <cell r="D739" t="str">
            <v>CNY</v>
          </cell>
          <cell r="E739" t="str">
            <v>PCS</v>
          </cell>
          <cell r="F739">
            <v>0.26523000000000002</v>
          </cell>
        </row>
        <row r="740">
          <cell r="C740">
            <v>2050701481</v>
          </cell>
          <cell r="D740" t="str">
            <v>CNY</v>
          </cell>
          <cell r="E740" t="str">
            <v>PCS</v>
          </cell>
          <cell r="F740">
            <v>0.26523000000000002</v>
          </cell>
        </row>
        <row r="741">
          <cell r="C741">
            <v>2050701521</v>
          </cell>
          <cell r="D741" t="str">
            <v>CNY</v>
          </cell>
          <cell r="E741" t="str">
            <v>PCS</v>
          </cell>
          <cell r="F741">
            <v>1.62771</v>
          </cell>
        </row>
        <row r="742">
          <cell r="C742">
            <v>2050701990</v>
          </cell>
          <cell r="D742" t="str">
            <v>CNY</v>
          </cell>
          <cell r="E742" t="str">
            <v>PCS</v>
          </cell>
          <cell r="F742">
            <v>0.65044350000000006</v>
          </cell>
        </row>
        <row r="743">
          <cell r="C743">
            <v>2050900021</v>
          </cell>
          <cell r="D743" t="str">
            <v>CNY</v>
          </cell>
          <cell r="E743" t="str">
            <v>PCS</v>
          </cell>
          <cell r="F743">
            <v>0.16896599999999998</v>
          </cell>
        </row>
        <row r="744">
          <cell r="C744">
            <v>2050900071</v>
          </cell>
          <cell r="D744" t="str">
            <v>CNY</v>
          </cell>
          <cell r="E744" t="str">
            <v>PCS</v>
          </cell>
          <cell r="F744">
            <v>0.15511650000000002</v>
          </cell>
        </row>
        <row r="745">
          <cell r="C745">
            <v>2050900161</v>
          </cell>
          <cell r="D745" t="str">
            <v>CNY</v>
          </cell>
          <cell r="E745" t="str">
            <v>PCS</v>
          </cell>
          <cell r="F745">
            <v>2.7526690799999995</v>
          </cell>
        </row>
        <row r="746">
          <cell r="C746">
            <v>2050900171</v>
          </cell>
          <cell r="D746" t="str">
            <v>CNY</v>
          </cell>
          <cell r="E746" t="str">
            <v>PCS</v>
          </cell>
          <cell r="F746">
            <v>3.4213803120000001</v>
          </cell>
        </row>
        <row r="747">
          <cell r="C747">
            <v>2050900201</v>
          </cell>
          <cell r="D747" t="str">
            <v>CNY</v>
          </cell>
          <cell r="E747" t="str">
            <v>PCS</v>
          </cell>
          <cell r="F747">
            <v>0.63407400000000003</v>
          </cell>
        </row>
        <row r="748">
          <cell r="C748">
            <v>2050900391</v>
          </cell>
          <cell r="D748" t="str">
            <v>CNY</v>
          </cell>
          <cell r="E748" t="str">
            <v>PCS</v>
          </cell>
          <cell r="F748">
            <v>1.3033755</v>
          </cell>
        </row>
        <row r="749">
          <cell r="C749">
            <v>2050900691</v>
          </cell>
          <cell r="D749" t="str">
            <v>CNY</v>
          </cell>
          <cell r="E749" t="str">
            <v>PCS</v>
          </cell>
          <cell r="F749">
            <v>1.5492770999999999</v>
          </cell>
        </row>
        <row r="750">
          <cell r="C750">
            <v>2050900701</v>
          </cell>
          <cell r="D750" t="str">
            <v>CNY</v>
          </cell>
          <cell r="E750" t="str">
            <v>PCS</v>
          </cell>
          <cell r="F750">
            <v>2.3551500000000001</v>
          </cell>
        </row>
        <row r="751">
          <cell r="C751">
            <v>2050900981</v>
          </cell>
          <cell r="D751" t="str">
            <v>CNY</v>
          </cell>
          <cell r="E751" t="str">
            <v>PCS</v>
          </cell>
          <cell r="F751">
            <v>0.45410400000000006</v>
          </cell>
        </row>
        <row r="752">
          <cell r="C752">
            <v>2050901081</v>
          </cell>
          <cell r="D752" t="str">
            <v>CNY</v>
          </cell>
          <cell r="E752" t="str">
            <v>PCS</v>
          </cell>
          <cell r="F752">
            <v>0.56361899999999998</v>
          </cell>
        </row>
        <row r="753">
          <cell r="C753">
            <v>2050902561</v>
          </cell>
          <cell r="D753" t="str">
            <v>CNY</v>
          </cell>
          <cell r="E753" t="str">
            <v>PCS</v>
          </cell>
          <cell r="F753">
            <v>1.4354550000000001</v>
          </cell>
        </row>
        <row r="754">
          <cell r="C754">
            <v>2050902701</v>
          </cell>
          <cell r="D754" t="str">
            <v>CNY</v>
          </cell>
          <cell r="E754" t="str">
            <v>PCS</v>
          </cell>
          <cell r="F754">
            <v>3.2681040000000001</v>
          </cell>
        </row>
        <row r="755">
          <cell r="C755">
            <v>2050902711</v>
          </cell>
          <cell r="D755" t="str">
            <v>CNY</v>
          </cell>
          <cell r="E755" t="str">
            <v>PCS</v>
          </cell>
          <cell r="F755">
            <v>3.2372339999999999</v>
          </cell>
        </row>
        <row r="756">
          <cell r="C756">
            <v>2050902781</v>
          </cell>
          <cell r="D756" t="str">
            <v>CNY</v>
          </cell>
          <cell r="E756" t="str">
            <v>PCS</v>
          </cell>
          <cell r="F756">
            <v>1.50234</v>
          </cell>
        </row>
        <row r="757">
          <cell r="C757">
            <v>2050903531</v>
          </cell>
          <cell r="D757" t="str">
            <v>CNY</v>
          </cell>
          <cell r="E757" t="str">
            <v>PCS</v>
          </cell>
          <cell r="F757">
            <v>1.8861569999999999</v>
          </cell>
        </row>
        <row r="758">
          <cell r="C758">
            <v>2050904021</v>
          </cell>
          <cell r="D758" t="str">
            <v>CNY</v>
          </cell>
          <cell r="E758" t="str">
            <v>PCS</v>
          </cell>
          <cell r="F758">
            <v>5.8930830000000007</v>
          </cell>
        </row>
        <row r="759">
          <cell r="C759">
            <v>2051100044</v>
          </cell>
          <cell r="D759" t="str">
            <v>CNY</v>
          </cell>
          <cell r="E759" t="str">
            <v>PCS</v>
          </cell>
          <cell r="F759">
            <v>3.4335</v>
          </cell>
        </row>
        <row r="760">
          <cell r="C760">
            <v>2051300151</v>
          </cell>
          <cell r="D760" t="str">
            <v>CNY</v>
          </cell>
          <cell r="E760" t="str">
            <v>PCS</v>
          </cell>
          <cell r="F760">
            <v>1.7654553000000002</v>
          </cell>
        </row>
        <row r="761">
          <cell r="C761">
            <v>2051300171</v>
          </cell>
          <cell r="D761" t="str">
            <v>CNY</v>
          </cell>
          <cell r="E761" t="str">
            <v>PCS</v>
          </cell>
          <cell r="F761">
            <v>1.1550000000000002</v>
          </cell>
        </row>
        <row r="762">
          <cell r="C762">
            <v>2051300191</v>
          </cell>
          <cell r="D762" t="str">
            <v>CNY</v>
          </cell>
          <cell r="E762" t="str">
            <v>PCS</v>
          </cell>
          <cell r="F762">
            <v>0.20464869600000002</v>
          </cell>
        </row>
        <row r="763">
          <cell r="C763">
            <v>2051300201</v>
          </cell>
          <cell r="D763" t="str">
            <v>CNY</v>
          </cell>
          <cell r="E763" t="str">
            <v>PCS</v>
          </cell>
          <cell r="F763">
            <v>0.14700000000000002</v>
          </cell>
        </row>
        <row r="764">
          <cell r="C764">
            <v>2051300221</v>
          </cell>
          <cell r="D764" t="str">
            <v>CNY</v>
          </cell>
          <cell r="E764" t="str">
            <v>PCS</v>
          </cell>
          <cell r="F764">
            <v>0.12250098</v>
          </cell>
        </row>
        <row r="765">
          <cell r="C765">
            <v>2051300241</v>
          </cell>
          <cell r="D765" t="str">
            <v>CNY</v>
          </cell>
          <cell r="E765" t="str">
            <v>PCS</v>
          </cell>
          <cell r="F765">
            <v>0.52500000000000002</v>
          </cell>
        </row>
        <row r="766">
          <cell r="C766">
            <v>2051300441</v>
          </cell>
          <cell r="D766" t="str">
            <v>CNY</v>
          </cell>
          <cell r="E766" t="str">
            <v>PCS</v>
          </cell>
          <cell r="F766">
            <v>0.34335000000000004</v>
          </cell>
        </row>
        <row r="767">
          <cell r="C767">
            <v>2051300451</v>
          </cell>
          <cell r="D767" t="str">
            <v>CNY</v>
          </cell>
          <cell r="E767" t="str">
            <v>PCS</v>
          </cell>
          <cell r="F767">
            <v>0.46838609999999997</v>
          </cell>
        </row>
        <row r="768">
          <cell r="C768">
            <v>2051300461</v>
          </cell>
          <cell r="D768" t="str">
            <v>CNY</v>
          </cell>
          <cell r="E768" t="str">
            <v>PCS</v>
          </cell>
          <cell r="F768">
            <v>1.1151000000000002</v>
          </cell>
        </row>
        <row r="769">
          <cell r="C769">
            <v>2051300541</v>
          </cell>
          <cell r="D769" t="str">
            <v>CNY</v>
          </cell>
          <cell r="E769" t="str">
            <v>PCS</v>
          </cell>
          <cell r="F769">
            <v>0.68456430000000013</v>
          </cell>
        </row>
        <row r="770">
          <cell r="C770">
            <v>2051300551</v>
          </cell>
          <cell r="D770" t="str">
            <v>CNY</v>
          </cell>
          <cell r="E770" t="str">
            <v>PCS</v>
          </cell>
          <cell r="F770">
            <v>0.52243065</v>
          </cell>
        </row>
        <row r="771">
          <cell r="C771">
            <v>2051300611</v>
          </cell>
          <cell r="D771" t="str">
            <v>CNY</v>
          </cell>
          <cell r="E771" t="str">
            <v>PCS</v>
          </cell>
          <cell r="F771">
            <v>0.17294256</v>
          </cell>
        </row>
        <row r="772">
          <cell r="C772">
            <v>2051301971</v>
          </cell>
          <cell r="D772" t="str">
            <v>CNY</v>
          </cell>
          <cell r="E772" t="str">
            <v>PCS</v>
          </cell>
          <cell r="F772">
            <v>0.29400000000000004</v>
          </cell>
        </row>
        <row r="773">
          <cell r="C773">
            <v>2051500021</v>
          </cell>
          <cell r="D773" t="str">
            <v>CNY</v>
          </cell>
          <cell r="E773" t="str">
            <v>PCS</v>
          </cell>
          <cell r="F773">
            <v>0.51450411600000001</v>
          </cell>
        </row>
        <row r="774">
          <cell r="C774">
            <v>2051500161</v>
          </cell>
          <cell r="D774" t="str">
            <v>CNY</v>
          </cell>
          <cell r="E774" t="str">
            <v>PCS</v>
          </cell>
          <cell r="F774">
            <v>0.41073858000000002</v>
          </cell>
        </row>
        <row r="775">
          <cell r="C775">
            <v>2051500191</v>
          </cell>
          <cell r="D775" t="str">
            <v>CNY</v>
          </cell>
          <cell r="E775" t="str">
            <v>PCS</v>
          </cell>
          <cell r="F775">
            <v>6.5718172800000003</v>
          </cell>
        </row>
        <row r="776">
          <cell r="C776">
            <v>2051500211</v>
          </cell>
          <cell r="D776" t="str">
            <v>CNY</v>
          </cell>
          <cell r="E776" t="str">
            <v>PCS</v>
          </cell>
          <cell r="F776">
            <v>6.2160000000000002</v>
          </cell>
        </row>
        <row r="777">
          <cell r="C777">
            <v>2051700011</v>
          </cell>
          <cell r="D777" t="str">
            <v>CNY</v>
          </cell>
          <cell r="E777" t="str">
            <v>PCS</v>
          </cell>
          <cell r="F777">
            <v>0.2205</v>
          </cell>
        </row>
        <row r="778">
          <cell r="C778">
            <v>2051700021</v>
          </cell>
          <cell r="D778" t="str">
            <v>CNY</v>
          </cell>
          <cell r="E778" t="str">
            <v>PCS</v>
          </cell>
          <cell r="F778">
            <v>2.0608988400000001</v>
          </cell>
        </row>
        <row r="779">
          <cell r="C779">
            <v>2051700031</v>
          </cell>
          <cell r="D779" t="str">
            <v>CNY</v>
          </cell>
          <cell r="E779" t="str">
            <v>PCS</v>
          </cell>
          <cell r="F779">
            <v>2.2326465</v>
          </cell>
        </row>
        <row r="780">
          <cell r="C780">
            <v>2051700041</v>
          </cell>
          <cell r="D780" t="str">
            <v>CNY</v>
          </cell>
          <cell r="E780" t="str">
            <v>PCS</v>
          </cell>
          <cell r="F780">
            <v>0.28245000000000003</v>
          </cell>
        </row>
        <row r="781">
          <cell r="C781">
            <v>2051700082</v>
          </cell>
          <cell r="D781" t="str">
            <v>CNY</v>
          </cell>
          <cell r="E781" t="str">
            <v>PCS</v>
          </cell>
          <cell r="F781">
            <v>0.71400000000000008</v>
          </cell>
        </row>
        <row r="782">
          <cell r="C782">
            <v>2051700111</v>
          </cell>
          <cell r="D782" t="str">
            <v>CNY</v>
          </cell>
          <cell r="E782" t="str">
            <v>PCS</v>
          </cell>
          <cell r="F782">
            <v>1.8165</v>
          </cell>
        </row>
        <row r="783">
          <cell r="C783">
            <v>2051700760</v>
          </cell>
          <cell r="D783" t="str">
            <v>CNY</v>
          </cell>
          <cell r="E783" t="str">
            <v>PCS</v>
          </cell>
          <cell r="F783">
            <v>0.34427400000000002</v>
          </cell>
        </row>
        <row r="784">
          <cell r="C784">
            <v>2051901440</v>
          </cell>
          <cell r="D784" t="str">
            <v>CNY</v>
          </cell>
          <cell r="E784" t="str">
            <v>PCS</v>
          </cell>
          <cell r="F784">
            <v>15.5648304</v>
          </cell>
        </row>
        <row r="785">
          <cell r="C785">
            <v>2052100071</v>
          </cell>
          <cell r="D785" t="str">
            <v>CNY</v>
          </cell>
          <cell r="E785" t="str">
            <v>PCS</v>
          </cell>
          <cell r="F785">
            <v>8.8274340000000002</v>
          </cell>
        </row>
        <row r="786">
          <cell r="C786">
            <v>2052100202</v>
          </cell>
          <cell r="D786" t="str">
            <v>CNY</v>
          </cell>
          <cell r="E786" t="str">
            <v>PCS</v>
          </cell>
          <cell r="F786">
            <v>12.079651500000002</v>
          </cell>
        </row>
        <row r="787">
          <cell r="C787">
            <v>2052300010</v>
          </cell>
          <cell r="D787" t="str">
            <v>CNY</v>
          </cell>
          <cell r="E787" t="str">
            <v>PCS</v>
          </cell>
          <cell r="F787">
            <v>0.14889000000000002</v>
          </cell>
        </row>
        <row r="788">
          <cell r="C788">
            <v>2052300020</v>
          </cell>
          <cell r="D788" t="str">
            <v>CNY</v>
          </cell>
          <cell r="E788" t="str">
            <v>PCS</v>
          </cell>
          <cell r="F788">
            <v>0.55650000000000011</v>
          </cell>
        </row>
        <row r="789">
          <cell r="C789">
            <v>2052300030</v>
          </cell>
          <cell r="D789" t="str">
            <v>CNY</v>
          </cell>
          <cell r="E789" t="str">
            <v>PCS</v>
          </cell>
          <cell r="F789">
            <v>0.42743400000000004</v>
          </cell>
        </row>
        <row r="790">
          <cell r="C790">
            <v>2052500010</v>
          </cell>
          <cell r="D790" t="str">
            <v>CNY</v>
          </cell>
          <cell r="E790" t="str">
            <v>PCS</v>
          </cell>
          <cell r="F790">
            <v>2.6197500000000002</v>
          </cell>
        </row>
        <row r="791">
          <cell r="C791">
            <v>2052500050</v>
          </cell>
          <cell r="D791" t="str">
            <v>CNY</v>
          </cell>
          <cell r="E791" t="str">
            <v>PCS</v>
          </cell>
          <cell r="F791">
            <v>0.57750000000000012</v>
          </cell>
        </row>
        <row r="792">
          <cell r="C792">
            <v>2052500100</v>
          </cell>
          <cell r="D792" t="str">
            <v>CNY</v>
          </cell>
          <cell r="E792" t="str">
            <v>PCS</v>
          </cell>
          <cell r="F792">
            <v>0.71400000000000008</v>
          </cell>
        </row>
        <row r="793">
          <cell r="C793">
            <v>2052500230</v>
          </cell>
          <cell r="D793" t="str">
            <v>CNY</v>
          </cell>
          <cell r="E793" t="str">
            <v>PCS</v>
          </cell>
          <cell r="F793">
            <v>0.55485738000000007</v>
          </cell>
        </row>
        <row r="794">
          <cell r="C794">
            <v>2052500320</v>
          </cell>
          <cell r="D794" t="str">
            <v>CNY</v>
          </cell>
          <cell r="E794" t="str">
            <v>PCS</v>
          </cell>
          <cell r="F794">
            <v>0.64853460000000007</v>
          </cell>
        </row>
        <row r="795">
          <cell r="C795">
            <v>2052500340</v>
          </cell>
          <cell r="D795" t="str">
            <v>CNY</v>
          </cell>
          <cell r="E795" t="str">
            <v>PCS</v>
          </cell>
          <cell r="F795">
            <v>0.40950000000000003</v>
          </cell>
        </row>
        <row r="796">
          <cell r="C796">
            <v>2052500490</v>
          </cell>
          <cell r="D796" t="str">
            <v>CNY</v>
          </cell>
          <cell r="E796" t="str">
            <v>PCS</v>
          </cell>
          <cell r="F796">
            <v>0.72059400000000007</v>
          </cell>
        </row>
        <row r="797">
          <cell r="C797">
            <v>2052500670</v>
          </cell>
          <cell r="D797" t="str">
            <v>CNY</v>
          </cell>
          <cell r="E797" t="str">
            <v>PCS</v>
          </cell>
          <cell r="F797">
            <v>0.47250000000000003</v>
          </cell>
        </row>
        <row r="798">
          <cell r="C798">
            <v>2052700010</v>
          </cell>
          <cell r="D798" t="str">
            <v>CNY</v>
          </cell>
          <cell r="E798" t="str">
            <v>PCS</v>
          </cell>
          <cell r="F798">
            <v>0.11550000000000001</v>
          </cell>
        </row>
        <row r="799">
          <cell r="C799">
            <v>2052700020</v>
          </cell>
          <cell r="D799" t="str">
            <v>CNY</v>
          </cell>
          <cell r="E799" t="str">
            <v>PCS</v>
          </cell>
          <cell r="F799">
            <v>0.28823760000000004</v>
          </cell>
        </row>
        <row r="800">
          <cell r="C800">
            <v>2052700030</v>
          </cell>
          <cell r="D800" t="str">
            <v>CNY</v>
          </cell>
          <cell r="E800" t="str">
            <v>PCS</v>
          </cell>
          <cell r="F800">
            <v>0.18735443999999998</v>
          </cell>
        </row>
        <row r="801">
          <cell r="C801">
            <v>2052700040</v>
          </cell>
          <cell r="D801" t="str">
            <v>CNY</v>
          </cell>
          <cell r="E801" t="str">
            <v>PCS</v>
          </cell>
          <cell r="F801">
            <v>0.155169</v>
          </cell>
        </row>
        <row r="802">
          <cell r="C802">
            <v>2052700080</v>
          </cell>
          <cell r="D802" t="str">
            <v>CNY</v>
          </cell>
          <cell r="E802" t="str">
            <v>PCS</v>
          </cell>
          <cell r="F802">
            <v>0.189</v>
          </cell>
        </row>
        <row r="803">
          <cell r="C803">
            <v>2052700090</v>
          </cell>
          <cell r="D803" t="str">
            <v>CNY</v>
          </cell>
          <cell r="E803" t="str">
            <v>PCS</v>
          </cell>
          <cell r="F803">
            <v>0.16590000000000002</v>
          </cell>
        </row>
        <row r="804">
          <cell r="C804">
            <v>2052700170</v>
          </cell>
          <cell r="D804" t="str">
            <v>CNY</v>
          </cell>
          <cell r="E804" t="str">
            <v>PCS</v>
          </cell>
          <cell r="F804">
            <v>0.18735443999999998</v>
          </cell>
        </row>
        <row r="805">
          <cell r="C805">
            <v>2052700180</v>
          </cell>
          <cell r="D805" t="str">
            <v>CNY</v>
          </cell>
          <cell r="E805" t="str">
            <v>PCS</v>
          </cell>
          <cell r="F805">
            <v>0.13041</v>
          </cell>
        </row>
        <row r="806">
          <cell r="C806">
            <v>2052700190</v>
          </cell>
          <cell r="D806" t="str">
            <v>CNY</v>
          </cell>
          <cell r="E806" t="str">
            <v>PCS</v>
          </cell>
          <cell r="F806">
            <v>0.6321</v>
          </cell>
        </row>
        <row r="807">
          <cell r="C807">
            <v>2052700200</v>
          </cell>
          <cell r="D807" t="str">
            <v>CNY</v>
          </cell>
          <cell r="E807" t="str">
            <v>PCS</v>
          </cell>
          <cell r="F807">
            <v>0.19860750000000002</v>
          </cell>
        </row>
        <row r="808">
          <cell r="C808">
            <v>2052700220</v>
          </cell>
          <cell r="D808" t="str">
            <v>CNY</v>
          </cell>
          <cell r="E808" t="str">
            <v>PCS</v>
          </cell>
          <cell r="F808">
            <v>0.20265000000000002</v>
          </cell>
        </row>
        <row r="809">
          <cell r="C809">
            <v>2052700260</v>
          </cell>
          <cell r="D809" t="str">
            <v>CNY</v>
          </cell>
          <cell r="E809" t="str">
            <v>PCS</v>
          </cell>
          <cell r="F809">
            <v>0.9728019</v>
          </cell>
        </row>
        <row r="810">
          <cell r="C810">
            <v>2052700400</v>
          </cell>
          <cell r="D810" t="str">
            <v>CNY</v>
          </cell>
          <cell r="E810" t="str">
            <v>PCS</v>
          </cell>
          <cell r="F810">
            <v>0.17986500000000002</v>
          </cell>
        </row>
        <row r="811">
          <cell r="C811">
            <v>2052700420</v>
          </cell>
          <cell r="D811" t="str">
            <v>CNY</v>
          </cell>
          <cell r="E811" t="str">
            <v>PCS</v>
          </cell>
          <cell r="F811">
            <v>0.25220789999999998</v>
          </cell>
        </row>
        <row r="812">
          <cell r="C812">
            <v>2052700470</v>
          </cell>
          <cell r="D812" t="str">
            <v>CNY</v>
          </cell>
          <cell r="E812" t="str">
            <v>PCS</v>
          </cell>
          <cell r="F812">
            <v>0.54044550000000002</v>
          </cell>
        </row>
        <row r="813">
          <cell r="C813">
            <v>2052700480</v>
          </cell>
          <cell r="D813" t="str">
            <v>CNY</v>
          </cell>
          <cell r="E813" t="str">
            <v>PCS</v>
          </cell>
          <cell r="F813">
            <v>0.45397422000000004</v>
          </cell>
        </row>
        <row r="814">
          <cell r="C814">
            <v>2052700500</v>
          </cell>
          <cell r="D814" t="str">
            <v>CNY</v>
          </cell>
          <cell r="E814" t="str">
            <v>PCS</v>
          </cell>
          <cell r="F814">
            <v>0.45397422000000004</v>
          </cell>
        </row>
        <row r="815">
          <cell r="C815">
            <v>2052900030</v>
          </cell>
          <cell r="D815" t="str">
            <v>CNY</v>
          </cell>
          <cell r="E815" t="str">
            <v>PCS</v>
          </cell>
          <cell r="F815">
            <v>0.15114749999999999</v>
          </cell>
        </row>
        <row r="816">
          <cell r="C816">
            <v>2052900040</v>
          </cell>
          <cell r="D816" t="str">
            <v>CNY</v>
          </cell>
          <cell r="E816" t="str">
            <v>PCS</v>
          </cell>
          <cell r="F816">
            <v>0.21617820000000001</v>
          </cell>
        </row>
        <row r="817">
          <cell r="C817">
            <v>2053500010</v>
          </cell>
          <cell r="D817" t="str">
            <v>CNY</v>
          </cell>
          <cell r="E817" t="str">
            <v>PCS</v>
          </cell>
          <cell r="F817">
            <v>0.19950000000000001</v>
          </cell>
        </row>
        <row r="818">
          <cell r="C818">
            <v>2053500020</v>
          </cell>
          <cell r="D818" t="str">
            <v>CNY</v>
          </cell>
          <cell r="E818" t="str">
            <v>PCS</v>
          </cell>
          <cell r="F818">
            <v>0.28350000000000003</v>
          </cell>
        </row>
        <row r="819">
          <cell r="C819">
            <v>2053500030</v>
          </cell>
          <cell r="D819" t="str">
            <v>CNY</v>
          </cell>
          <cell r="E819" t="str">
            <v>PCS</v>
          </cell>
          <cell r="F819">
            <v>0.22698711000000002</v>
          </cell>
        </row>
        <row r="820">
          <cell r="C820">
            <v>2053500050</v>
          </cell>
          <cell r="D820" t="str">
            <v>CNY</v>
          </cell>
          <cell r="E820" t="str">
            <v>PCS</v>
          </cell>
          <cell r="F820">
            <v>0.52500000000000002</v>
          </cell>
        </row>
        <row r="821">
          <cell r="C821">
            <v>2053900020</v>
          </cell>
          <cell r="D821" t="str">
            <v>CNY</v>
          </cell>
          <cell r="E821" t="str">
            <v>PCS</v>
          </cell>
          <cell r="F821">
            <v>43.235640000000004</v>
          </cell>
        </row>
        <row r="822">
          <cell r="C822">
            <v>2054100020</v>
          </cell>
          <cell r="D822" t="str">
            <v>CNY</v>
          </cell>
          <cell r="E822" t="str">
            <v>PCS</v>
          </cell>
          <cell r="F822">
            <v>1.5708</v>
          </cell>
        </row>
        <row r="823">
          <cell r="C823">
            <v>2054100030</v>
          </cell>
          <cell r="D823" t="str">
            <v>CNY</v>
          </cell>
          <cell r="E823" t="str">
            <v>PCS</v>
          </cell>
          <cell r="F823">
            <v>3.57735</v>
          </cell>
        </row>
        <row r="824">
          <cell r="C824">
            <v>2054300010</v>
          </cell>
          <cell r="D824" t="str">
            <v>CNY</v>
          </cell>
          <cell r="E824" t="str">
            <v>PCS</v>
          </cell>
          <cell r="F824">
            <v>0.60899999999999999</v>
          </cell>
        </row>
        <row r="825">
          <cell r="C825">
            <v>2054300030</v>
          </cell>
          <cell r="D825" t="str">
            <v>CNY</v>
          </cell>
          <cell r="E825" t="str">
            <v>PCS</v>
          </cell>
          <cell r="F825">
            <v>0.78750000000000009</v>
          </cell>
        </row>
        <row r="826">
          <cell r="C826">
            <v>2054300060</v>
          </cell>
          <cell r="D826" t="str">
            <v>CNY</v>
          </cell>
          <cell r="E826" t="str">
            <v>PCS</v>
          </cell>
          <cell r="F826">
            <v>0.9728019</v>
          </cell>
        </row>
        <row r="827">
          <cell r="C827">
            <v>2054300070</v>
          </cell>
          <cell r="D827" t="str">
            <v>CNY</v>
          </cell>
          <cell r="E827" t="str">
            <v>PCS</v>
          </cell>
          <cell r="F827">
            <v>0.78750000000000009</v>
          </cell>
        </row>
        <row r="828">
          <cell r="C828">
            <v>2054300100</v>
          </cell>
          <cell r="D828" t="str">
            <v>CNY</v>
          </cell>
          <cell r="E828" t="str">
            <v>PCS</v>
          </cell>
          <cell r="F828">
            <v>1.2079200000000001</v>
          </cell>
        </row>
        <row r="829">
          <cell r="C829">
            <v>2054300170</v>
          </cell>
          <cell r="D829" t="str">
            <v>CNY</v>
          </cell>
          <cell r="E829" t="str">
            <v>PCS</v>
          </cell>
          <cell r="F829">
            <v>1.3072500000000002</v>
          </cell>
        </row>
        <row r="830">
          <cell r="C830">
            <v>2054300280</v>
          </cell>
          <cell r="D830" t="str">
            <v>CNY</v>
          </cell>
          <cell r="E830" t="str">
            <v>PCS</v>
          </cell>
          <cell r="F830">
            <v>1.080891</v>
          </cell>
        </row>
        <row r="831">
          <cell r="C831">
            <v>2054300290</v>
          </cell>
          <cell r="D831" t="str">
            <v>CNY</v>
          </cell>
          <cell r="E831" t="str">
            <v>PCS</v>
          </cell>
          <cell r="F831">
            <v>2.9197350000000002</v>
          </cell>
        </row>
        <row r="832">
          <cell r="C832">
            <v>2054300520</v>
          </cell>
          <cell r="D832" t="str">
            <v>CNY</v>
          </cell>
          <cell r="E832" t="str">
            <v>PCS</v>
          </cell>
          <cell r="F832">
            <v>1.746885</v>
          </cell>
        </row>
        <row r="833">
          <cell r="C833">
            <v>2054300540</v>
          </cell>
          <cell r="D833" t="str">
            <v>CNY</v>
          </cell>
          <cell r="E833" t="str">
            <v>PCS</v>
          </cell>
          <cell r="F833">
            <v>1.189335</v>
          </cell>
        </row>
        <row r="834">
          <cell r="C834">
            <v>2054300550</v>
          </cell>
          <cell r="D834" t="str">
            <v>CNY</v>
          </cell>
          <cell r="E834" t="str">
            <v>PCS</v>
          </cell>
          <cell r="F834">
            <v>0.436695</v>
          </cell>
        </row>
        <row r="835">
          <cell r="C835">
            <v>2060100022</v>
          </cell>
          <cell r="D835" t="str">
            <v>CNY</v>
          </cell>
          <cell r="E835" t="str">
            <v>PCS</v>
          </cell>
          <cell r="F835">
            <v>5.2374000000000004E-2</v>
          </cell>
        </row>
        <row r="836">
          <cell r="C836">
            <v>2060100024</v>
          </cell>
          <cell r="D836" t="str">
            <v>CNY</v>
          </cell>
          <cell r="E836" t="str">
            <v>PCS</v>
          </cell>
          <cell r="F836">
            <v>3.4125000000000003E-2</v>
          </cell>
        </row>
        <row r="837">
          <cell r="C837">
            <v>2060100041</v>
          </cell>
          <cell r="D837" t="str">
            <v>CNY</v>
          </cell>
          <cell r="E837" t="str">
            <v>PCS</v>
          </cell>
          <cell r="F837">
            <v>0.64307250000000005</v>
          </cell>
        </row>
        <row r="838">
          <cell r="C838">
            <v>2060100092</v>
          </cell>
          <cell r="D838" t="str">
            <v>CNY</v>
          </cell>
          <cell r="E838" t="str">
            <v>PCS</v>
          </cell>
          <cell r="F838">
            <v>1.5225000000000001E-2</v>
          </cell>
        </row>
        <row r="839">
          <cell r="C839">
            <v>2060100141</v>
          </cell>
          <cell r="D839" t="str">
            <v>CNY</v>
          </cell>
          <cell r="E839" t="str">
            <v>PCS</v>
          </cell>
          <cell r="F839">
            <v>7.6188000000000006E-2</v>
          </cell>
        </row>
        <row r="840">
          <cell r="C840">
            <v>2060100151</v>
          </cell>
          <cell r="D840" t="str">
            <v>CNY</v>
          </cell>
          <cell r="E840" t="str">
            <v>PCS</v>
          </cell>
          <cell r="F840">
            <v>6.9069000000000005E-2</v>
          </cell>
        </row>
        <row r="841">
          <cell r="C841">
            <v>2060100171</v>
          </cell>
          <cell r="D841" t="str">
            <v>CNY</v>
          </cell>
          <cell r="E841" t="str">
            <v>PCS</v>
          </cell>
          <cell r="F841">
            <v>0.10500000000000001</v>
          </cell>
        </row>
        <row r="842">
          <cell r="C842">
            <v>2060100221</v>
          </cell>
          <cell r="D842" t="str">
            <v>CNY</v>
          </cell>
          <cell r="E842" t="str">
            <v>PCS</v>
          </cell>
          <cell r="F842">
            <v>2.2501500000000001E-2</v>
          </cell>
        </row>
        <row r="843">
          <cell r="C843">
            <v>2060100313</v>
          </cell>
          <cell r="D843" t="str">
            <v>CNY</v>
          </cell>
          <cell r="E843" t="str">
            <v>PCS</v>
          </cell>
          <cell r="F843">
            <v>6.3420000000000004E-2</v>
          </cell>
        </row>
        <row r="844">
          <cell r="C844">
            <v>2060100352</v>
          </cell>
          <cell r="D844" t="str">
            <v>CNY</v>
          </cell>
          <cell r="E844" t="str">
            <v>PCS</v>
          </cell>
          <cell r="F844">
            <v>3.9343499999999997E-2</v>
          </cell>
        </row>
        <row r="845">
          <cell r="C845">
            <v>2060100353</v>
          </cell>
          <cell r="D845" t="str">
            <v>CNY</v>
          </cell>
          <cell r="E845" t="str">
            <v>PCS</v>
          </cell>
          <cell r="F845">
            <v>4.0729500000000002E-2</v>
          </cell>
        </row>
        <row r="846">
          <cell r="C846">
            <v>2060100355</v>
          </cell>
          <cell r="D846" t="str">
            <v>CNY</v>
          </cell>
          <cell r="E846" t="str">
            <v>PCS</v>
          </cell>
          <cell r="F846">
            <v>3.6014999999999998E-2</v>
          </cell>
        </row>
        <row r="847">
          <cell r="C847">
            <v>2060100493</v>
          </cell>
          <cell r="D847" t="str">
            <v>CNY</v>
          </cell>
          <cell r="E847" t="str">
            <v>PCS</v>
          </cell>
          <cell r="F847">
            <v>5.30775E-2</v>
          </cell>
        </row>
        <row r="848">
          <cell r="C848">
            <v>2060100553</v>
          </cell>
          <cell r="D848" t="str">
            <v>CNY</v>
          </cell>
          <cell r="E848" t="str">
            <v>PCS</v>
          </cell>
          <cell r="F848">
            <v>0.126</v>
          </cell>
        </row>
        <row r="849">
          <cell r="C849">
            <v>2060100612</v>
          </cell>
          <cell r="D849" t="str">
            <v>CNY</v>
          </cell>
          <cell r="E849" t="str">
            <v>PCS</v>
          </cell>
          <cell r="F849">
            <v>8.2456500000000002E-2</v>
          </cell>
        </row>
        <row r="850">
          <cell r="C850">
            <v>2060100671</v>
          </cell>
          <cell r="D850" t="str">
            <v>CNY</v>
          </cell>
          <cell r="E850" t="str">
            <v>PCS</v>
          </cell>
          <cell r="F850">
            <v>6.5100000000000005E-2</v>
          </cell>
        </row>
        <row r="851">
          <cell r="C851">
            <v>2060100673</v>
          </cell>
          <cell r="D851" t="str">
            <v>CNY</v>
          </cell>
          <cell r="E851" t="str">
            <v>PCS</v>
          </cell>
          <cell r="F851">
            <v>3.7380000000000004E-2</v>
          </cell>
        </row>
        <row r="852">
          <cell r="C852">
            <v>2060100675</v>
          </cell>
          <cell r="D852" t="str">
            <v>CNY</v>
          </cell>
          <cell r="E852" t="str">
            <v>PCS</v>
          </cell>
          <cell r="F852">
            <v>5.04E-2</v>
          </cell>
        </row>
        <row r="853">
          <cell r="C853">
            <v>2060100701</v>
          </cell>
          <cell r="D853" t="str">
            <v>CNY</v>
          </cell>
          <cell r="E853" t="str">
            <v>PCS</v>
          </cell>
          <cell r="F853">
            <v>1.89E-2</v>
          </cell>
        </row>
        <row r="854">
          <cell r="C854">
            <v>2060102300</v>
          </cell>
          <cell r="D854" t="str">
            <v>CNY</v>
          </cell>
          <cell r="E854" t="str">
            <v>PCS</v>
          </cell>
          <cell r="F854">
            <v>6.0900000000000003E-2</v>
          </cell>
        </row>
        <row r="855">
          <cell r="C855">
            <v>2060102310</v>
          </cell>
          <cell r="D855" t="str">
            <v>CNY</v>
          </cell>
          <cell r="E855" t="str">
            <v>PCS</v>
          </cell>
          <cell r="F855">
            <v>4.0110000000000007E-2</v>
          </cell>
        </row>
        <row r="856">
          <cell r="C856">
            <v>2060300010</v>
          </cell>
          <cell r="D856" t="str">
            <v>CNY</v>
          </cell>
          <cell r="E856" t="str">
            <v>PCS</v>
          </cell>
          <cell r="F856">
            <v>0.26250000000000001</v>
          </cell>
        </row>
        <row r="857">
          <cell r="C857">
            <v>2060300040</v>
          </cell>
          <cell r="D857" t="str">
            <v>CNY</v>
          </cell>
          <cell r="E857" t="str">
            <v>PCS</v>
          </cell>
          <cell r="F857">
            <v>9.6600000000000005E-2</v>
          </cell>
        </row>
        <row r="858">
          <cell r="C858">
            <v>2060300050</v>
          </cell>
          <cell r="D858" t="str">
            <v>CNY</v>
          </cell>
          <cell r="E858" t="str">
            <v>PCS</v>
          </cell>
          <cell r="F858">
            <v>6.0900000000000003E-2</v>
          </cell>
        </row>
        <row r="859">
          <cell r="C859">
            <v>2060300061</v>
          </cell>
          <cell r="D859" t="str">
            <v>CNY</v>
          </cell>
          <cell r="E859" t="str">
            <v>PCS</v>
          </cell>
          <cell r="F859">
            <v>0.21525</v>
          </cell>
        </row>
        <row r="860">
          <cell r="C860">
            <v>2060300070</v>
          </cell>
          <cell r="D860" t="str">
            <v>CNY</v>
          </cell>
          <cell r="E860" t="str">
            <v>PCS</v>
          </cell>
          <cell r="F860">
            <v>0.13650000000000001</v>
          </cell>
        </row>
        <row r="861">
          <cell r="C861">
            <v>2060300081</v>
          </cell>
          <cell r="D861" t="str">
            <v>CNY</v>
          </cell>
          <cell r="E861" t="str">
            <v>PCS</v>
          </cell>
          <cell r="F861">
            <v>0.23782500000000001</v>
          </cell>
        </row>
        <row r="862">
          <cell r="C862">
            <v>2060300170</v>
          </cell>
          <cell r="D862" t="str">
            <v>CNY</v>
          </cell>
          <cell r="E862" t="str">
            <v>PCS</v>
          </cell>
          <cell r="F862">
            <v>8.6940000000000003E-2</v>
          </cell>
        </row>
        <row r="863">
          <cell r="C863">
            <v>2060300210</v>
          </cell>
          <cell r="D863" t="str">
            <v>CNY</v>
          </cell>
          <cell r="E863" t="str">
            <v>PCS</v>
          </cell>
          <cell r="F863">
            <v>8.610000000000001E-2</v>
          </cell>
        </row>
        <row r="864">
          <cell r="C864">
            <v>2060300230</v>
          </cell>
          <cell r="D864" t="str">
            <v>CNY</v>
          </cell>
          <cell r="E864" t="str">
            <v>PCS</v>
          </cell>
          <cell r="F864">
            <v>8.610000000000001E-2</v>
          </cell>
        </row>
        <row r="865">
          <cell r="C865">
            <v>2060300270</v>
          </cell>
          <cell r="D865" t="str">
            <v>CNY</v>
          </cell>
          <cell r="E865" t="str">
            <v>PCS</v>
          </cell>
          <cell r="F865">
            <v>8.610000000000001E-2</v>
          </cell>
        </row>
        <row r="866">
          <cell r="C866">
            <v>2060300310</v>
          </cell>
          <cell r="D866" t="str">
            <v>CNY</v>
          </cell>
          <cell r="E866" t="str">
            <v>PCS</v>
          </cell>
          <cell r="F866">
            <v>0.10290000000000001</v>
          </cell>
        </row>
        <row r="867">
          <cell r="C867">
            <v>2060300331</v>
          </cell>
          <cell r="D867" t="str">
            <v>CNY</v>
          </cell>
          <cell r="E867" t="str">
            <v>PCS</v>
          </cell>
          <cell r="F867">
            <v>7.350000000000001E-2</v>
          </cell>
        </row>
        <row r="868">
          <cell r="C868">
            <v>2060300340</v>
          </cell>
          <cell r="D868" t="str">
            <v>CNY</v>
          </cell>
          <cell r="E868" t="str">
            <v>PCS</v>
          </cell>
          <cell r="F868">
            <v>0.66150000000000009</v>
          </cell>
        </row>
        <row r="869">
          <cell r="C869">
            <v>2060300410</v>
          </cell>
          <cell r="D869" t="str">
            <v>CNY</v>
          </cell>
          <cell r="E869" t="str">
            <v>PCS</v>
          </cell>
          <cell r="F869">
            <v>6.0900000000000003E-2</v>
          </cell>
        </row>
        <row r="870">
          <cell r="C870">
            <v>2060300471</v>
          </cell>
          <cell r="D870" t="str">
            <v>CNY</v>
          </cell>
          <cell r="E870" t="str">
            <v>PCS</v>
          </cell>
          <cell r="F870">
            <v>0.13650000000000001</v>
          </cell>
        </row>
        <row r="871">
          <cell r="C871">
            <v>2060300472</v>
          </cell>
          <cell r="D871" t="str">
            <v>CNY</v>
          </cell>
          <cell r="E871" t="str">
            <v>PCS</v>
          </cell>
          <cell r="F871">
            <v>0.13650000000000001</v>
          </cell>
        </row>
        <row r="872">
          <cell r="C872">
            <v>2060300500</v>
          </cell>
          <cell r="D872" t="str">
            <v>CNY</v>
          </cell>
          <cell r="E872" t="str">
            <v>PCS</v>
          </cell>
          <cell r="F872">
            <v>6.0900000000000003E-2</v>
          </cell>
        </row>
        <row r="873">
          <cell r="C873">
            <v>2060302030</v>
          </cell>
          <cell r="D873" t="str">
            <v>CNY</v>
          </cell>
          <cell r="E873" t="str">
            <v>PCS</v>
          </cell>
          <cell r="F873">
            <v>0.21525</v>
          </cell>
        </row>
        <row r="874">
          <cell r="C874">
            <v>2060302060</v>
          </cell>
          <cell r="D874" t="str">
            <v>CNY</v>
          </cell>
          <cell r="E874" t="str">
            <v>PCS</v>
          </cell>
          <cell r="F874">
            <v>8.7150000000000005E-2</v>
          </cell>
        </row>
        <row r="875">
          <cell r="C875">
            <v>2060302087</v>
          </cell>
          <cell r="D875" t="str">
            <v>CNY</v>
          </cell>
          <cell r="E875" t="str">
            <v>PCS</v>
          </cell>
          <cell r="F875">
            <v>0.19005</v>
          </cell>
        </row>
        <row r="876">
          <cell r="C876">
            <v>2060302410</v>
          </cell>
          <cell r="D876" t="str">
            <v>CNY</v>
          </cell>
          <cell r="E876" t="str">
            <v>PCS</v>
          </cell>
          <cell r="F876">
            <v>0.19845000000000002</v>
          </cell>
        </row>
        <row r="877">
          <cell r="C877">
            <v>2060302520</v>
          </cell>
          <cell r="D877" t="str">
            <v>CNY</v>
          </cell>
          <cell r="E877" t="str">
            <v>PCS</v>
          </cell>
          <cell r="F877">
            <v>5.5755000000000006E-2</v>
          </cell>
        </row>
        <row r="878">
          <cell r="C878">
            <v>2060302890</v>
          </cell>
          <cell r="D878" t="str">
            <v>CNY</v>
          </cell>
          <cell r="E878" t="str">
            <v>PCS</v>
          </cell>
          <cell r="F878">
            <v>5.4600000000000003E-2</v>
          </cell>
        </row>
        <row r="879">
          <cell r="C879">
            <v>2060302950</v>
          </cell>
          <cell r="D879" t="str">
            <v>CNY</v>
          </cell>
          <cell r="E879" t="str">
            <v>PCS</v>
          </cell>
          <cell r="F879">
            <v>5.2500000000000005E-2</v>
          </cell>
        </row>
        <row r="880">
          <cell r="C880">
            <v>2060500012</v>
          </cell>
          <cell r="D880" t="str">
            <v>CNY</v>
          </cell>
          <cell r="E880" t="str">
            <v>PCS</v>
          </cell>
          <cell r="F880">
            <v>0.11697</v>
          </cell>
        </row>
        <row r="881">
          <cell r="C881">
            <v>2060500021</v>
          </cell>
          <cell r="D881" t="str">
            <v>CNY</v>
          </cell>
          <cell r="E881" t="str">
            <v>PCS</v>
          </cell>
          <cell r="F881">
            <v>9.7650000000000001E-2</v>
          </cell>
        </row>
        <row r="882">
          <cell r="C882">
            <v>2060500031</v>
          </cell>
          <cell r="D882" t="str">
            <v>CNY</v>
          </cell>
          <cell r="E882" t="str">
            <v>PCS</v>
          </cell>
          <cell r="F882">
            <v>0.12915000000000001</v>
          </cell>
        </row>
        <row r="883">
          <cell r="C883">
            <v>2060500063</v>
          </cell>
          <cell r="D883" t="str">
            <v>CNY</v>
          </cell>
          <cell r="E883" t="str">
            <v>PCS</v>
          </cell>
          <cell r="F883">
            <v>8.7989999999999999E-2</v>
          </cell>
        </row>
        <row r="884">
          <cell r="C884">
            <v>2060500071</v>
          </cell>
          <cell r="D884" t="str">
            <v>CNY</v>
          </cell>
          <cell r="E884" t="str">
            <v>PCS</v>
          </cell>
          <cell r="F884">
            <v>6.3E-2</v>
          </cell>
        </row>
        <row r="885">
          <cell r="C885">
            <v>2060500101</v>
          </cell>
          <cell r="D885" t="str">
            <v>CNY</v>
          </cell>
          <cell r="E885" t="str">
            <v>PCS</v>
          </cell>
          <cell r="F885">
            <v>0.14700000000000002</v>
          </cell>
        </row>
        <row r="886">
          <cell r="C886">
            <v>2060500111</v>
          </cell>
          <cell r="D886" t="str">
            <v>CNY</v>
          </cell>
          <cell r="E886" t="str">
            <v>PCS</v>
          </cell>
          <cell r="F886">
            <v>0.125307</v>
          </cell>
        </row>
        <row r="887">
          <cell r="C887">
            <v>2060500112</v>
          </cell>
          <cell r="D887" t="str">
            <v>CNY</v>
          </cell>
          <cell r="E887" t="str">
            <v>PCS</v>
          </cell>
          <cell r="F887">
            <v>0.11707500000000001</v>
          </cell>
        </row>
        <row r="888">
          <cell r="C888">
            <v>2060500241</v>
          </cell>
          <cell r="D888" t="str">
            <v>CNY</v>
          </cell>
          <cell r="E888" t="str">
            <v>PCS</v>
          </cell>
          <cell r="F888">
            <v>0.11550000000000001</v>
          </cell>
        </row>
        <row r="889">
          <cell r="C889">
            <v>2060500252</v>
          </cell>
          <cell r="D889" t="str">
            <v>CNY</v>
          </cell>
          <cell r="E889" t="str">
            <v>PCS</v>
          </cell>
          <cell r="F889">
            <v>0.11739000000000001</v>
          </cell>
        </row>
        <row r="890">
          <cell r="C890">
            <v>2060500272</v>
          </cell>
          <cell r="D890" t="str">
            <v>CNY</v>
          </cell>
          <cell r="E890" t="str">
            <v>PCS</v>
          </cell>
          <cell r="F890">
            <v>0.12997950000000003</v>
          </cell>
        </row>
        <row r="891">
          <cell r="C891">
            <v>2060500381</v>
          </cell>
          <cell r="D891" t="str">
            <v>CNY</v>
          </cell>
          <cell r="E891" t="str">
            <v>PCS</v>
          </cell>
          <cell r="F891">
            <v>6.8565000000000001E-2</v>
          </cell>
        </row>
        <row r="892">
          <cell r="C892">
            <v>2060500411</v>
          </cell>
          <cell r="D892" t="str">
            <v>CNY</v>
          </cell>
          <cell r="E892" t="str">
            <v>PCS</v>
          </cell>
          <cell r="F892">
            <v>5.1030000000000006E-2</v>
          </cell>
        </row>
        <row r="893">
          <cell r="C893">
            <v>2060501441</v>
          </cell>
          <cell r="D893" t="str">
            <v>CNY</v>
          </cell>
          <cell r="E893" t="str">
            <v>PCS</v>
          </cell>
          <cell r="F893">
            <v>4.6199999999999998E-2</v>
          </cell>
        </row>
        <row r="894">
          <cell r="C894">
            <v>2060501451</v>
          </cell>
          <cell r="D894" t="str">
            <v>CNY</v>
          </cell>
          <cell r="E894" t="str">
            <v>PCS</v>
          </cell>
          <cell r="F894">
            <v>4.3050000000000005E-2</v>
          </cell>
        </row>
        <row r="895">
          <cell r="C895">
            <v>2060501471</v>
          </cell>
          <cell r="D895" t="str">
            <v>CNY</v>
          </cell>
          <cell r="E895" t="str">
            <v>PCS</v>
          </cell>
          <cell r="F895">
            <v>9.9225000000000008E-2</v>
          </cell>
        </row>
        <row r="896">
          <cell r="C896">
            <v>2060501481</v>
          </cell>
          <cell r="D896" t="str">
            <v>CNY</v>
          </cell>
          <cell r="E896" t="str">
            <v>PCS</v>
          </cell>
          <cell r="F896">
            <v>9.9225000000000008E-2</v>
          </cell>
        </row>
        <row r="897">
          <cell r="C897">
            <v>2060700031</v>
          </cell>
          <cell r="D897" t="str">
            <v>CNY</v>
          </cell>
          <cell r="E897" t="str">
            <v>PCS</v>
          </cell>
          <cell r="F897">
            <v>6.615E-2</v>
          </cell>
        </row>
        <row r="898">
          <cell r="C898">
            <v>2060700082</v>
          </cell>
          <cell r="D898" t="str">
            <v>CNY</v>
          </cell>
          <cell r="E898" t="str">
            <v>PCS</v>
          </cell>
          <cell r="F898">
            <v>7.9799999999999996E-2</v>
          </cell>
        </row>
        <row r="899">
          <cell r="C899">
            <v>2060700151</v>
          </cell>
          <cell r="D899" t="str">
            <v>CNY</v>
          </cell>
          <cell r="E899" t="str">
            <v>PCS</v>
          </cell>
          <cell r="F899">
            <v>4.9350000000000005E-2</v>
          </cell>
        </row>
        <row r="900">
          <cell r="C900">
            <v>2060700221</v>
          </cell>
          <cell r="D900" t="str">
            <v>CNY</v>
          </cell>
          <cell r="E900" t="str">
            <v>PCS</v>
          </cell>
          <cell r="F900">
            <v>0.12180000000000001</v>
          </cell>
        </row>
        <row r="901">
          <cell r="C901">
            <v>2060700232</v>
          </cell>
          <cell r="D901" t="str">
            <v>CNY</v>
          </cell>
          <cell r="E901" t="str">
            <v>PCS</v>
          </cell>
          <cell r="F901">
            <v>0.17050949999999998</v>
          </cell>
        </row>
        <row r="902">
          <cell r="C902">
            <v>2060700291</v>
          </cell>
          <cell r="D902" t="str">
            <v>CNY</v>
          </cell>
          <cell r="E902" t="str">
            <v>PCS</v>
          </cell>
          <cell r="F902">
            <v>9.4500000000000001E-2</v>
          </cell>
        </row>
        <row r="903">
          <cell r="C903">
            <v>2060900021</v>
          </cell>
          <cell r="D903" t="str">
            <v>CNY</v>
          </cell>
          <cell r="E903" t="str">
            <v>PCS</v>
          </cell>
          <cell r="F903">
            <v>4.2000000000000003E-2</v>
          </cell>
        </row>
        <row r="904">
          <cell r="C904">
            <v>2060900031</v>
          </cell>
          <cell r="D904" t="str">
            <v>CNY</v>
          </cell>
          <cell r="E904" t="str">
            <v>PCS</v>
          </cell>
          <cell r="F904">
            <v>4.4100000000000007E-2</v>
          </cell>
        </row>
        <row r="905">
          <cell r="C905">
            <v>2060900034</v>
          </cell>
          <cell r="D905" t="str">
            <v>CNY</v>
          </cell>
          <cell r="E905" t="str">
            <v>PCS</v>
          </cell>
          <cell r="F905">
            <v>3.465E-2</v>
          </cell>
        </row>
        <row r="906">
          <cell r="C906">
            <v>2060900035</v>
          </cell>
          <cell r="D906" t="str">
            <v>CNY</v>
          </cell>
          <cell r="E906" t="str">
            <v>PCS</v>
          </cell>
          <cell r="F906">
            <v>2.2050000000000004E-2</v>
          </cell>
        </row>
        <row r="907">
          <cell r="C907">
            <v>2060900051</v>
          </cell>
          <cell r="D907" t="str">
            <v>CNY</v>
          </cell>
          <cell r="E907" t="str">
            <v>PCS</v>
          </cell>
          <cell r="F907">
            <v>2.7300000000000001E-2</v>
          </cell>
        </row>
        <row r="908">
          <cell r="C908">
            <v>2060900055</v>
          </cell>
          <cell r="D908" t="str">
            <v>CNY</v>
          </cell>
          <cell r="E908" t="str">
            <v>PCS</v>
          </cell>
          <cell r="F908">
            <v>3.465E-2</v>
          </cell>
        </row>
        <row r="909">
          <cell r="C909">
            <v>2060900061</v>
          </cell>
          <cell r="D909" t="str">
            <v>CNY</v>
          </cell>
          <cell r="E909" t="str">
            <v>PCS</v>
          </cell>
          <cell r="F909">
            <v>2.1325500000000001E-2</v>
          </cell>
        </row>
        <row r="910">
          <cell r="C910">
            <v>2060900062</v>
          </cell>
          <cell r="D910" t="str">
            <v>CNY</v>
          </cell>
          <cell r="E910" t="str">
            <v>PCS</v>
          </cell>
          <cell r="F910">
            <v>2.7153000000000004E-2</v>
          </cell>
        </row>
        <row r="911">
          <cell r="C911">
            <v>2060900063</v>
          </cell>
          <cell r="D911" t="str">
            <v>CNY</v>
          </cell>
          <cell r="E911" t="str">
            <v>PCS</v>
          </cell>
          <cell r="F911">
            <v>2.1000000000000001E-2</v>
          </cell>
        </row>
        <row r="912">
          <cell r="C912">
            <v>2060900064</v>
          </cell>
          <cell r="D912" t="str">
            <v>CNY</v>
          </cell>
          <cell r="E912" t="str">
            <v>PCS</v>
          </cell>
          <cell r="F912">
            <v>2.3099999999999999E-2</v>
          </cell>
        </row>
        <row r="913">
          <cell r="C913">
            <v>2060900065</v>
          </cell>
          <cell r="D913" t="str">
            <v>CNY</v>
          </cell>
          <cell r="E913" t="str">
            <v>PCS</v>
          </cell>
          <cell r="F913">
            <v>2.6775E-2</v>
          </cell>
        </row>
        <row r="914">
          <cell r="C914">
            <v>2060900071</v>
          </cell>
          <cell r="D914" t="str">
            <v>CNY</v>
          </cell>
          <cell r="E914" t="str">
            <v>PCS</v>
          </cell>
          <cell r="F914">
            <v>1.4175E-2</v>
          </cell>
        </row>
        <row r="915">
          <cell r="C915">
            <v>2060900072</v>
          </cell>
          <cell r="D915" t="str">
            <v>CNY</v>
          </cell>
          <cell r="E915" t="str">
            <v>PCS</v>
          </cell>
          <cell r="F915">
            <v>2.7153000000000004E-2</v>
          </cell>
        </row>
        <row r="916">
          <cell r="C916">
            <v>2060900223</v>
          </cell>
          <cell r="D916" t="str">
            <v>CNY</v>
          </cell>
          <cell r="E916" t="str">
            <v>PCS</v>
          </cell>
          <cell r="F916">
            <v>4.3900500000000002E-2</v>
          </cell>
        </row>
        <row r="917">
          <cell r="C917">
            <v>2060900224</v>
          </cell>
          <cell r="D917" t="str">
            <v>CNY</v>
          </cell>
          <cell r="E917" t="str">
            <v>PCS</v>
          </cell>
          <cell r="F917">
            <v>3.8850000000000003E-2</v>
          </cell>
        </row>
        <row r="918">
          <cell r="C918">
            <v>2060900263</v>
          </cell>
          <cell r="D918" t="str">
            <v>CNY</v>
          </cell>
          <cell r="E918" t="str">
            <v>PCS</v>
          </cell>
          <cell r="F918">
            <v>9.4961999999999991E-2</v>
          </cell>
        </row>
        <row r="919">
          <cell r="C919">
            <v>2060900412</v>
          </cell>
          <cell r="D919" t="str">
            <v>CNY</v>
          </cell>
          <cell r="E919" t="str">
            <v>PCS</v>
          </cell>
          <cell r="F919">
            <v>0.13650000000000001</v>
          </cell>
        </row>
        <row r="920">
          <cell r="C920">
            <v>2060900511</v>
          </cell>
          <cell r="D920" t="str">
            <v>CNY</v>
          </cell>
          <cell r="E920" t="str">
            <v>PCS</v>
          </cell>
          <cell r="F920">
            <v>8.4000000000000005E-2</v>
          </cell>
        </row>
        <row r="921">
          <cell r="C921">
            <v>2060900522</v>
          </cell>
          <cell r="D921" t="str">
            <v>CNY</v>
          </cell>
          <cell r="E921" t="str">
            <v>PCS</v>
          </cell>
          <cell r="F921">
            <v>0.10920000000000001</v>
          </cell>
        </row>
        <row r="922">
          <cell r="C922">
            <v>2061100103</v>
          </cell>
          <cell r="D922" t="str">
            <v>CNY</v>
          </cell>
          <cell r="E922" t="str">
            <v>PCS</v>
          </cell>
          <cell r="F922">
            <v>7.51275E-2</v>
          </cell>
        </row>
        <row r="923">
          <cell r="C923">
            <v>2061500010</v>
          </cell>
          <cell r="D923" t="str">
            <v>CNY</v>
          </cell>
          <cell r="E923" t="str">
            <v>PCS</v>
          </cell>
          <cell r="F923">
            <v>2.3099999999999999E-2</v>
          </cell>
        </row>
        <row r="924">
          <cell r="C924">
            <v>2061500020</v>
          </cell>
          <cell r="D924" t="str">
            <v>CNY</v>
          </cell>
          <cell r="E924" t="str">
            <v>PCS</v>
          </cell>
          <cell r="F924">
            <v>3.8850000000000003E-2</v>
          </cell>
        </row>
        <row r="925">
          <cell r="C925">
            <v>2061500050</v>
          </cell>
          <cell r="D925" t="str">
            <v>CNY</v>
          </cell>
          <cell r="E925" t="str">
            <v>PCS</v>
          </cell>
          <cell r="F925">
            <v>3.3600000000000005E-2</v>
          </cell>
        </row>
        <row r="926">
          <cell r="C926">
            <v>2061500060</v>
          </cell>
          <cell r="D926" t="str">
            <v>CNY</v>
          </cell>
          <cell r="E926" t="str">
            <v>PCS</v>
          </cell>
          <cell r="F926">
            <v>3.78E-2</v>
          </cell>
        </row>
        <row r="927">
          <cell r="C927">
            <v>2061500070</v>
          </cell>
          <cell r="D927" t="str">
            <v>CNY</v>
          </cell>
          <cell r="E927" t="str">
            <v>PCS</v>
          </cell>
          <cell r="F927">
            <v>1.7640000000000003E-2</v>
          </cell>
        </row>
        <row r="928">
          <cell r="C928">
            <v>2061500080</v>
          </cell>
          <cell r="D928" t="str">
            <v>CNY</v>
          </cell>
          <cell r="E928" t="str">
            <v>PCS</v>
          </cell>
          <cell r="F928">
            <v>2.9819999999999999E-2</v>
          </cell>
        </row>
        <row r="929">
          <cell r="C929">
            <v>2061500100</v>
          </cell>
          <cell r="D929" t="str">
            <v>CNY</v>
          </cell>
          <cell r="E929" t="str">
            <v>PCS</v>
          </cell>
          <cell r="F929">
            <v>4.6725000000000003E-2</v>
          </cell>
        </row>
        <row r="930">
          <cell r="C930">
            <v>2061500110</v>
          </cell>
          <cell r="D930" t="str">
            <v>CNY</v>
          </cell>
          <cell r="E930" t="str">
            <v>PCS</v>
          </cell>
          <cell r="F930">
            <v>0.21000000000000002</v>
          </cell>
        </row>
        <row r="931">
          <cell r="C931">
            <v>2061500120</v>
          </cell>
          <cell r="D931" t="str">
            <v>CNY</v>
          </cell>
          <cell r="E931" t="str">
            <v>PCS</v>
          </cell>
          <cell r="F931">
            <v>3.15E-2</v>
          </cell>
        </row>
        <row r="932">
          <cell r="C932">
            <v>2061500130</v>
          </cell>
          <cell r="D932" t="str">
            <v>CNY</v>
          </cell>
          <cell r="E932" t="str">
            <v>PCS</v>
          </cell>
          <cell r="F932">
            <v>4.6725000000000003E-2</v>
          </cell>
        </row>
        <row r="933">
          <cell r="C933">
            <v>2061500140</v>
          </cell>
          <cell r="D933" t="str">
            <v>CNY</v>
          </cell>
          <cell r="E933" t="str">
            <v>PCS</v>
          </cell>
          <cell r="F933">
            <v>0.10279500000000001</v>
          </cell>
        </row>
        <row r="934">
          <cell r="C934">
            <v>2061500150</v>
          </cell>
          <cell r="D934" t="str">
            <v>CNY</v>
          </cell>
          <cell r="E934" t="str">
            <v>PCS</v>
          </cell>
          <cell r="F934">
            <v>2.3940000000000003E-2</v>
          </cell>
        </row>
        <row r="935">
          <cell r="C935">
            <v>2061500160</v>
          </cell>
          <cell r="D935" t="str">
            <v>CNY</v>
          </cell>
          <cell r="E935" t="str">
            <v>PCS</v>
          </cell>
          <cell r="F935">
            <v>0.13305600000000001</v>
          </cell>
        </row>
        <row r="936">
          <cell r="C936">
            <v>2061500200</v>
          </cell>
          <cell r="D936" t="str">
            <v>CNY</v>
          </cell>
          <cell r="E936" t="str">
            <v>PCS</v>
          </cell>
          <cell r="F936">
            <v>3.5910000000000004E-2</v>
          </cell>
        </row>
        <row r="937">
          <cell r="C937">
            <v>2061500210</v>
          </cell>
          <cell r="D937" t="str">
            <v>CNY</v>
          </cell>
          <cell r="E937" t="str">
            <v>PCS</v>
          </cell>
          <cell r="F937">
            <v>3.2550000000000003E-2</v>
          </cell>
        </row>
        <row r="938">
          <cell r="C938">
            <v>2061500220</v>
          </cell>
          <cell r="D938" t="str">
            <v>CNY</v>
          </cell>
          <cell r="E938" t="str">
            <v>PCS</v>
          </cell>
          <cell r="F938">
            <v>7.8750000000000001E-2</v>
          </cell>
        </row>
        <row r="939">
          <cell r="C939">
            <v>2061500230</v>
          </cell>
          <cell r="D939" t="str">
            <v>CNY</v>
          </cell>
          <cell r="E939" t="str">
            <v>PCS</v>
          </cell>
          <cell r="F939">
            <v>6.4049999999999996E-2</v>
          </cell>
        </row>
        <row r="940">
          <cell r="C940">
            <v>2061500240</v>
          </cell>
          <cell r="D940" t="str">
            <v>CNY</v>
          </cell>
          <cell r="E940" t="str">
            <v>PCS</v>
          </cell>
          <cell r="F940">
            <v>8.8200000000000014E-2</v>
          </cell>
        </row>
        <row r="941">
          <cell r="C941">
            <v>2061500260</v>
          </cell>
          <cell r="D941" t="str">
            <v>CNY</v>
          </cell>
          <cell r="E941" t="str">
            <v>PCS</v>
          </cell>
          <cell r="F941">
            <v>0.1425585</v>
          </cell>
        </row>
        <row r="942">
          <cell r="C942">
            <v>2062100010</v>
          </cell>
          <cell r="D942" t="str">
            <v>CNY</v>
          </cell>
          <cell r="E942" t="str">
            <v>PCS</v>
          </cell>
          <cell r="F942">
            <v>4.1811000000000007</v>
          </cell>
        </row>
        <row r="943">
          <cell r="C943">
            <v>2062100020</v>
          </cell>
          <cell r="D943" t="str">
            <v>CNY</v>
          </cell>
          <cell r="E943" t="str">
            <v>PCS</v>
          </cell>
          <cell r="F943">
            <v>4.1811000000000007</v>
          </cell>
        </row>
        <row r="944">
          <cell r="C944">
            <v>2062100030</v>
          </cell>
          <cell r="D944" t="str">
            <v>CNY</v>
          </cell>
          <cell r="E944" t="str">
            <v>PCS</v>
          </cell>
          <cell r="F944">
            <v>9.7280189999999997</v>
          </cell>
        </row>
        <row r="945">
          <cell r="C945">
            <v>2062300020</v>
          </cell>
          <cell r="D945" t="str">
            <v>CNY</v>
          </cell>
          <cell r="E945" t="str">
            <v>PCS</v>
          </cell>
          <cell r="F945">
            <v>0.41814150000000005</v>
          </cell>
        </row>
        <row r="946">
          <cell r="C946">
            <v>2070100012</v>
          </cell>
          <cell r="D946" t="str">
            <v>CNY</v>
          </cell>
          <cell r="E946" t="str">
            <v>PCS</v>
          </cell>
          <cell r="F946">
            <v>3.2550000000000003</v>
          </cell>
        </row>
        <row r="947">
          <cell r="C947">
            <v>2070100032</v>
          </cell>
          <cell r="D947" t="str">
            <v>CNY</v>
          </cell>
          <cell r="E947" t="str">
            <v>PCS</v>
          </cell>
          <cell r="F947">
            <v>3.2550000000000003</v>
          </cell>
        </row>
        <row r="948">
          <cell r="C948">
            <v>2070100033</v>
          </cell>
          <cell r="D948" t="str">
            <v>CNY</v>
          </cell>
          <cell r="E948" t="str">
            <v>PCS</v>
          </cell>
          <cell r="F948">
            <v>3.2550000000000003</v>
          </cell>
        </row>
        <row r="949">
          <cell r="C949">
            <v>2070100035</v>
          </cell>
          <cell r="D949" t="str">
            <v>CNY</v>
          </cell>
          <cell r="E949" t="str">
            <v>PCS</v>
          </cell>
          <cell r="F949">
            <v>2.3310000000000004</v>
          </cell>
        </row>
        <row r="950">
          <cell r="C950">
            <v>2070100101</v>
          </cell>
          <cell r="D950" t="str">
            <v>CNY</v>
          </cell>
          <cell r="E950" t="str">
            <v>PCS</v>
          </cell>
          <cell r="F950">
            <v>4.3449</v>
          </cell>
        </row>
        <row r="951">
          <cell r="C951">
            <v>2070100142</v>
          </cell>
          <cell r="D951" t="str">
            <v>CNY</v>
          </cell>
          <cell r="E951" t="str">
            <v>PCS</v>
          </cell>
          <cell r="F951">
            <v>3.6750000000000003</v>
          </cell>
        </row>
        <row r="952">
          <cell r="C952">
            <v>2070100241</v>
          </cell>
          <cell r="D952" t="str">
            <v>CNY</v>
          </cell>
          <cell r="E952" t="str">
            <v>PCS</v>
          </cell>
          <cell r="F952">
            <v>3.9060000000000006</v>
          </cell>
        </row>
        <row r="953">
          <cell r="C953">
            <v>2070100380</v>
          </cell>
          <cell r="D953" t="str">
            <v>CNY</v>
          </cell>
          <cell r="E953" t="str">
            <v>PCS</v>
          </cell>
          <cell r="F953">
            <v>8.3580000000000005</v>
          </cell>
        </row>
        <row r="954">
          <cell r="C954">
            <v>2070100911</v>
          </cell>
          <cell r="D954" t="str">
            <v>CNY</v>
          </cell>
          <cell r="E954" t="str">
            <v>PCS</v>
          </cell>
          <cell r="F954">
            <v>3.2550000000000003</v>
          </cell>
        </row>
        <row r="955">
          <cell r="C955">
            <v>2070100997</v>
          </cell>
          <cell r="D955" t="str">
            <v>CNY</v>
          </cell>
          <cell r="E955" t="str">
            <v>PCS</v>
          </cell>
          <cell r="F955">
            <v>2.3310000000000004</v>
          </cell>
        </row>
        <row r="956">
          <cell r="C956">
            <v>2070101017</v>
          </cell>
          <cell r="D956" t="str">
            <v>CNY</v>
          </cell>
          <cell r="E956" t="str">
            <v>PCS</v>
          </cell>
          <cell r="F956">
            <v>3.9060000000000006</v>
          </cell>
        </row>
        <row r="957">
          <cell r="C957">
            <v>2070101027</v>
          </cell>
          <cell r="D957" t="str">
            <v>CNY</v>
          </cell>
          <cell r="E957" t="str">
            <v>PCS</v>
          </cell>
          <cell r="F957">
            <v>3.444</v>
          </cell>
        </row>
        <row r="958">
          <cell r="C958">
            <v>2070101062</v>
          </cell>
          <cell r="D958" t="str">
            <v>CNY</v>
          </cell>
          <cell r="E958" t="str">
            <v>PCS</v>
          </cell>
          <cell r="F958">
            <v>0.70350000000000013</v>
          </cell>
        </row>
        <row r="959">
          <cell r="C959">
            <v>2070101121</v>
          </cell>
          <cell r="D959" t="str">
            <v>CNY</v>
          </cell>
          <cell r="E959" t="str">
            <v>PCS</v>
          </cell>
          <cell r="F959">
            <v>0.70350000000000013</v>
          </cell>
        </row>
        <row r="960">
          <cell r="C960">
            <v>2070101152</v>
          </cell>
          <cell r="D960" t="str">
            <v>CNY</v>
          </cell>
          <cell r="E960" t="str">
            <v>PCS</v>
          </cell>
          <cell r="F960">
            <v>3.7275</v>
          </cell>
        </row>
        <row r="961">
          <cell r="C961">
            <v>2070101271</v>
          </cell>
          <cell r="D961" t="str">
            <v>CNY</v>
          </cell>
          <cell r="E961" t="str">
            <v>PCS</v>
          </cell>
          <cell r="F961">
            <v>15.802500000000002</v>
          </cell>
        </row>
        <row r="962">
          <cell r="C962">
            <v>2070101291</v>
          </cell>
          <cell r="D962" t="str">
            <v>CNY</v>
          </cell>
          <cell r="E962" t="str">
            <v>PCS</v>
          </cell>
          <cell r="F962">
            <v>28.854000000000003</v>
          </cell>
        </row>
        <row r="963">
          <cell r="C963">
            <v>2070101361</v>
          </cell>
          <cell r="D963" t="str">
            <v>CNY</v>
          </cell>
          <cell r="E963" t="str">
            <v>PCS</v>
          </cell>
          <cell r="F963">
            <v>23.110500000000002</v>
          </cell>
        </row>
        <row r="964">
          <cell r="C964">
            <v>2070700030</v>
          </cell>
          <cell r="D964" t="str">
            <v>CNY</v>
          </cell>
          <cell r="E964" t="str">
            <v>PCS</v>
          </cell>
          <cell r="F964">
            <v>38.85</v>
          </cell>
        </row>
        <row r="965">
          <cell r="C965">
            <v>2070700040</v>
          </cell>
          <cell r="D965" t="str">
            <v>CNY</v>
          </cell>
          <cell r="E965" t="str">
            <v>SET</v>
          </cell>
          <cell r="F965">
            <v>270.27743400000003</v>
          </cell>
        </row>
        <row r="966">
          <cell r="C966">
            <v>2070700440</v>
          </cell>
          <cell r="D966" t="str">
            <v>CNY</v>
          </cell>
          <cell r="E966" t="str">
            <v>PCS</v>
          </cell>
          <cell r="F966">
            <v>63.189</v>
          </cell>
        </row>
        <row r="967">
          <cell r="C967">
            <v>2070700600</v>
          </cell>
          <cell r="D967" t="str">
            <v>CNY</v>
          </cell>
          <cell r="E967" t="str">
            <v>PCS</v>
          </cell>
          <cell r="F967">
            <v>40.048669499999995</v>
          </cell>
        </row>
        <row r="968">
          <cell r="C968">
            <v>2080300102</v>
          </cell>
          <cell r="D968" t="str">
            <v>CNY</v>
          </cell>
          <cell r="E968" t="str">
            <v>PCS</v>
          </cell>
          <cell r="F968">
            <v>14.805</v>
          </cell>
        </row>
        <row r="969">
          <cell r="C969">
            <v>2080300510</v>
          </cell>
          <cell r="D969" t="str">
            <v>CNY</v>
          </cell>
          <cell r="E969" t="str">
            <v>PCS</v>
          </cell>
          <cell r="F969">
            <v>80.766000000000005</v>
          </cell>
        </row>
        <row r="970">
          <cell r="C970">
            <v>2080301201</v>
          </cell>
          <cell r="D970" t="str">
            <v>CNY</v>
          </cell>
          <cell r="E970" t="str">
            <v>PCS</v>
          </cell>
          <cell r="F970">
            <v>92.919750000000008</v>
          </cell>
        </row>
        <row r="971">
          <cell r="C971">
            <v>2080301381</v>
          </cell>
          <cell r="D971" t="str">
            <v>CNY</v>
          </cell>
          <cell r="E971" t="str">
            <v>PCS</v>
          </cell>
          <cell r="F971">
            <v>77.122500000000002</v>
          </cell>
        </row>
        <row r="972">
          <cell r="C972">
            <v>2080301421</v>
          </cell>
          <cell r="D972" t="str">
            <v>CNY</v>
          </cell>
          <cell r="E972" t="str">
            <v>SET</v>
          </cell>
          <cell r="F972">
            <v>134.734509</v>
          </cell>
        </row>
        <row r="973">
          <cell r="C973">
            <v>2080301471</v>
          </cell>
          <cell r="D973" t="str">
            <v>CNY</v>
          </cell>
          <cell r="E973" t="str">
            <v>PCS</v>
          </cell>
          <cell r="F973">
            <v>95.70750000000001</v>
          </cell>
        </row>
        <row r="974">
          <cell r="C974">
            <v>2080301841</v>
          </cell>
          <cell r="D974" t="str">
            <v>CNY</v>
          </cell>
          <cell r="E974" t="str">
            <v>PCS</v>
          </cell>
          <cell r="F974">
            <v>98.028000000000006</v>
          </cell>
        </row>
        <row r="975">
          <cell r="C975">
            <v>2080301871</v>
          </cell>
          <cell r="D975" t="str">
            <v>CNY</v>
          </cell>
          <cell r="E975" t="str">
            <v>PCS</v>
          </cell>
          <cell r="F975">
            <v>123.58500000000001</v>
          </cell>
        </row>
        <row r="976">
          <cell r="C976">
            <v>2080302600</v>
          </cell>
          <cell r="D976" t="str">
            <v>CNY</v>
          </cell>
          <cell r="E976" t="str">
            <v>PCS</v>
          </cell>
          <cell r="F976">
            <v>23.672292000000002</v>
          </cell>
        </row>
        <row r="977">
          <cell r="C977">
            <v>2080500362</v>
          </cell>
          <cell r="D977" t="str">
            <v>CNY</v>
          </cell>
          <cell r="E977" t="str">
            <v>PCS</v>
          </cell>
          <cell r="F977">
            <v>12.798450000000001</v>
          </cell>
        </row>
        <row r="978">
          <cell r="C978">
            <v>2080700790</v>
          </cell>
          <cell r="D978" t="str">
            <v>CNY</v>
          </cell>
          <cell r="E978" t="str">
            <v>PCS</v>
          </cell>
          <cell r="F978">
            <v>35.380800000000001</v>
          </cell>
        </row>
        <row r="979">
          <cell r="C979">
            <v>2080700800</v>
          </cell>
          <cell r="D979" t="str">
            <v>CNY</v>
          </cell>
          <cell r="E979" t="str">
            <v>PCS</v>
          </cell>
          <cell r="F979">
            <v>30.5046</v>
          </cell>
        </row>
        <row r="980">
          <cell r="C980">
            <v>2081300010</v>
          </cell>
          <cell r="D980" t="str">
            <v>CNY</v>
          </cell>
          <cell r="E980" t="str">
            <v>PCS</v>
          </cell>
          <cell r="F980">
            <v>13.891500000000001</v>
          </cell>
        </row>
        <row r="981">
          <cell r="C981">
            <v>2081300020</v>
          </cell>
          <cell r="D981" t="str">
            <v>CNY</v>
          </cell>
          <cell r="E981" t="str">
            <v>PCS</v>
          </cell>
          <cell r="F981">
            <v>15.6135</v>
          </cell>
        </row>
        <row r="982">
          <cell r="C982">
            <v>2090100011</v>
          </cell>
          <cell r="D982" t="str">
            <v>CNY</v>
          </cell>
          <cell r="E982" t="str">
            <v>PCS</v>
          </cell>
          <cell r="F982">
            <v>0.10626000000000001</v>
          </cell>
        </row>
        <row r="983">
          <cell r="C983">
            <v>2090100021</v>
          </cell>
          <cell r="D983" t="str">
            <v>CNY</v>
          </cell>
          <cell r="E983" t="str">
            <v>PCS</v>
          </cell>
          <cell r="F983">
            <v>6.5877000000000005E-2</v>
          </cell>
        </row>
        <row r="984">
          <cell r="C984">
            <v>2090100031</v>
          </cell>
          <cell r="D984" t="str">
            <v>CNY</v>
          </cell>
          <cell r="E984" t="str">
            <v>PCS</v>
          </cell>
          <cell r="F984">
            <v>1.89E-2</v>
          </cell>
        </row>
        <row r="985">
          <cell r="C985">
            <v>2090100041</v>
          </cell>
          <cell r="D985" t="str">
            <v>CNY</v>
          </cell>
          <cell r="E985" t="str">
            <v>PCS</v>
          </cell>
          <cell r="F985">
            <v>6.3755999999999993E-2</v>
          </cell>
        </row>
        <row r="986">
          <cell r="C986">
            <v>2090100411</v>
          </cell>
          <cell r="D986" t="str">
            <v>CNY</v>
          </cell>
          <cell r="E986" t="str">
            <v>PCS</v>
          </cell>
          <cell r="F986">
            <v>0.1839075</v>
          </cell>
        </row>
        <row r="987">
          <cell r="C987">
            <v>2090100441</v>
          </cell>
          <cell r="D987" t="str">
            <v>CNY</v>
          </cell>
          <cell r="E987" t="str">
            <v>PCS</v>
          </cell>
          <cell r="F987">
            <v>0.17528700000000003</v>
          </cell>
        </row>
        <row r="988">
          <cell r="C988">
            <v>2090101281</v>
          </cell>
          <cell r="D988" t="str">
            <v>CNY</v>
          </cell>
          <cell r="E988" t="str">
            <v>PCS</v>
          </cell>
          <cell r="F988">
            <v>0.53129999999999999</v>
          </cell>
        </row>
        <row r="989">
          <cell r="C989">
            <v>2090101321</v>
          </cell>
          <cell r="D989" t="str">
            <v>CNY</v>
          </cell>
          <cell r="E989" t="str">
            <v>PCS</v>
          </cell>
          <cell r="F989">
            <v>0.32577299999999998</v>
          </cell>
        </row>
        <row r="990">
          <cell r="C990">
            <v>2090101331</v>
          </cell>
          <cell r="D990" t="str">
            <v>CNY</v>
          </cell>
          <cell r="E990" t="str">
            <v>PCS</v>
          </cell>
          <cell r="F990">
            <v>0.23625000000000002</v>
          </cell>
        </row>
        <row r="991">
          <cell r="C991">
            <v>2090101401</v>
          </cell>
          <cell r="D991" t="str">
            <v>CNY</v>
          </cell>
          <cell r="E991" t="str">
            <v>PCS</v>
          </cell>
          <cell r="F991">
            <v>0.60899999999999999</v>
          </cell>
        </row>
        <row r="992">
          <cell r="C992">
            <v>2090102170</v>
          </cell>
          <cell r="D992" t="str">
            <v>CNY</v>
          </cell>
          <cell r="E992" t="str">
            <v>PCS</v>
          </cell>
          <cell r="F992">
            <v>0.36411899999999997</v>
          </cell>
        </row>
        <row r="993">
          <cell r="C993">
            <v>2090102940</v>
          </cell>
          <cell r="D993" t="str">
            <v>CNY</v>
          </cell>
          <cell r="E993" t="str">
            <v>PCS</v>
          </cell>
          <cell r="F993">
            <v>5.5377000000000003E-2</v>
          </cell>
        </row>
        <row r="994">
          <cell r="C994">
            <v>2090103120</v>
          </cell>
          <cell r="D994" t="str">
            <v>CNY</v>
          </cell>
          <cell r="E994" t="str">
            <v>PCS</v>
          </cell>
          <cell r="F994">
            <v>0.44405550000000005</v>
          </cell>
        </row>
        <row r="995">
          <cell r="C995">
            <v>2090103470</v>
          </cell>
          <cell r="D995" t="str">
            <v>CNY</v>
          </cell>
          <cell r="E995" t="str">
            <v>PCS</v>
          </cell>
          <cell r="F995">
            <v>0.39494699999999999</v>
          </cell>
        </row>
        <row r="996">
          <cell r="C996">
            <v>2090103720</v>
          </cell>
          <cell r="D996" t="str">
            <v>CNY</v>
          </cell>
          <cell r="E996" t="str">
            <v>PCS</v>
          </cell>
          <cell r="F996">
            <v>0.37510199999999999</v>
          </cell>
        </row>
        <row r="997">
          <cell r="C997">
            <v>2090103820</v>
          </cell>
          <cell r="D997" t="str">
            <v>CNY</v>
          </cell>
          <cell r="E997" t="str">
            <v>PCS</v>
          </cell>
          <cell r="F997">
            <v>0.41941200000000006</v>
          </cell>
        </row>
        <row r="998">
          <cell r="C998">
            <v>2090104061</v>
          </cell>
          <cell r="D998" t="str">
            <v>CNY</v>
          </cell>
          <cell r="E998" t="str">
            <v>PCS</v>
          </cell>
          <cell r="F998">
            <v>0.3623865</v>
          </cell>
        </row>
        <row r="999">
          <cell r="C999">
            <v>2090104380</v>
          </cell>
          <cell r="D999" t="str">
            <v>CNY</v>
          </cell>
          <cell r="E999" t="str">
            <v>PCS</v>
          </cell>
          <cell r="F999">
            <v>0.12715500000000002</v>
          </cell>
        </row>
        <row r="1000">
          <cell r="C1000">
            <v>2090104540</v>
          </cell>
          <cell r="D1000" t="str">
            <v>CNY</v>
          </cell>
          <cell r="E1000" t="str">
            <v>PCS</v>
          </cell>
          <cell r="F1000">
            <v>0.24884999999999999</v>
          </cell>
        </row>
        <row r="1001">
          <cell r="C1001">
            <v>2090105140</v>
          </cell>
          <cell r="D1001" t="str">
            <v>CNY</v>
          </cell>
          <cell r="E1001" t="str">
            <v>PCS</v>
          </cell>
          <cell r="F1001">
            <v>0.26329799999999998</v>
          </cell>
        </row>
        <row r="1002">
          <cell r="C1002">
            <v>2090105560</v>
          </cell>
          <cell r="D1002" t="str">
            <v>CNY</v>
          </cell>
          <cell r="E1002" t="str">
            <v>PCS</v>
          </cell>
          <cell r="F1002">
            <v>4.725E-2</v>
          </cell>
        </row>
        <row r="1003">
          <cell r="C1003">
            <v>2090105660</v>
          </cell>
          <cell r="D1003" t="str">
            <v>CNY</v>
          </cell>
          <cell r="E1003" t="str">
            <v>PCS</v>
          </cell>
          <cell r="F1003">
            <v>4.2000000000000003E-2</v>
          </cell>
        </row>
        <row r="1004">
          <cell r="C1004">
            <v>2090105710</v>
          </cell>
          <cell r="D1004" t="str">
            <v>CNY</v>
          </cell>
          <cell r="E1004" t="str">
            <v>PCS</v>
          </cell>
          <cell r="F1004">
            <v>9.2085E-2</v>
          </cell>
        </row>
        <row r="1005">
          <cell r="C1005">
            <v>2090106130</v>
          </cell>
          <cell r="D1005" t="str">
            <v>CNY</v>
          </cell>
          <cell r="E1005" t="str">
            <v>PCS</v>
          </cell>
          <cell r="F1005">
            <v>0.21252000000000001</v>
          </cell>
        </row>
        <row r="1006">
          <cell r="C1006">
            <v>2090106170</v>
          </cell>
          <cell r="D1006" t="str">
            <v>CNY</v>
          </cell>
          <cell r="E1006" t="str">
            <v>PCS</v>
          </cell>
          <cell r="F1006">
            <v>0.23015999999999998</v>
          </cell>
        </row>
        <row r="1007">
          <cell r="C1007">
            <v>2090106210</v>
          </cell>
          <cell r="D1007" t="str">
            <v>CNY</v>
          </cell>
          <cell r="E1007" t="str">
            <v>PCS</v>
          </cell>
          <cell r="F1007">
            <v>0.99014999999999997</v>
          </cell>
        </row>
        <row r="1008">
          <cell r="C1008">
            <v>2090106380</v>
          </cell>
          <cell r="D1008" t="str">
            <v>CNY</v>
          </cell>
          <cell r="E1008" t="str">
            <v>PCS</v>
          </cell>
          <cell r="F1008">
            <v>4.5738000000000001E-2</v>
          </cell>
        </row>
        <row r="1009">
          <cell r="C1009">
            <v>2090106780</v>
          </cell>
          <cell r="D1009" t="str">
            <v>CNY</v>
          </cell>
          <cell r="E1009" t="str">
            <v>PCS</v>
          </cell>
          <cell r="F1009">
            <v>1.2878775</v>
          </cell>
        </row>
        <row r="1010">
          <cell r="C1010">
            <v>2090106790</v>
          </cell>
          <cell r="D1010" t="str">
            <v>CNY</v>
          </cell>
          <cell r="E1010" t="str">
            <v>PCS</v>
          </cell>
          <cell r="F1010">
            <v>0.42743400000000004</v>
          </cell>
        </row>
        <row r="1011">
          <cell r="C1011">
            <v>2090106800</v>
          </cell>
          <cell r="D1011" t="str">
            <v>CNY</v>
          </cell>
          <cell r="E1011" t="str">
            <v>PCS</v>
          </cell>
          <cell r="F1011">
            <v>0.94778249999999997</v>
          </cell>
        </row>
        <row r="1012">
          <cell r="C1012">
            <v>2090106840</v>
          </cell>
          <cell r="D1012" t="str">
            <v>CNY</v>
          </cell>
          <cell r="E1012" t="str">
            <v>PCS</v>
          </cell>
          <cell r="F1012">
            <v>0.6318585000000001</v>
          </cell>
        </row>
        <row r="1013">
          <cell r="C1013">
            <v>2090500081</v>
          </cell>
          <cell r="D1013" t="str">
            <v>CNY</v>
          </cell>
          <cell r="E1013" t="str">
            <v>PCS</v>
          </cell>
          <cell r="F1013">
            <v>0.441</v>
          </cell>
        </row>
        <row r="1014">
          <cell r="C1014">
            <v>2090500201</v>
          </cell>
          <cell r="D1014" t="str">
            <v>CNY</v>
          </cell>
          <cell r="E1014" t="str">
            <v>PCS</v>
          </cell>
          <cell r="F1014">
            <v>0.14700000000000002</v>
          </cell>
        </row>
        <row r="1015">
          <cell r="C1015">
            <v>2090500551</v>
          </cell>
          <cell r="D1015" t="str">
            <v>CNY</v>
          </cell>
          <cell r="E1015" t="str">
            <v>PCS</v>
          </cell>
          <cell r="F1015">
            <v>4.0425000000000004</v>
          </cell>
        </row>
        <row r="1016">
          <cell r="C1016">
            <v>2090500591</v>
          </cell>
          <cell r="D1016" t="str">
            <v>CNY</v>
          </cell>
          <cell r="E1016" t="str">
            <v>PCS</v>
          </cell>
          <cell r="F1016">
            <v>0.79695000000000005</v>
          </cell>
        </row>
        <row r="1017">
          <cell r="C1017">
            <v>2090500761</v>
          </cell>
          <cell r="D1017" t="str">
            <v>CNY</v>
          </cell>
          <cell r="E1017" t="str">
            <v>PCS</v>
          </cell>
          <cell r="F1017">
            <v>0.19950000000000001</v>
          </cell>
        </row>
        <row r="1018">
          <cell r="C1018">
            <v>2090503790</v>
          </cell>
          <cell r="D1018" t="str">
            <v>CNY</v>
          </cell>
          <cell r="E1018" t="str">
            <v>PCS</v>
          </cell>
          <cell r="F1018">
            <v>1.554</v>
          </cell>
        </row>
        <row r="1019">
          <cell r="C1019">
            <v>2090700021</v>
          </cell>
          <cell r="D1019" t="str">
            <v>CNY</v>
          </cell>
          <cell r="E1019" t="str">
            <v>PCS</v>
          </cell>
          <cell r="F1019">
            <v>5.4799500000000001E-2</v>
          </cell>
        </row>
        <row r="1020">
          <cell r="C1020">
            <v>2090700141</v>
          </cell>
          <cell r="D1020" t="str">
            <v>CNY</v>
          </cell>
          <cell r="E1020" t="str">
            <v>PCS</v>
          </cell>
          <cell r="F1020">
            <v>5.1450000000000003E-2</v>
          </cell>
        </row>
        <row r="1021">
          <cell r="C1021">
            <v>2090700151</v>
          </cell>
          <cell r="D1021" t="str">
            <v>CNY</v>
          </cell>
          <cell r="E1021" t="str">
            <v>PCS</v>
          </cell>
          <cell r="F1021">
            <v>4.4625000000000005E-2</v>
          </cell>
        </row>
        <row r="1022">
          <cell r="C1022">
            <v>2090700221</v>
          </cell>
          <cell r="D1022" t="str">
            <v>CNY</v>
          </cell>
          <cell r="E1022" t="str">
            <v>PCS</v>
          </cell>
          <cell r="F1022">
            <v>7.1914499999999992E-2</v>
          </cell>
        </row>
        <row r="1023">
          <cell r="C1023">
            <v>2090700372</v>
          </cell>
          <cell r="D1023" t="str">
            <v>CNY</v>
          </cell>
          <cell r="E1023" t="str">
            <v>PCS</v>
          </cell>
          <cell r="F1023">
            <v>0.19792500000000002</v>
          </cell>
        </row>
        <row r="1024">
          <cell r="C1024">
            <v>2090700481</v>
          </cell>
          <cell r="D1024" t="str">
            <v>CNY</v>
          </cell>
          <cell r="E1024" t="str">
            <v>PCS</v>
          </cell>
          <cell r="F1024">
            <v>6.2475000000000005</v>
          </cell>
        </row>
        <row r="1025">
          <cell r="C1025">
            <v>2090700501</v>
          </cell>
          <cell r="D1025" t="str">
            <v>CNY</v>
          </cell>
          <cell r="E1025" t="str">
            <v>PCS</v>
          </cell>
          <cell r="F1025">
            <v>0.17325000000000002</v>
          </cell>
        </row>
        <row r="1026">
          <cell r="C1026">
            <v>2090700561</v>
          </cell>
          <cell r="D1026" t="str">
            <v>CNY</v>
          </cell>
          <cell r="E1026" t="str">
            <v>PCS</v>
          </cell>
          <cell r="F1026">
            <v>0.21949200000000002</v>
          </cell>
        </row>
        <row r="1027">
          <cell r="C1027">
            <v>2090701450</v>
          </cell>
          <cell r="D1027" t="str">
            <v>CNY</v>
          </cell>
          <cell r="E1027" t="str">
            <v>PCS</v>
          </cell>
          <cell r="F1027">
            <v>7.5037200000000004</v>
          </cell>
        </row>
        <row r="1028">
          <cell r="C1028">
            <v>2090701510</v>
          </cell>
          <cell r="D1028" t="str">
            <v>CNY</v>
          </cell>
          <cell r="E1028" t="str">
            <v>PCS</v>
          </cell>
          <cell r="F1028">
            <v>0.23100000000000001</v>
          </cell>
        </row>
        <row r="1029">
          <cell r="C1029">
            <v>2090701550</v>
          </cell>
          <cell r="D1029" t="str">
            <v>CNY</v>
          </cell>
          <cell r="E1029" t="str">
            <v>PCS</v>
          </cell>
          <cell r="F1029">
            <v>0.20370000000000002</v>
          </cell>
        </row>
        <row r="1030">
          <cell r="C1030">
            <v>2090900071</v>
          </cell>
          <cell r="D1030" t="str">
            <v>CNY</v>
          </cell>
          <cell r="E1030" t="str">
            <v>PCS</v>
          </cell>
          <cell r="F1030">
            <v>0.44871750000000005</v>
          </cell>
        </row>
        <row r="1031">
          <cell r="C1031">
            <v>2090902811</v>
          </cell>
          <cell r="D1031" t="str">
            <v>CNY</v>
          </cell>
          <cell r="E1031" t="str">
            <v>SET</v>
          </cell>
          <cell r="F1031">
            <v>7.6188000000000002</v>
          </cell>
        </row>
        <row r="1032">
          <cell r="C1032">
            <v>2090902871</v>
          </cell>
          <cell r="D1032" t="str">
            <v>CNY</v>
          </cell>
          <cell r="E1032" t="str">
            <v>PCS</v>
          </cell>
          <cell r="F1032">
            <v>1.9513200000000002</v>
          </cell>
        </row>
        <row r="1033">
          <cell r="C1033">
            <v>2090903191</v>
          </cell>
          <cell r="D1033" t="str">
            <v>CNY</v>
          </cell>
          <cell r="E1033" t="str">
            <v>PCS</v>
          </cell>
          <cell r="F1033">
            <v>2.0814150000000002</v>
          </cell>
        </row>
        <row r="1034">
          <cell r="C1034">
            <v>2090903201</v>
          </cell>
          <cell r="D1034" t="str">
            <v>CNY</v>
          </cell>
          <cell r="E1034" t="str">
            <v>PCS</v>
          </cell>
          <cell r="F1034">
            <v>0.66902850000000003</v>
          </cell>
        </row>
        <row r="1035">
          <cell r="C1035">
            <v>2090903660</v>
          </cell>
          <cell r="D1035" t="str">
            <v>CNY</v>
          </cell>
          <cell r="E1035" t="str">
            <v>PCS</v>
          </cell>
          <cell r="F1035">
            <v>2.1</v>
          </cell>
        </row>
        <row r="1036">
          <cell r="C1036">
            <v>2090903670</v>
          </cell>
          <cell r="D1036" t="str">
            <v>CNY</v>
          </cell>
          <cell r="E1036" t="str">
            <v>PCS</v>
          </cell>
          <cell r="F1036">
            <v>0.55650000000000011</v>
          </cell>
        </row>
        <row r="1037">
          <cell r="C1037">
            <v>2090903740</v>
          </cell>
          <cell r="D1037" t="str">
            <v>CNY</v>
          </cell>
          <cell r="E1037" t="str">
            <v>PCS</v>
          </cell>
          <cell r="F1037">
            <v>7.3279500000000011E-2</v>
          </cell>
        </row>
        <row r="1038">
          <cell r="C1038">
            <v>2090903760</v>
          </cell>
          <cell r="D1038" t="str">
            <v>CNY</v>
          </cell>
          <cell r="E1038" t="str">
            <v>PCS</v>
          </cell>
          <cell r="F1038">
            <v>0.23249099999999998</v>
          </cell>
        </row>
        <row r="1039">
          <cell r="C1039">
            <v>2090903770</v>
          </cell>
          <cell r="D1039" t="str">
            <v>CNY</v>
          </cell>
          <cell r="E1039" t="str">
            <v>PCS</v>
          </cell>
          <cell r="F1039">
            <v>0.16579500000000003</v>
          </cell>
        </row>
        <row r="1040">
          <cell r="C1040">
            <v>2090903800</v>
          </cell>
          <cell r="D1040" t="str">
            <v>CNY</v>
          </cell>
          <cell r="E1040" t="str">
            <v>PCS</v>
          </cell>
          <cell r="F1040">
            <v>0.82564650000000017</v>
          </cell>
        </row>
        <row r="1041">
          <cell r="C1041">
            <v>2090903810</v>
          </cell>
          <cell r="D1041" t="str">
            <v>CNY</v>
          </cell>
          <cell r="E1041" t="str">
            <v>PCS</v>
          </cell>
          <cell r="F1041">
            <v>0.56542499999999996</v>
          </cell>
        </row>
        <row r="1042">
          <cell r="C1042">
            <v>2090906280</v>
          </cell>
          <cell r="D1042" t="str">
            <v>CNY</v>
          </cell>
          <cell r="E1042" t="str">
            <v>PCS</v>
          </cell>
          <cell r="F1042">
            <v>0.39900000000000002</v>
          </cell>
        </row>
        <row r="1043">
          <cell r="C1043">
            <v>2090906290</v>
          </cell>
          <cell r="D1043" t="str">
            <v>CNY</v>
          </cell>
          <cell r="E1043" t="str">
            <v>PCS</v>
          </cell>
          <cell r="F1043">
            <v>0.24160500000000001</v>
          </cell>
        </row>
        <row r="1044">
          <cell r="C1044">
            <v>2091100011</v>
          </cell>
          <cell r="D1044" t="str">
            <v>CNY</v>
          </cell>
          <cell r="E1044" t="str">
            <v>PCS</v>
          </cell>
          <cell r="F1044">
            <v>1.39335E-2</v>
          </cell>
        </row>
        <row r="1045">
          <cell r="C1045">
            <v>2091100021</v>
          </cell>
          <cell r="D1045" t="str">
            <v>CNY</v>
          </cell>
          <cell r="E1045" t="str">
            <v>PCS</v>
          </cell>
          <cell r="F1045">
            <v>9.1560000000000009E-3</v>
          </cell>
        </row>
        <row r="1046">
          <cell r="C1046">
            <v>2091100031</v>
          </cell>
          <cell r="D1046" t="str">
            <v>CNY</v>
          </cell>
          <cell r="E1046" t="str">
            <v>PCS</v>
          </cell>
          <cell r="F1046">
            <v>1.5928500000000002E-2</v>
          </cell>
        </row>
        <row r="1047">
          <cell r="C1047">
            <v>2091100041</v>
          </cell>
          <cell r="D1047" t="str">
            <v>CNY</v>
          </cell>
          <cell r="E1047" t="str">
            <v>PCS</v>
          </cell>
          <cell r="F1047">
            <v>7.591500000000001E-3</v>
          </cell>
        </row>
        <row r="1048">
          <cell r="C1048">
            <v>2091100051</v>
          </cell>
          <cell r="D1048" t="str">
            <v>CNY</v>
          </cell>
          <cell r="E1048" t="str">
            <v>PCS</v>
          </cell>
          <cell r="F1048">
            <v>1.0741500000000001E-2</v>
          </cell>
        </row>
        <row r="1049">
          <cell r="C1049">
            <v>2091100071</v>
          </cell>
          <cell r="D1049" t="str">
            <v>CNY</v>
          </cell>
          <cell r="E1049" t="str">
            <v>PCS</v>
          </cell>
          <cell r="F1049">
            <v>7.591500000000001E-3</v>
          </cell>
        </row>
        <row r="1050">
          <cell r="C1050">
            <v>2091100081</v>
          </cell>
          <cell r="D1050" t="str">
            <v>CNY</v>
          </cell>
          <cell r="E1050" t="str">
            <v>PCS</v>
          </cell>
          <cell r="F1050">
            <v>7.6860000000000001E-3</v>
          </cell>
        </row>
        <row r="1051">
          <cell r="C1051">
            <v>2091100101</v>
          </cell>
          <cell r="D1051" t="str">
            <v>CNY</v>
          </cell>
          <cell r="E1051" t="str">
            <v>PCS</v>
          </cell>
          <cell r="F1051">
            <v>9.8490000000000019E-3</v>
          </cell>
        </row>
        <row r="1052">
          <cell r="C1052">
            <v>2091100141</v>
          </cell>
          <cell r="D1052" t="str">
            <v>CNY</v>
          </cell>
          <cell r="E1052" t="str">
            <v>PCS</v>
          </cell>
          <cell r="F1052">
            <v>7.591500000000001E-3</v>
          </cell>
        </row>
        <row r="1053">
          <cell r="C1053">
            <v>2091100401</v>
          </cell>
          <cell r="D1053" t="str">
            <v>CNY</v>
          </cell>
          <cell r="E1053" t="str">
            <v>PCS</v>
          </cell>
          <cell r="F1053">
            <v>4.1632500000000003E-2</v>
          </cell>
        </row>
        <row r="1054">
          <cell r="C1054">
            <v>2091100441</v>
          </cell>
          <cell r="D1054" t="str">
            <v>CNY</v>
          </cell>
          <cell r="E1054" t="str">
            <v>PCS</v>
          </cell>
          <cell r="F1054">
            <v>0.19624500000000003</v>
          </cell>
        </row>
        <row r="1055">
          <cell r="C1055">
            <v>2091100451</v>
          </cell>
          <cell r="D1055" t="str">
            <v>CNY</v>
          </cell>
          <cell r="E1055" t="str">
            <v>PCS</v>
          </cell>
          <cell r="F1055">
            <v>0.20631450000000001</v>
          </cell>
        </row>
        <row r="1056">
          <cell r="C1056">
            <v>2091100481</v>
          </cell>
          <cell r="D1056" t="str">
            <v>CNY</v>
          </cell>
          <cell r="E1056" t="str">
            <v>PCS</v>
          </cell>
          <cell r="F1056">
            <v>0.42283500000000002</v>
          </cell>
        </row>
        <row r="1057">
          <cell r="C1057">
            <v>2091101210</v>
          </cell>
          <cell r="D1057" t="str">
            <v>CNY</v>
          </cell>
          <cell r="E1057" t="str">
            <v>PCS</v>
          </cell>
          <cell r="F1057">
            <v>1.26E-2</v>
          </cell>
        </row>
        <row r="1058">
          <cell r="C1058">
            <v>2091101221</v>
          </cell>
          <cell r="D1058" t="str">
            <v>CNY</v>
          </cell>
          <cell r="E1058" t="str">
            <v>PCS</v>
          </cell>
          <cell r="F1058">
            <v>0.4536</v>
          </cell>
        </row>
        <row r="1059">
          <cell r="C1059">
            <v>2091500170</v>
          </cell>
          <cell r="D1059" t="str">
            <v>CNY</v>
          </cell>
          <cell r="E1059" t="str">
            <v>PCS</v>
          </cell>
          <cell r="F1059">
            <v>8.3454000000000014E-2</v>
          </cell>
        </row>
        <row r="1060">
          <cell r="C1060">
            <v>2091500190</v>
          </cell>
          <cell r="D1060" t="str">
            <v>CNY</v>
          </cell>
          <cell r="E1060" t="str">
            <v>PCS</v>
          </cell>
          <cell r="F1060">
            <v>0.51975000000000005</v>
          </cell>
        </row>
        <row r="1061">
          <cell r="C1061">
            <v>2091500220</v>
          </cell>
          <cell r="D1061" t="str">
            <v>CNY</v>
          </cell>
          <cell r="E1061" t="str">
            <v>PCS</v>
          </cell>
          <cell r="F1061">
            <v>0.17850000000000002</v>
          </cell>
        </row>
        <row r="1062">
          <cell r="C1062">
            <v>2091500680</v>
          </cell>
          <cell r="D1062" t="str">
            <v>CNY</v>
          </cell>
          <cell r="E1062" t="str">
            <v>PCS</v>
          </cell>
          <cell r="F1062">
            <v>7.0245000000000006</v>
          </cell>
        </row>
        <row r="1063">
          <cell r="C1063">
            <v>2091500690</v>
          </cell>
          <cell r="D1063" t="str">
            <v>CNY</v>
          </cell>
          <cell r="E1063" t="str">
            <v>PCS</v>
          </cell>
          <cell r="F1063">
            <v>1.2495000000000001</v>
          </cell>
        </row>
        <row r="1064">
          <cell r="C1064">
            <v>2100100171</v>
          </cell>
          <cell r="D1064" t="str">
            <v>CNY</v>
          </cell>
          <cell r="E1064" t="str">
            <v>PCS</v>
          </cell>
          <cell r="F1064">
            <v>2.9124794999999999</v>
          </cell>
        </row>
        <row r="1065">
          <cell r="C1065">
            <v>2100100750</v>
          </cell>
          <cell r="D1065" t="str">
            <v>CNY</v>
          </cell>
          <cell r="E1065" t="str">
            <v>PCS</v>
          </cell>
          <cell r="F1065">
            <v>4.4137275000000002</v>
          </cell>
        </row>
        <row r="1066">
          <cell r="C1066">
            <v>2100101890</v>
          </cell>
          <cell r="D1066" t="str">
            <v>CNY</v>
          </cell>
          <cell r="E1066" t="str">
            <v>PCS</v>
          </cell>
          <cell r="F1066">
            <v>3.4735050000000003</v>
          </cell>
        </row>
        <row r="1067">
          <cell r="C1067">
            <v>2100300012</v>
          </cell>
          <cell r="D1067" t="str">
            <v>CNY</v>
          </cell>
          <cell r="E1067" t="str">
            <v>PCS</v>
          </cell>
          <cell r="F1067">
            <v>2.8350000000000004</v>
          </cell>
        </row>
        <row r="1068">
          <cell r="C1068">
            <v>2100300183</v>
          </cell>
          <cell r="D1068" t="str">
            <v>CNY</v>
          </cell>
          <cell r="E1068" t="str">
            <v>PCS</v>
          </cell>
          <cell r="F1068">
            <v>3.4545000000000003</v>
          </cell>
        </row>
        <row r="1069">
          <cell r="C1069">
            <v>2100300243</v>
          </cell>
          <cell r="D1069" t="str">
            <v>CNY</v>
          </cell>
          <cell r="E1069" t="str">
            <v>PCS</v>
          </cell>
          <cell r="F1069">
            <v>2.3100000000000005</v>
          </cell>
        </row>
        <row r="1070">
          <cell r="C1070">
            <v>2100300252</v>
          </cell>
          <cell r="D1070" t="str">
            <v>CNY</v>
          </cell>
          <cell r="E1070" t="str">
            <v>PCS</v>
          </cell>
          <cell r="F1070">
            <v>4.5149999999999997</v>
          </cell>
        </row>
        <row r="1071">
          <cell r="C1071">
            <v>2100300341</v>
          </cell>
          <cell r="D1071" t="str">
            <v>CNY</v>
          </cell>
          <cell r="E1071" t="str">
            <v>PCS</v>
          </cell>
          <cell r="F1071">
            <v>2.2890000000000001</v>
          </cell>
        </row>
        <row r="1072">
          <cell r="C1072">
            <v>2100300342</v>
          </cell>
          <cell r="D1072" t="str">
            <v>CNY</v>
          </cell>
          <cell r="E1072" t="str">
            <v>PCS</v>
          </cell>
          <cell r="F1072">
            <v>2.2890000000000001</v>
          </cell>
        </row>
        <row r="1073">
          <cell r="C1073">
            <v>2100300362</v>
          </cell>
          <cell r="D1073" t="str">
            <v>CNY</v>
          </cell>
          <cell r="E1073" t="str">
            <v>PCS</v>
          </cell>
          <cell r="F1073">
            <v>2.1</v>
          </cell>
        </row>
        <row r="1074">
          <cell r="C1074">
            <v>2100300402</v>
          </cell>
          <cell r="D1074" t="str">
            <v>CNY</v>
          </cell>
          <cell r="E1074" t="str">
            <v>PCS</v>
          </cell>
          <cell r="F1074">
            <v>2.415</v>
          </cell>
        </row>
        <row r="1075">
          <cell r="C1075">
            <v>2100300443</v>
          </cell>
          <cell r="D1075" t="str">
            <v>CNY</v>
          </cell>
          <cell r="E1075" t="str">
            <v>PCS</v>
          </cell>
          <cell r="F1075">
            <v>3.6854999999999998</v>
          </cell>
        </row>
        <row r="1076">
          <cell r="C1076">
            <v>2100300471</v>
          </cell>
          <cell r="D1076" t="str">
            <v>CNY</v>
          </cell>
          <cell r="E1076" t="str">
            <v>PCS</v>
          </cell>
          <cell r="F1076">
            <v>1.4280000000000002</v>
          </cell>
        </row>
        <row r="1077">
          <cell r="C1077">
            <v>2100300483</v>
          </cell>
          <cell r="D1077" t="str">
            <v>CNY</v>
          </cell>
          <cell r="E1077" t="str">
            <v>PCS</v>
          </cell>
          <cell r="F1077">
            <v>1.7849999999999999</v>
          </cell>
        </row>
        <row r="1078">
          <cell r="C1078">
            <v>2100300494</v>
          </cell>
          <cell r="D1078" t="str">
            <v>CNY</v>
          </cell>
          <cell r="E1078" t="str">
            <v>PCS</v>
          </cell>
          <cell r="F1078">
            <v>1.3860000000000001</v>
          </cell>
        </row>
        <row r="1079">
          <cell r="C1079">
            <v>2100300581</v>
          </cell>
          <cell r="D1079" t="str">
            <v>CNY</v>
          </cell>
          <cell r="E1079" t="str">
            <v>PCS</v>
          </cell>
          <cell r="F1079">
            <v>1.8375000000000001</v>
          </cell>
        </row>
        <row r="1080">
          <cell r="C1080">
            <v>2100301112</v>
          </cell>
          <cell r="D1080" t="str">
            <v>CNY</v>
          </cell>
          <cell r="E1080" t="str">
            <v>PCS</v>
          </cell>
          <cell r="F1080">
            <v>1.7010000000000003</v>
          </cell>
        </row>
        <row r="1081">
          <cell r="C1081">
            <v>2100301123</v>
          </cell>
          <cell r="D1081" t="str">
            <v>CNY</v>
          </cell>
          <cell r="E1081" t="str">
            <v>PCS</v>
          </cell>
          <cell r="F1081">
            <v>2.0685000000000002</v>
          </cell>
        </row>
        <row r="1082">
          <cell r="C1082">
            <v>2100301161</v>
          </cell>
          <cell r="D1082" t="str">
            <v>CNY</v>
          </cell>
          <cell r="E1082" t="str">
            <v>PCS</v>
          </cell>
          <cell r="F1082">
            <v>1.8165</v>
          </cell>
        </row>
        <row r="1083">
          <cell r="C1083">
            <v>2100301211</v>
          </cell>
          <cell r="D1083" t="str">
            <v>CNY</v>
          </cell>
          <cell r="E1083" t="str">
            <v>PCS</v>
          </cell>
          <cell r="F1083">
            <v>2.1420000000000003</v>
          </cell>
        </row>
        <row r="1084">
          <cell r="C1084">
            <v>2100301221</v>
          </cell>
          <cell r="D1084" t="str">
            <v>CNY</v>
          </cell>
          <cell r="E1084" t="str">
            <v>PCS</v>
          </cell>
          <cell r="F1084">
            <v>1.7115</v>
          </cell>
        </row>
        <row r="1085">
          <cell r="C1085">
            <v>2100301301</v>
          </cell>
          <cell r="D1085" t="str">
            <v>CNY</v>
          </cell>
          <cell r="E1085" t="str">
            <v>PCS</v>
          </cell>
          <cell r="F1085">
            <v>1.3650000000000002</v>
          </cell>
        </row>
        <row r="1086">
          <cell r="C1086">
            <v>2100301361</v>
          </cell>
          <cell r="D1086" t="str">
            <v>CNY</v>
          </cell>
          <cell r="E1086" t="str">
            <v>PCS</v>
          </cell>
          <cell r="F1086">
            <v>1.512</v>
          </cell>
        </row>
        <row r="1087">
          <cell r="C1087">
            <v>2100301691</v>
          </cell>
          <cell r="D1087" t="str">
            <v>CNY</v>
          </cell>
          <cell r="E1087" t="str">
            <v>PCS</v>
          </cell>
          <cell r="F1087">
            <v>1.1550000000000002</v>
          </cell>
        </row>
        <row r="1088">
          <cell r="C1088">
            <v>2100301730</v>
          </cell>
          <cell r="D1088" t="str">
            <v>CNY</v>
          </cell>
          <cell r="E1088" t="str">
            <v>PCS</v>
          </cell>
          <cell r="F1088">
            <v>1.1025</v>
          </cell>
        </row>
        <row r="1089">
          <cell r="C1089">
            <v>2100301740</v>
          </cell>
          <cell r="D1089" t="str">
            <v>CNY</v>
          </cell>
          <cell r="E1089" t="str">
            <v>PCS</v>
          </cell>
          <cell r="F1089">
            <v>2.3310000000000004</v>
          </cell>
        </row>
        <row r="1090">
          <cell r="C1090">
            <v>2110100011</v>
          </cell>
          <cell r="D1090" t="str">
            <v>CNY</v>
          </cell>
          <cell r="E1090" t="str">
            <v>PCS</v>
          </cell>
          <cell r="F1090">
            <v>0.44624999999999998</v>
          </cell>
        </row>
        <row r="1091">
          <cell r="C1091">
            <v>2110100012</v>
          </cell>
          <cell r="D1091" t="str">
            <v>CNY</v>
          </cell>
          <cell r="E1091" t="str">
            <v>PCS</v>
          </cell>
          <cell r="F1091">
            <v>0.40884900000000002</v>
          </cell>
        </row>
        <row r="1092">
          <cell r="C1092">
            <v>2110100041</v>
          </cell>
          <cell r="D1092" t="str">
            <v>CNY</v>
          </cell>
          <cell r="E1092" t="str">
            <v>PCS</v>
          </cell>
          <cell r="F1092">
            <v>0.230349</v>
          </cell>
        </row>
        <row r="1093">
          <cell r="C1093">
            <v>2110100062</v>
          </cell>
          <cell r="D1093" t="str">
            <v>CNY</v>
          </cell>
          <cell r="E1093" t="str">
            <v>PCS</v>
          </cell>
          <cell r="F1093">
            <v>0.64575000000000005</v>
          </cell>
        </row>
        <row r="1094">
          <cell r="C1094">
            <v>2110100641</v>
          </cell>
          <cell r="D1094" t="str">
            <v>CNY</v>
          </cell>
          <cell r="E1094" t="str">
            <v>PCS</v>
          </cell>
          <cell r="F1094">
            <v>0.78960000000000008</v>
          </cell>
        </row>
        <row r="1095">
          <cell r="C1095">
            <v>2110300062</v>
          </cell>
          <cell r="D1095" t="str">
            <v>CNY</v>
          </cell>
          <cell r="E1095" t="str">
            <v>PCS</v>
          </cell>
          <cell r="F1095">
            <v>0.18165000000000001</v>
          </cell>
        </row>
        <row r="1096">
          <cell r="C1096">
            <v>2110300072</v>
          </cell>
          <cell r="D1096" t="str">
            <v>CNY</v>
          </cell>
          <cell r="E1096" t="str">
            <v>PCS</v>
          </cell>
          <cell r="F1096">
            <v>0.18375</v>
          </cell>
        </row>
        <row r="1097">
          <cell r="C1097">
            <v>2110300154</v>
          </cell>
          <cell r="D1097" t="str">
            <v>CNY</v>
          </cell>
          <cell r="E1097" t="str">
            <v>PCS</v>
          </cell>
          <cell r="F1097">
            <v>0.28350000000000003</v>
          </cell>
        </row>
        <row r="1098">
          <cell r="C1098">
            <v>2110300211</v>
          </cell>
          <cell r="D1098" t="str">
            <v>CNY</v>
          </cell>
          <cell r="E1098" t="str">
            <v>PCS</v>
          </cell>
          <cell r="F1098">
            <v>0.18165000000000001</v>
          </cell>
        </row>
        <row r="1099">
          <cell r="C1099">
            <v>2110300261</v>
          </cell>
          <cell r="D1099" t="str">
            <v>CNY</v>
          </cell>
          <cell r="E1099" t="str">
            <v>PCS</v>
          </cell>
          <cell r="F1099">
            <v>0.18165000000000001</v>
          </cell>
        </row>
        <row r="1100">
          <cell r="C1100">
            <v>2110300281</v>
          </cell>
          <cell r="D1100" t="str">
            <v>CNY</v>
          </cell>
          <cell r="E1100" t="str">
            <v>PCS</v>
          </cell>
          <cell r="F1100">
            <v>0.20051850000000002</v>
          </cell>
        </row>
        <row r="1101">
          <cell r="C1101">
            <v>2110300301</v>
          </cell>
          <cell r="D1101" t="str">
            <v>CNY</v>
          </cell>
          <cell r="E1101" t="str">
            <v>PCS</v>
          </cell>
          <cell r="F1101">
            <v>0.97572300000000001</v>
          </cell>
        </row>
        <row r="1102">
          <cell r="C1102">
            <v>2110300610</v>
          </cell>
          <cell r="D1102" t="str">
            <v>CNY</v>
          </cell>
          <cell r="E1102" t="str">
            <v>PCS</v>
          </cell>
          <cell r="F1102">
            <v>0.23100000000000001</v>
          </cell>
        </row>
        <row r="1103">
          <cell r="C1103">
            <v>2110300750</v>
          </cell>
          <cell r="D1103" t="str">
            <v>CNY</v>
          </cell>
          <cell r="E1103" t="str">
            <v>PCS</v>
          </cell>
          <cell r="F1103">
            <v>0.22564500000000001</v>
          </cell>
        </row>
        <row r="1104">
          <cell r="C1104">
            <v>2110301290</v>
          </cell>
          <cell r="D1104" t="str">
            <v>CNY</v>
          </cell>
          <cell r="E1104" t="str">
            <v>PCS</v>
          </cell>
          <cell r="F1104">
            <v>0.23100000000000001</v>
          </cell>
        </row>
        <row r="1105">
          <cell r="C1105">
            <v>2110301430</v>
          </cell>
          <cell r="D1105" t="str">
            <v>CNY</v>
          </cell>
          <cell r="E1105" t="str">
            <v>PCS</v>
          </cell>
          <cell r="F1105">
            <v>0.27090000000000003</v>
          </cell>
        </row>
        <row r="1106">
          <cell r="C1106">
            <v>2110301440</v>
          </cell>
          <cell r="D1106" t="str">
            <v>CNY</v>
          </cell>
          <cell r="E1106" t="str">
            <v>PCS</v>
          </cell>
          <cell r="F1106">
            <v>0.19450200000000004</v>
          </cell>
        </row>
        <row r="1107">
          <cell r="C1107">
            <v>2110301450</v>
          </cell>
          <cell r="D1107" t="str">
            <v>CNY</v>
          </cell>
          <cell r="E1107" t="str">
            <v>PCS</v>
          </cell>
          <cell r="F1107">
            <v>0.19450200000000004</v>
          </cell>
        </row>
        <row r="1108">
          <cell r="C1108">
            <v>2110301620</v>
          </cell>
          <cell r="D1108" t="str">
            <v>CNY</v>
          </cell>
          <cell r="E1108" t="str">
            <v>PCS</v>
          </cell>
          <cell r="F1108">
            <v>0.49874999999999997</v>
          </cell>
        </row>
        <row r="1109">
          <cell r="C1109">
            <v>2110700111</v>
          </cell>
          <cell r="D1109" t="str">
            <v>CNY</v>
          </cell>
          <cell r="E1109" t="str">
            <v>PCS</v>
          </cell>
          <cell r="F1109">
            <v>1.024632</v>
          </cell>
        </row>
        <row r="1110">
          <cell r="C1110">
            <v>2120300111</v>
          </cell>
          <cell r="D1110" t="str">
            <v>CNY</v>
          </cell>
          <cell r="E1110" t="str">
            <v>PCS</v>
          </cell>
          <cell r="F1110">
            <v>2.3100000000000005</v>
          </cell>
        </row>
        <row r="1111">
          <cell r="C1111">
            <v>2120301862</v>
          </cell>
          <cell r="D1111" t="str">
            <v>CNY</v>
          </cell>
          <cell r="E1111" t="str">
            <v>PCS</v>
          </cell>
          <cell r="F1111">
            <v>1.8585</v>
          </cell>
        </row>
        <row r="1112">
          <cell r="C1112">
            <v>2120302131</v>
          </cell>
          <cell r="D1112" t="str">
            <v>CNY</v>
          </cell>
          <cell r="E1112" t="str">
            <v>PCS</v>
          </cell>
          <cell r="F1112">
            <v>2.2050000000000001</v>
          </cell>
        </row>
        <row r="1113">
          <cell r="C1113">
            <v>2120302301</v>
          </cell>
          <cell r="D1113" t="str">
            <v>CNY</v>
          </cell>
          <cell r="E1113" t="str">
            <v>PCS</v>
          </cell>
          <cell r="F1113">
            <v>1.974</v>
          </cell>
        </row>
        <row r="1114">
          <cell r="C1114">
            <v>2120302302</v>
          </cell>
          <cell r="D1114" t="str">
            <v>CNY</v>
          </cell>
          <cell r="E1114" t="str">
            <v>PCS</v>
          </cell>
          <cell r="F1114">
            <v>2.2050000000000001</v>
          </cell>
        </row>
        <row r="1115">
          <cell r="C1115">
            <v>2120302761</v>
          </cell>
          <cell r="D1115" t="str">
            <v>CNY</v>
          </cell>
          <cell r="E1115" t="str">
            <v>PCS</v>
          </cell>
          <cell r="F1115">
            <v>2.7300000000000004</v>
          </cell>
        </row>
        <row r="1116">
          <cell r="C1116">
            <v>2120302791</v>
          </cell>
          <cell r="D1116" t="str">
            <v>CNY</v>
          </cell>
          <cell r="E1116" t="str">
            <v>PCS</v>
          </cell>
          <cell r="F1116">
            <v>2.3205</v>
          </cell>
        </row>
        <row r="1117">
          <cell r="C1117">
            <v>2120302841</v>
          </cell>
          <cell r="D1117" t="str">
            <v>CNY</v>
          </cell>
          <cell r="E1117" t="str">
            <v>PCS</v>
          </cell>
          <cell r="F1117">
            <v>2.6985000000000001</v>
          </cell>
        </row>
        <row r="1118">
          <cell r="C1118">
            <v>2120303360</v>
          </cell>
          <cell r="D1118" t="str">
            <v>CNY</v>
          </cell>
          <cell r="E1118" t="str">
            <v>PCS</v>
          </cell>
          <cell r="F1118">
            <v>1.9425000000000001</v>
          </cell>
        </row>
        <row r="1119">
          <cell r="C1119">
            <v>2120303450</v>
          </cell>
          <cell r="D1119" t="str">
            <v>CNY</v>
          </cell>
          <cell r="E1119" t="str">
            <v>PCS</v>
          </cell>
          <cell r="F1119">
            <v>2.9925000000000002</v>
          </cell>
        </row>
        <row r="1120">
          <cell r="C1120">
            <v>2120303460</v>
          </cell>
          <cell r="D1120" t="str">
            <v>CNY</v>
          </cell>
          <cell r="E1120" t="str">
            <v>PCS</v>
          </cell>
          <cell r="F1120">
            <v>2.8875000000000002</v>
          </cell>
        </row>
        <row r="1121">
          <cell r="C1121">
            <v>2120304121</v>
          </cell>
          <cell r="D1121" t="str">
            <v>CNY</v>
          </cell>
          <cell r="E1121" t="str">
            <v>PCS</v>
          </cell>
          <cell r="F1121">
            <v>1.47</v>
          </cell>
        </row>
        <row r="1122">
          <cell r="C1122">
            <v>2120304241</v>
          </cell>
          <cell r="D1122" t="str">
            <v>CNY</v>
          </cell>
          <cell r="E1122" t="str">
            <v>PCS</v>
          </cell>
          <cell r="F1122">
            <v>1.8375000000000001</v>
          </cell>
        </row>
        <row r="1123">
          <cell r="C1123">
            <v>2120305071</v>
          </cell>
          <cell r="D1123" t="str">
            <v>CNY</v>
          </cell>
          <cell r="E1123" t="str">
            <v>PCS</v>
          </cell>
          <cell r="F1123">
            <v>1.5225</v>
          </cell>
        </row>
        <row r="1124">
          <cell r="C1124">
            <v>2120305072</v>
          </cell>
          <cell r="D1124" t="str">
            <v>CNY</v>
          </cell>
          <cell r="E1124" t="str">
            <v>PCS</v>
          </cell>
          <cell r="F1124">
            <v>2.1</v>
          </cell>
        </row>
        <row r="1125">
          <cell r="C1125">
            <v>2120305221</v>
          </cell>
          <cell r="D1125" t="str">
            <v>CNY</v>
          </cell>
          <cell r="E1125" t="str">
            <v>PCS</v>
          </cell>
          <cell r="F1125">
            <v>2.3310000000000004</v>
          </cell>
        </row>
        <row r="1126">
          <cell r="C1126">
            <v>2120305522</v>
          </cell>
          <cell r="D1126" t="str">
            <v>CNY</v>
          </cell>
          <cell r="E1126" t="str">
            <v>PCS</v>
          </cell>
          <cell r="F1126">
            <v>4.9350000000000005</v>
          </cell>
        </row>
        <row r="1127">
          <cell r="C1127">
            <v>2120305682</v>
          </cell>
          <cell r="D1127" t="str">
            <v>CNY</v>
          </cell>
          <cell r="E1127" t="str">
            <v>PCS</v>
          </cell>
          <cell r="F1127">
            <v>6.93</v>
          </cell>
        </row>
        <row r="1128">
          <cell r="C1128">
            <v>2120305691</v>
          </cell>
          <cell r="D1128" t="str">
            <v>CNY</v>
          </cell>
          <cell r="E1128" t="str">
            <v>PCS</v>
          </cell>
          <cell r="F1128">
            <v>7.3500000000000005</v>
          </cell>
        </row>
        <row r="1129">
          <cell r="C1129">
            <v>2120306101</v>
          </cell>
          <cell r="D1129" t="str">
            <v>CNY</v>
          </cell>
          <cell r="E1129" t="str">
            <v>PCS</v>
          </cell>
          <cell r="F1129">
            <v>1.764</v>
          </cell>
        </row>
        <row r="1130">
          <cell r="C1130">
            <v>2120306171</v>
          </cell>
          <cell r="D1130" t="str">
            <v>CNY</v>
          </cell>
          <cell r="E1130" t="str">
            <v>PCS</v>
          </cell>
          <cell r="F1130">
            <v>0.95550000000000013</v>
          </cell>
        </row>
        <row r="1131">
          <cell r="C1131">
            <v>2120306540</v>
          </cell>
          <cell r="D1131" t="str">
            <v>CNY</v>
          </cell>
          <cell r="E1131" t="str">
            <v>PCS</v>
          </cell>
          <cell r="F1131">
            <v>2.1</v>
          </cell>
        </row>
        <row r="1132">
          <cell r="C1132">
            <v>2120306600</v>
          </cell>
          <cell r="D1132" t="str">
            <v>CNY</v>
          </cell>
          <cell r="E1132" t="str">
            <v>PCS</v>
          </cell>
          <cell r="F1132">
            <v>1.8375000000000001</v>
          </cell>
        </row>
        <row r="1133">
          <cell r="C1133">
            <v>2120306900</v>
          </cell>
          <cell r="D1133" t="str">
            <v>CNY</v>
          </cell>
          <cell r="E1133" t="str">
            <v>PCS</v>
          </cell>
          <cell r="F1133">
            <v>2.0474999999999999</v>
          </cell>
        </row>
        <row r="1134">
          <cell r="C1134">
            <v>2120307111</v>
          </cell>
          <cell r="D1134" t="str">
            <v>CNY</v>
          </cell>
          <cell r="E1134" t="str">
            <v>PCS</v>
          </cell>
          <cell r="F1134">
            <v>7.9799999999999995</v>
          </cell>
        </row>
        <row r="1135">
          <cell r="C1135">
            <v>2120307170</v>
          </cell>
          <cell r="D1135" t="str">
            <v>CNY</v>
          </cell>
          <cell r="E1135" t="str">
            <v>PCS</v>
          </cell>
          <cell r="F1135">
            <v>1.8480000000000001</v>
          </cell>
        </row>
        <row r="1136">
          <cell r="C1136">
            <v>2130101252</v>
          </cell>
          <cell r="D1136" t="str">
            <v>CNY</v>
          </cell>
          <cell r="E1136" t="str">
            <v>PCS</v>
          </cell>
          <cell r="F1136">
            <v>0.80850000000000011</v>
          </cell>
        </row>
        <row r="1137">
          <cell r="C1137">
            <v>2130101421</v>
          </cell>
          <cell r="D1137" t="str">
            <v>CNY</v>
          </cell>
          <cell r="E1137" t="str">
            <v>PCS</v>
          </cell>
          <cell r="F1137">
            <v>0.97125000000000006</v>
          </cell>
        </row>
        <row r="1138">
          <cell r="C1138">
            <v>2130101610</v>
          </cell>
          <cell r="D1138" t="str">
            <v>CNY</v>
          </cell>
          <cell r="E1138" t="str">
            <v>PCS</v>
          </cell>
          <cell r="F1138">
            <v>0.71400000000000008</v>
          </cell>
        </row>
        <row r="1139">
          <cell r="C1139">
            <v>2140100311</v>
          </cell>
          <cell r="D1139" t="str">
            <v>CNY</v>
          </cell>
          <cell r="E1139" t="str">
            <v>PCS</v>
          </cell>
          <cell r="F1139">
            <v>4.7817000000000007</v>
          </cell>
        </row>
        <row r="1140">
          <cell r="C1140">
            <v>2140100451</v>
          </cell>
          <cell r="D1140" t="str">
            <v>CNY</v>
          </cell>
          <cell r="E1140" t="str">
            <v>PCS</v>
          </cell>
          <cell r="F1140">
            <v>3.9060000000000006</v>
          </cell>
        </row>
        <row r="1141">
          <cell r="C1141">
            <v>2140100501</v>
          </cell>
          <cell r="D1141" t="str">
            <v>CNY</v>
          </cell>
          <cell r="E1141" t="str">
            <v>PCS</v>
          </cell>
          <cell r="F1141">
            <v>4.0845000000000002</v>
          </cell>
        </row>
        <row r="1142">
          <cell r="C1142">
            <v>2140100571</v>
          </cell>
          <cell r="D1142" t="str">
            <v>CNY</v>
          </cell>
          <cell r="E1142" t="str">
            <v>PCS</v>
          </cell>
          <cell r="F1142">
            <v>3.9899999999999998</v>
          </cell>
        </row>
        <row r="1143">
          <cell r="C1143">
            <v>2140100821</v>
          </cell>
          <cell r="D1143" t="str">
            <v>CNY</v>
          </cell>
          <cell r="E1143" t="str">
            <v>PCS</v>
          </cell>
          <cell r="F1143">
            <v>2.2260000000000004</v>
          </cell>
        </row>
        <row r="1144">
          <cell r="C1144">
            <v>2140101920</v>
          </cell>
          <cell r="D1144" t="str">
            <v>CNY</v>
          </cell>
          <cell r="E1144" t="str">
            <v>PCS</v>
          </cell>
          <cell r="F1144">
            <v>4.4981999999999998</v>
          </cell>
        </row>
        <row r="1145">
          <cell r="C1145">
            <v>2140102360</v>
          </cell>
          <cell r="D1145" t="str">
            <v>CNY</v>
          </cell>
          <cell r="E1145" t="str">
            <v>PCS</v>
          </cell>
          <cell r="F1145">
            <v>50.788499999999999</v>
          </cell>
        </row>
        <row r="1146">
          <cell r="C1146">
            <v>2140102370</v>
          </cell>
          <cell r="D1146" t="str">
            <v>CNY</v>
          </cell>
          <cell r="E1146" t="str">
            <v>PCS</v>
          </cell>
          <cell r="F1146">
            <v>23.1</v>
          </cell>
        </row>
        <row r="1147">
          <cell r="C1147">
            <v>2140102390</v>
          </cell>
          <cell r="D1147" t="str">
            <v>CNY</v>
          </cell>
          <cell r="E1147" t="str">
            <v>PCS</v>
          </cell>
          <cell r="F1147">
            <v>3.6991500000000004</v>
          </cell>
        </row>
        <row r="1148">
          <cell r="C1148">
            <v>2140102500</v>
          </cell>
          <cell r="D1148" t="str">
            <v>CNY</v>
          </cell>
          <cell r="E1148" t="str">
            <v>PCS</v>
          </cell>
          <cell r="F1148">
            <v>2.9715000000000003</v>
          </cell>
        </row>
        <row r="1149">
          <cell r="C1149">
            <v>2140102560</v>
          </cell>
          <cell r="D1149" t="str">
            <v>CNY</v>
          </cell>
          <cell r="E1149" t="str">
            <v>PCS</v>
          </cell>
          <cell r="F1149">
            <v>50.400000000000006</v>
          </cell>
        </row>
        <row r="1150">
          <cell r="C1150">
            <v>2140102660</v>
          </cell>
          <cell r="D1150" t="str">
            <v>CNY</v>
          </cell>
          <cell r="E1150" t="str">
            <v>PCS</v>
          </cell>
          <cell r="F1150">
            <v>19.95</v>
          </cell>
        </row>
        <row r="1151">
          <cell r="C1151">
            <v>2140103010</v>
          </cell>
          <cell r="D1151" t="str">
            <v>CNY</v>
          </cell>
          <cell r="E1151" t="str">
            <v>PCS</v>
          </cell>
          <cell r="F1151">
            <v>3.1395000000000004</v>
          </cell>
        </row>
        <row r="1152">
          <cell r="C1152">
            <v>2140103040</v>
          </cell>
          <cell r="D1152" t="str">
            <v>CNY</v>
          </cell>
          <cell r="E1152" t="str">
            <v>PCS</v>
          </cell>
          <cell r="F1152">
            <v>6.0375000000000005</v>
          </cell>
        </row>
        <row r="1153">
          <cell r="C1153">
            <v>2140103050</v>
          </cell>
          <cell r="D1153" t="str">
            <v>CNY</v>
          </cell>
          <cell r="E1153" t="str">
            <v>PCS</v>
          </cell>
          <cell r="F1153">
            <v>4.83</v>
          </cell>
        </row>
        <row r="1154">
          <cell r="C1154">
            <v>2140103060</v>
          </cell>
          <cell r="D1154" t="str">
            <v>CNY</v>
          </cell>
          <cell r="E1154" t="str">
            <v>PCS</v>
          </cell>
          <cell r="F1154">
            <v>5.9850000000000003</v>
          </cell>
        </row>
        <row r="1155">
          <cell r="C1155">
            <v>2140103220</v>
          </cell>
          <cell r="D1155" t="str">
            <v>CNY</v>
          </cell>
          <cell r="E1155" t="str">
            <v>PCS</v>
          </cell>
          <cell r="F1155">
            <v>23.1</v>
          </cell>
        </row>
        <row r="1156">
          <cell r="C1156">
            <v>2140103240</v>
          </cell>
          <cell r="D1156" t="str">
            <v>CNY</v>
          </cell>
          <cell r="E1156" t="str">
            <v>PCS</v>
          </cell>
          <cell r="F1156">
            <v>19.32</v>
          </cell>
        </row>
        <row r="1157">
          <cell r="C1157">
            <v>2140103280</v>
          </cell>
          <cell r="D1157" t="str">
            <v>CNY</v>
          </cell>
          <cell r="E1157" t="str">
            <v>PCS</v>
          </cell>
          <cell r="F1157">
            <v>3.3915000000000002</v>
          </cell>
        </row>
        <row r="1158">
          <cell r="C1158">
            <v>2140103300</v>
          </cell>
          <cell r="D1158" t="str">
            <v>CNY</v>
          </cell>
          <cell r="E1158" t="str">
            <v>PCS</v>
          </cell>
          <cell r="F1158">
            <v>3.7800000000000002</v>
          </cell>
        </row>
        <row r="1159">
          <cell r="C1159">
            <v>2140103350</v>
          </cell>
          <cell r="D1159" t="str">
            <v>CNY</v>
          </cell>
          <cell r="E1159" t="str">
            <v>PCS</v>
          </cell>
          <cell r="F1159">
            <v>0.28350000000000003</v>
          </cell>
        </row>
        <row r="1160">
          <cell r="C1160">
            <v>2140103580</v>
          </cell>
          <cell r="D1160" t="str">
            <v>CNY</v>
          </cell>
          <cell r="E1160" t="str">
            <v>PCS</v>
          </cell>
          <cell r="F1160">
            <v>4.2</v>
          </cell>
        </row>
        <row r="1161">
          <cell r="C1161">
            <v>2140103650</v>
          </cell>
          <cell r="D1161" t="str">
            <v>CNY</v>
          </cell>
          <cell r="E1161" t="str">
            <v>PCS</v>
          </cell>
          <cell r="F1161">
            <v>73.5</v>
          </cell>
        </row>
        <row r="1162">
          <cell r="C1162">
            <v>2140103660</v>
          </cell>
          <cell r="D1162" t="str">
            <v>CNY</v>
          </cell>
          <cell r="E1162" t="str">
            <v>PCS</v>
          </cell>
          <cell r="F1162">
            <v>8.4</v>
          </cell>
        </row>
        <row r="1163">
          <cell r="C1163">
            <v>2140103710</v>
          </cell>
          <cell r="D1163" t="str">
            <v>CNY</v>
          </cell>
          <cell r="E1163" t="str">
            <v>PCS</v>
          </cell>
          <cell r="F1163">
            <v>3.7275</v>
          </cell>
        </row>
        <row r="1164">
          <cell r="C1164">
            <v>2140104060</v>
          </cell>
          <cell r="D1164" t="str">
            <v>CNY</v>
          </cell>
          <cell r="E1164" t="str">
            <v>PCS</v>
          </cell>
          <cell r="F1164">
            <v>6.3315000000000001</v>
          </cell>
        </row>
        <row r="1165">
          <cell r="C1165">
            <v>2140104070</v>
          </cell>
          <cell r="D1165" t="str">
            <v>CNY</v>
          </cell>
          <cell r="E1165" t="str">
            <v>PCS</v>
          </cell>
          <cell r="F1165">
            <v>5.25</v>
          </cell>
        </row>
        <row r="1166">
          <cell r="C1166">
            <v>2140104080</v>
          </cell>
          <cell r="D1166" t="str">
            <v>CNY</v>
          </cell>
          <cell r="E1166" t="str">
            <v>PCS</v>
          </cell>
          <cell r="F1166">
            <v>2.1714000000000002</v>
          </cell>
        </row>
        <row r="1167">
          <cell r="C1167">
            <v>2140104280</v>
          </cell>
          <cell r="D1167" t="str">
            <v>CNY</v>
          </cell>
          <cell r="E1167" t="str">
            <v>PCS</v>
          </cell>
          <cell r="F1167">
            <v>3.99735</v>
          </cell>
        </row>
        <row r="1168">
          <cell r="C1168">
            <v>2140105290</v>
          </cell>
          <cell r="D1168" t="str">
            <v>CNY</v>
          </cell>
          <cell r="E1168" t="str">
            <v>PCS</v>
          </cell>
          <cell r="F1168">
            <v>1.9425000000000001</v>
          </cell>
        </row>
        <row r="1169">
          <cell r="C1169">
            <v>2140300060</v>
          </cell>
          <cell r="D1169" t="str">
            <v>CNY</v>
          </cell>
          <cell r="E1169" t="str">
            <v>PCS</v>
          </cell>
          <cell r="F1169">
            <v>0.12075000000000001</v>
          </cell>
        </row>
        <row r="1170">
          <cell r="C1170">
            <v>2140300070</v>
          </cell>
          <cell r="D1170" t="str">
            <v>CNY</v>
          </cell>
          <cell r="E1170" t="str">
            <v>PCS</v>
          </cell>
          <cell r="F1170">
            <v>7.4329500000000007E-2</v>
          </cell>
        </row>
        <row r="1171">
          <cell r="C1171">
            <v>2140300080</v>
          </cell>
          <cell r="D1171" t="str">
            <v>CNY</v>
          </cell>
          <cell r="E1171" t="str">
            <v>PCS</v>
          </cell>
          <cell r="F1171">
            <v>4.6199999999999998E-2</v>
          </cell>
        </row>
        <row r="1172">
          <cell r="C1172">
            <v>2140300300</v>
          </cell>
          <cell r="D1172" t="str">
            <v>CNY</v>
          </cell>
          <cell r="E1172" t="str">
            <v>PCS</v>
          </cell>
          <cell r="F1172">
            <v>29.734509000000003</v>
          </cell>
        </row>
        <row r="1173">
          <cell r="C1173">
            <v>2140300360</v>
          </cell>
          <cell r="D1173" t="str">
            <v>CNY</v>
          </cell>
          <cell r="E1173" t="str">
            <v>PCS</v>
          </cell>
          <cell r="F1173">
            <v>6.6150000000000002</v>
          </cell>
        </row>
        <row r="1174">
          <cell r="C1174">
            <v>2140500020</v>
          </cell>
          <cell r="D1174" t="str">
            <v>CNY</v>
          </cell>
          <cell r="E1174" t="str">
            <v>PCS</v>
          </cell>
          <cell r="F1174">
            <v>11.340000000000002</v>
          </cell>
        </row>
        <row r="1175">
          <cell r="C1175">
            <v>2140500050</v>
          </cell>
          <cell r="D1175" t="str">
            <v>CNY</v>
          </cell>
          <cell r="E1175" t="str">
            <v>PCS</v>
          </cell>
          <cell r="F1175">
            <v>6.8250000000000002</v>
          </cell>
        </row>
        <row r="1176">
          <cell r="C1176">
            <v>2140500060</v>
          </cell>
          <cell r="D1176" t="str">
            <v>CNY</v>
          </cell>
          <cell r="E1176" t="str">
            <v>PCS</v>
          </cell>
          <cell r="F1176">
            <v>27.3</v>
          </cell>
        </row>
        <row r="1177">
          <cell r="C1177">
            <v>2140500110</v>
          </cell>
          <cell r="D1177" t="str">
            <v>CNY</v>
          </cell>
          <cell r="E1177" t="str">
            <v>PCS</v>
          </cell>
          <cell r="F1177">
            <v>7.245000000000001</v>
          </cell>
        </row>
        <row r="1178">
          <cell r="C1178">
            <v>2140500140</v>
          </cell>
          <cell r="D1178" t="str">
            <v>CNY</v>
          </cell>
          <cell r="E1178" t="str">
            <v>PCS</v>
          </cell>
          <cell r="F1178">
            <v>1.3860000000000001</v>
          </cell>
        </row>
        <row r="1179">
          <cell r="C1179">
            <v>2140500200</v>
          </cell>
          <cell r="D1179" t="str">
            <v>CNY</v>
          </cell>
          <cell r="E1179" t="str">
            <v>PCS</v>
          </cell>
          <cell r="F1179">
            <v>13.65</v>
          </cell>
        </row>
        <row r="1180">
          <cell r="C1180">
            <v>2140500210</v>
          </cell>
          <cell r="D1180" t="str">
            <v>CNY</v>
          </cell>
          <cell r="E1180" t="str">
            <v>PCS</v>
          </cell>
          <cell r="F1180">
            <v>11.151</v>
          </cell>
        </row>
        <row r="1181">
          <cell r="C1181">
            <v>2140500220</v>
          </cell>
          <cell r="D1181" t="str">
            <v>CNY</v>
          </cell>
          <cell r="E1181" t="str">
            <v>PCS</v>
          </cell>
          <cell r="F1181">
            <v>8.3580000000000005</v>
          </cell>
        </row>
        <row r="1182">
          <cell r="C1182">
            <v>2140500230</v>
          </cell>
          <cell r="D1182" t="str">
            <v>CNY</v>
          </cell>
          <cell r="E1182" t="str">
            <v>PCS</v>
          </cell>
          <cell r="F1182">
            <v>15.75</v>
          </cell>
        </row>
        <row r="1183">
          <cell r="C1183">
            <v>2140500300</v>
          </cell>
          <cell r="D1183" t="str">
            <v>CNY</v>
          </cell>
          <cell r="E1183" t="str">
            <v>PCS</v>
          </cell>
          <cell r="F1183">
            <v>8.9775000000000009</v>
          </cell>
        </row>
        <row r="1184">
          <cell r="C1184">
            <v>2150100010</v>
          </cell>
          <cell r="D1184" t="str">
            <v>CNY</v>
          </cell>
          <cell r="E1184" t="str">
            <v>PCS</v>
          </cell>
          <cell r="F1184">
            <v>3.5795444999999999</v>
          </cell>
        </row>
        <row r="1185">
          <cell r="C1185">
            <v>2150100020</v>
          </cell>
          <cell r="D1185" t="str">
            <v>CNY</v>
          </cell>
          <cell r="E1185" t="str">
            <v>PCS</v>
          </cell>
          <cell r="F1185">
            <v>7.245000000000001</v>
          </cell>
        </row>
        <row r="1186">
          <cell r="C1186">
            <v>2150100030</v>
          </cell>
          <cell r="D1186" t="str">
            <v>CNY</v>
          </cell>
          <cell r="E1186" t="str">
            <v>PCS</v>
          </cell>
          <cell r="F1186">
            <v>1.4277795000000002</v>
          </cell>
        </row>
        <row r="1187">
          <cell r="C1187">
            <v>2150100040</v>
          </cell>
          <cell r="D1187" t="str">
            <v>CNY</v>
          </cell>
          <cell r="E1187" t="str">
            <v>PCS</v>
          </cell>
          <cell r="F1187">
            <v>2.2897349999999999</v>
          </cell>
        </row>
        <row r="1188">
          <cell r="C1188">
            <v>2150100050</v>
          </cell>
          <cell r="D1188" t="str">
            <v>CNY</v>
          </cell>
          <cell r="E1188" t="str">
            <v>PCS</v>
          </cell>
          <cell r="F1188">
            <v>2.4810029999999998</v>
          </cell>
        </row>
        <row r="1189">
          <cell r="C1189">
            <v>2150100060</v>
          </cell>
          <cell r="D1189" t="str">
            <v>CNY</v>
          </cell>
          <cell r="E1189" t="str">
            <v>PCS</v>
          </cell>
          <cell r="F1189">
            <v>0.80322900000000008</v>
          </cell>
        </row>
        <row r="1190">
          <cell r="C1190">
            <v>2150100070</v>
          </cell>
          <cell r="D1190" t="str">
            <v>CNY</v>
          </cell>
          <cell r="E1190" t="str">
            <v>PCS</v>
          </cell>
          <cell r="F1190">
            <v>3.8648295000000004</v>
          </cell>
        </row>
        <row r="1191">
          <cell r="C1191">
            <v>2150100100</v>
          </cell>
          <cell r="D1191" t="str">
            <v>CNY</v>
          </cell>
          <cell r="E1191" t="str">
            <v>PCS</v>
          </cell>
          <cell r="F1191">
            <v>8.2267185000000005</v>
          </cell>
        </row>
        <row r="1192">
          <cell r="C1192">
            <v>2150100120</v>
          </cell>
          <cell r="D1192" t="str">
            <v>CNY</v>
          </cell>
          <cell r="E1192" t="str">
            <v>PCS</v>
          </cell>
          <cell r="F1192">
            <v>8.2267185000000005</v>
          </cell>
        </row>
        <row r="1193">
          <cell r="C1193">
            <v>2150100140</v>
          </cell>
          <cell r="D1193" t="str">
            <v>CNY</v>
          </cell>
          <cell r="E1193" t="str">
            <v>PCS</v>
          </cell>
          <cell r="F1193">
            <v>0.80322900000000008</v>
          </cell>
        </row>
        <row r="1194">
          <cell r="C1194">
            <v>2150100170</v>
          </cell>
          <cell r="D1194" t="str">
            <v>CNY</v>
          </cell>
          <cell r="E1194" t="str">
            <v>PCS</v>
          </cell>
          <cell r="F1194">
            <v>2.0257230000000002</v>
          </cell>
        </row>
        <row r="1195">
          <cell r="C1195">
            <v>2150100190</v>
          </cell>
          <cell r="D1195" t="str">
            <v>CNY</v>
          </cell>
          <cell r="E1195" t="str">
            <v>PCS</v>
          </cell>
          <cell r="F1195">
            <v>7.2435825000000005</v>
          </cell>
        </row>
        <row r="1196">
          <cell r="C1196">
            <v>2150100300</v>
          </cell>
          <cell r="D1196" t="str">
            <v>CNY</v>
          </cell>
          <cell r="E1196" t="str">
            <v>PCS</v>
          </cell>
          <cell r="F1196">
            <v>1.649634</v>
          </cell>
        </row>
        <row r="1197">
          <cell r="C1197">
            <v>2150100420</v>
          </cell>
          <cell r="D1197" t="str">
            <v>CNY</v>
          </cell>
          <cell r="E1197" t="str">
            <v>PCS</v>
          </cell>
          <cell r="F1197">
            <v>7.8445500000000001E-2</v>
          </cell>
        </row>
        <row r="1198">
          <cell r="C1198">
            <v>2150103670</v>
          </cell>
          <cell r="D1198" t="str">
            <v>CNY</v>
          </cell>
          <cell r="E1198" t="str">
            <v>PCS</v>
          </cell>
          <cell r="F1198">
            <v>2.4810029999999998</v>
          </cell>
        </row>
        <row r="1199">
          <cell r="C1199">
            <v>2150103680</v>
          </cell>
          <cell r="D1199" t="str">
            <v>CNY</v>
          </cell>
          <cell r="E1199" t="str">
            <v>PCS</v>
          </cell>
          <cell r="F1199">
            <v>2.2897349999999999</v>
          </cell>
        </row>
        <row r="1200">
          <cell r="C1200">
            <v>2150105100</v>
          </cell>
          <cell r="D1200" t="str">
            <v>CNY</v>
          </cell>
          <cell r="E1200" t="str">
            <v>PCS</v>
          </cell>
          <cell r="F1200">
            <v>1.9285350000000001</v>
          </cell>
        </row>
        <row r="1201">
          <cell r="C1201">
            <v>2150108010</v>
          </cell>
          <cell r="D1201" t="str">
            <v>CNY</v>
          </cell>
          <cell r="E1201" t="str">
            <v>PCS</v>
          </cell>
          <cell r="F1201">
            <v>0.37546949999999996</v>
          </cell>
        </row>
        <row r="1202">
          <cell r="C1202">
            <v>2150108110</v>
          </cell>
          <cell r="D1202" t="str">
            <v>CNY</v>
          </cell>
          <cell r="E1202" t="str">
            <v>PCS</v>
          </cell>
          <cell r="F1202">
            <v>1.1885580000000002</v>
          </cell>
        </row>
        <row r="1203">
          <cell r="C1203">
            <v>2150108170</v>
          </cell>
          <cell r="D1203" t="str">
            <v>CNY</v>
          </cell>
          <cell r="E1203" t="str">
            <v>PCS</v>
          </cell>
          <cell r="F1203">
            <v>0.43158149999999995</v>
          </cell>
        </row>
        <row r="1204">
          <cell r="C1204">
            <v>2150109770</v>
          </cell>
          <cell r="D1204" t="str">
            <v>CNY</v>
          </cell>
          <cell r="E1204" t="str">
            <v>PCS</v>
          </cell>
          <cell r="F1204">
            <v>8.2267185000000005</v>
          </cell>
        </row>
        <row r="1205">
          <cell r="C1205">
            <v>2150109970</v>
          </cell>
          <cell r="D1205" t="str">
            <v>CNY</v>
          </cell>
          <cell r="E1205" t="str">
            <v>PCS</v>
          </cell>
          <cell r="F1205">
            <v>1.1424210000000001</v>
          </cell>
        </row>
        <row r="1206">
          <cell r="C1206">
            <v>2150110110</v>
          </cell>
          <cell r="D1206" t="str">
            <v>CNY</v>
          </cell>
          <cell r="E1206" t="str">
            <v>PCS</v>
          </cell>
          <cell r="F1206">
            <v>2.0257230000000002</v>
          </cell>
        </row>
        <row r="1207">
          <cell r="C1207">
            <v>2150110290</v>
          </cell>
          <cell r="D1207" t="str">
            <v>CNY</v>
          </cell>
          <cell r="E1207" t="str">
            <v>PCS</v>
          </cell>
          <cell r="F1207">
            <v>3.9535965000000002</v>
          </cell>
        </row>
        <row r="1208">
          <cell r="C1208">
            <v>2150110380</v>
          </cell>
          <cell r="D1208" t="str">
            <v>CNY</v>
          </cell>
          <cell r="E1208" t="str">
            <v>PCS</v>
          </cell>
          <cell r="F1208">
            <v>8.6462774999999983</v>
          </cell>
        </row>
        <row r="1209">
          <cell r="C1209">
            <v>2150112130</v>
          </cell>
          <cell r="D1209" t="str">
            <v>CNY</v>
          </cell>
          <cell r="E1209" t="str">
            <v>PCS</v>
          </cell>
          <cell r="F1209">
            <v>0.55556550000000005</v>
          </cell>
        </row>
        <row r="1210">
          <cell r="C1210">
            <v>2150112750</v>
          </cell>
          <cell r="D1210" t="str">
            <v>CNY</v>
          </cell>
          <cell r="E1210" t="str">
            <v>PCS</v>
          </cell>
          <cell r="F1210">
            <v>3.5763000000000003E-2</v>
          </cell>
        </row>
        <row r="1211">
          <cell r="C1211">
            <v>2150118490</v>
          </cell>
          <cell r="D1211" t="str">
            <v>CNY</v>
          </cell>
          <cell r="E1211" t="str">
            <v>PCS</v>
          </cell>
          <cell r="F1211">
            <v>1.4277795000000002</v>
          </cell>
        </row>
        <row r="1212">
          <cell r="C1212">
            <v>2150118510</v>
          </cell>
          <cell r="D1212" t="str">
            <v>CNY</v>
          </cell>
          <cell r="E1212" t="str">
            <v>PCS</v>
          </cell>
          <cell r="F1212">
            <v>8.8035569999999996</v>
          </cell>
        </row>
        <row r="1213">
          <cell r="C1213">
            <v>2150118790</v>
          </cell>
          <cell r="D1213" t="str">
            <v>CNY</v>
          </cell>
          <cell r="E1213" t="str">
            <v>PCS</v>
          </cell>
          <cell r="F1213">
            <v>3.5795444999999999</v>
          </cell>
        </row>
        <row r="1214">
          <cell r="C1214">
            <v>2150118870</v>
          </cell>
          <cell r="D1214" t="str">
            <v>CNY</v>
          </cell>
          <cell r="E1214" t="str">
            <v>PCS</v>
          </cell>
          <cell r="F1214">
            <v>7.9280670000000004</v>
          </cell>
        </row>
        <row r="1215">
          <cell r="C1215">
            <v>2150119020</v>
          </cell>
          <cell r="D1215" t="str">
            <v>CNY</v>
          </cell>
          <cell r="E1215" t="str">
            <v>PCS</v>
          </cell>
          <cell r="F1215">
            <v>8.6462774999999983</v>
          </cell>
        </row>
        <row r="1216">
          <cell r="C1216">
            <v>2150119110</v>
          </cell>
          <cell r="D1216" t="str">
            <v>CNY</v>
          </cell>
          <cell r="E1216" t="str">
            <v>PCS</v>
          </cell>
          <cell r="F1216">
            <v>3.8648295000000004</v>
          </cell>
        </row>
        <row r="1217">
          <cell r="C1217">
            <v>2150119160</v>
          </cell>
          <cell r="D1217" t="str">
            <v>CNY</v>
          </cell>
          <cell r="E1217" t="str">
            <v>PCS</v>
          </cell>
          <cell r="F1217">
            <v>0.80322900000000008</v>
          </cell>
        </row>
        <row r="1218">
          <cell r="C1218">
            <v>2150119170</v>
          </cell>
          <cell r="D1218" t="str">
            <v>CNY</v>
          </cell>
          <cell r="E1218" t="str">
            <v>PCS</v>
          </cell>
          <cell r="F1218">
            <v>1.1424210000000001</v>
          </cell>
        </row>
        <row r="1219">
          <cell r="C1219">
            <v>2150119420</v>
          </cell>
          <cell r="D1219" t="str">
            <v>CNY</v>
          </cell>
          <cell r="E1219" t="str">
            <v>PCS</v>
          </cell>
          <cell r="F1219">
            <v>2.6922630000000001</v>
          </cell>
        </row>
        <row r="1220">
          <cell r="C1220">
            <v>2150120510</v>
          </cell>
          <cell r="D1220" t="str">
            <v>CNY</v>
          </cell>
          <cell r="E1220" t="str">
            <v>PCS</v>
          </cell>
          <cell r="F1220">
            <v>1.4277795000000002</v>
          </cell>
        </row>
        <row r="1221">
          <cell r="C1221">
            <v>2150121340</v>
          </cell>
          <cell r="D1221" t="str">
            <v>CNY</v>
          </cell>
          <cell r="E1221" t="str">
            <v>PCS</v>
          </cell>
          <cell r="F1221">
            <v>3.9535965000000002</v>
          </cell>
        </row>
        <row r="1222">
          <cell r="C1222">
            <v>2150121690</v>
          </cell>
          <cell r="D1222" t="str">
            <v>CNY</v>
          </cell>
          <cell r="E1222" t="str">
            <v>PCS</v>
          </cell>
          <cell r="F1222">
            <v>11.978673000000001</v>
          </cell>
        </row>
        <row r="1223">
          <cell r="C1223">
            <v>2150121700</v>
          </cell>
          <cell r="D1223" t="str">
            <v>CNY</v>
          </cell>
          <cell r="E1223" t="str">
            <v>PCS</v>
          </cell>
          <cell r="F1223">
            <v>7.9280670000000004</v>
          </cell>
        </row>
        <row r="1224">
          <cell r="C1224">
            <v>2150122720</v>
          </cell>
          <cell r="D1224" t="str">
            <v>CNY</v>
          </cell>
          <cell r="E1224" t="str">
            <v>PCS</v>
          </cell>
          <cell r="F1224">
            <v>7.245000000000001</v>
          </cell>
        </row>
        <row r="1225">
          <cell r="C1225">
            <v>2150122850</v>
          </cell>
          <cell r="D1225" t="str">
            <v>CNY</v>
          </cell>
          <cell r="E1225" t="str">
            <v>PCS</v>
          </cell>
          <cell r="F1225">
            <v>6.2972070000000002</v>
          </cell>
        </row>
        <row r="1226">
          <cell r="C1226">
            <v>2150125290</v>
          </cell>
          <cell r="D1226" t="str">
            <v>CNY</v>
          </cell>
          <cell r="E1226" t="str">
            <v>PCS</v>
          </cell>
          <cell r="F1226">
            <v>1.1080545000000002</v>
          </cell>
        </row>
        <row r="1227">
          <cell r="C1227">
            <v>2150126080</v>
          </cell>
          <cell r="D1227" t="str">
            <v>CNY</v>
          </cell>
          <cell r="E1227" t="str">
            <v>PCS</v>
          </cell>
          <cell r="F1227">
            <v>7.9245704999999997</v>
          </cell>
        </row>
        <row r="1228">
          <cell r="C1228">
            <v>2150126100</v>
          </cell>
          <cell r="D1228" t="str">
            <v>CNY</v>
          </cell>
          <cell r="E1228" t="str">
            <v>PCS</v>
          </cell>
          <cell r="F1228">
            <v>3.685038</v>
          </cell>
        </row>
        <row r="1229">
          <cell r="C1229">
            <v>2150126420</v>
          </cell>
          <cell r="D1229" t="str">
            <v>CNY</v>
          </cell>
          <cell r="E1229" t="str">
            <v>PCS</v>
          </cell>
          <cell r="F1229">
            <v>4.6810049999999999</v>
          </cell>
        </row>
        <row r="1230">
          <cell r="C1230">
            <v>2150127240</v>
          </cell>
          <cell r="D1230" t="str">
            <v>CNY</v>
          </cell>
          <cell r="E1230" t="str">
            <v>PCS</v>
          </cell>
          <cell r="F1230">
            <v>3.685038</v>
          </cell>
        </row>
        <row r="1231">
          <cell r="C1231">
            <v>2150127250</v>
          </cell>
          <cell r="D1231" t="str">
            <v>CNY</v>
          </cell>
          <cell r="E1231" t="str">
            <v>PCS</v>
          </cell>
          <cell r="F1231">
            <v>3.685038</v>
          </cell>
        </row>
        <row r="1232">
          <cell r="C1232">
            <v>2150127460</v>
          </cell>
          <cell r="D1232" t="str">
            <v>CNY</v>
          </cell>
          <cell r="E1232" t="str">
            <v>PCS</v>
          </cell>
          <cell r="F1232">
            <v>4.7838000000000006E-2</v>
          </cell>
        </row>
        <row r="1233">
          <cell r="C1233">
            <v>2150127530</v>
          </cell>
          <cell r="D1233" t="str">
            <v>CNY</v>
          </cell>
          <cell r="E1233" t="str">
            <v>PCS</v>
          </cell>
          <cell r="F1233">
            <v>7.9245704999999997</v>
          </cell>
        </row>
        <row r="1234">
          <cell r="C1234">
            <v>2150127650</v>
          </cell>
          <cell r="D1234" t="str">
            <v>CNY</v>
          </cell>
          <cell r="E1234" t="str">
            <v>PCS</v>
          </cell>
          <cell r="F1234">
            <v>2.2952265000000001</v>
          </cell>
        </row>
        <row r="1235">
          <cell r="C1235">
            <v>2150127660</v>
          </cell>
          <cell r="D1235" t="str">
            <v>CNY</v>
          </cell>
          <cell r="E1235" t="str">
            <v>PCS</v>
          </cell>
          <cell r="F1235">
            <v>2.1387975000000004</v>
          </cell>
        </row>
        <row r="1236">
          <cell r="C1236">
            <v>2150128740</v>
          </cell>
          <cell r="D1236" t="str">
            <v>CNY</v>
          </cell>
          <cell r="E1236" t="str">
            <v>PCS</v>
          </cell>
          <cell r="F1236">
            <v>7.9298310000000001</v>
          </cell>
        </row>
        <row r="1237">
          <cell r="C1237">
            <v>2150129310</v>
          </cell>
          <cell r="D1237" t="str">
            <v>CNY</v>
          </cell>
          <cell r="E1237" t="str">
            <v>PCS</v>
          </cell>
          <cell r="F1237">
            <v>1.1091359999999999</v>
          </cell>
        </row>
        <row r="1238">
          <cell r="C1238">
            <v>2150129710</v>
          </cell>
          <cell r="D1238" t="str">
            <v>CNY</v>
          </cell>
          <cell r="E1238" t="str">
            <v>PCS</v>
          </cell>
          <cell r="F1238">
            <v>2.3038365000000001</v>
          </cell>
        </row>
        <row r="1239">
          <cell r="C1239">
            <v>2150129750</v>
          </cell>
          <cell r="D1239" t="str">
            <v>CNY</v>
          </cell>
          <cell r="E1239" t="str">
            <v>PCS</v>
          </cell>
          <cell r="F1239">
            <v>11.978673000000001</v>
          </cell>
        </row>
        <row r="1240">
          <cell r="C1240">
            <v>2150130180</v>
          </cell>
          <cell r="D1240" t="str">
            <v>CNY</v>
          </cell>
          <cell r="E1240" t="str">
            <v>PCS</v>
          </cell>
          <cell r="F1240">
            <v>7.9280670000000004</v>
          </cell>
        </row>
        <row r="1241">
          <cell r="C1241">
            <v>2150130590</v>
          </cell>
          <cell r="D1241" t="str">
            <v>CNY</v>
          </cell>
          <cell r="E1241" t="str">
            <v>PCS</v>
          </cell>
          <cell r="F1241">
            <v>8.6462774999999983</v>
          </cell>
        </row>
        <row r="1242">
          <cell r="C1242">
            <v>2150131760</v>
          </cell>
          <cell r="D1242" t="str">
            <v>CNY</v>
          </cell>
          <cell r="E1242" t="str">
            <v>PCS</v>
          </cell>
          <cell r="F1242">
            <v>8.2304250000000003</v>
          </cell>
        </row>
        <row r="1243">
          <cell r="C1243">
            <v>2150132240</v>
          </cell>
          <cell r="D1243" t="str">
            <v>CNY</v>
          </cell>
          <cell r="E1243" t="str">
            <v>PCS</v>
          </cell>
          <cell r="F1243">
            <v>4.7827500000000002E-2</v>
          </cell>
        </row>
        <row r="1244">
          <cell r="C1244">
            <v>2150132250</v>
          </cell>
          <cell r="D1244" t="str">
            <v>CNY</v>
          </cell>
          <cell r="E1244" t="str">
            <v>PCS</v>
          </cell>
          <cell r="F1244">
            <v>2.2994370000000002</v>
          </cell>
        </row>
        <row r="1245">
          <cell r="C1245">
            <v>2150132270</v>
          </cell>
          <cell r="D1245" t="str">
            <v>CNY</v>
          </cell>
          <cell r="E1245" t="str">
            <v>PCS</v>
          </cell>
          <cell r="F1245">
            <v>11.978673000000001</v>
          </cell>
        </row>
        <row r="1246">
          <cell r="C1246">
            <v>2150133560</v>
          </cell>
          <cell r="D1246" t="str">
            <v>CNY</v>
          </cell>
          <cell r="E1246" t="str">
            <v>PCS</v>
          </cell>
          <cell r="F1246">
            <v>2.3039624999999999</v>
          </cell>
        </row>
        <row r="1247">
          <cell r="C1247">
            <v>2150133570</v>
          </cell>
          <cell r="D1247" t="str">
            <v>CNY</v>
          </cell>
          <cell r="E1247" t="str">
            <v>PCS</v>
          </cell>
          <cell r="F1247">
            <v>2.3039624999999999</v>
          </cell>
        </row>
        <row r="1248">
          <cell r="C1248">
            <v>2150134280</v>
          </cell>
          <cell r="D1248" t="str">
            <v>CNY</v>
          </cell>
          <cell r="E1248" t="str">
            <v>PCS</v>
          </cell>
          <cell r="F1248">
            <v>5.2993290000000002</v>
          </cell>
        </row>
        <row r="1249">
          <cell r="C1249">
            <v>2150135310</v>
          </cell>
          <cell r="D1249" t="str">
            <v>CNY</v>
          </cell>
          <cell r="E1249" t="str">
            <v>PCS</v>
          </cell>
          <cell r="F1249">
            <v>8.2276635000000002</v>
          </cell>
        </row>
        <row r="1250">
          <cell r="C1250">
            <v>2150136420</v>
          </cell>
          <cell r="D1250" t="str">
            <v>CNY</v>
          </cell>
          <cell r="E1250" t="str">
            <v>PCS</v>
          </cell>
          <cell r="F1250">
            <v>7.9280670000000004</v>
          </cell>
        </row>
        <row r="1251">
          <cell r="C1251">
            <v>2150136740</v>
          </cell>
          <cell r="D1251" t="str">
            <v>CNY</v>
          </cell>
          <cell r="E1251" t="str">
            <v>PCS</v>
          </cell>
          <cell r="F1251">
            <v>5.4659325000000001</v>
          </cell>
        </row>
        <row r="1252">
          <cell r="C1252">
            <v>2150136750</v>
          </cell>
          <cell r="D1252" t="str">
            <v>CNY</v>
          </cell>
          <cell r="E1252" t="str">
            <v>PCS</v>
          </cell>
          <cell r="F1252">
            <v>8.8035569999999996</v>
          </cell>
        </row>
        <row r="1253">
          <cell r="C1253">
            <v>2150138330</v>
          </cell>
          <cell r="D1253" t="str">
            <v>CNY</v>
          </cell>
          <cell r="E1253" t="str">
            <v>PCS</v>
          </cell>
          <cell r="F1253">
            <v>9.1403655000000015</v>
          </cell>
        </row>
        <row r="1254">
          <cell r="C1254">
            <v>2150138340</v>
          </cell>
          <cell r="D1254" t="str">
            <v>CNY</v>
          </cell>
          <cell r="E1254" t="str">
            <v>PCS</v>
          </cell>
          <cell r="F1254">
            <v>0.522123</v>
          </cell>
        </row>
        <row r="1255">
          <cell r="C1255">
            <v>2150138350</v>
          </cell>
          <cell r="D1255" t="str">
            <v>CNY</v>
          </cell>
          <cell r="E1255" t="str">
            <v>PCS</v>
          </cell>
          <cell r="F1255">
            <v>9.1388010000000008</v>
          </cell>
        </row>
        <row r="1256">
          <cell r="C1256">
            <v>2150141940</v>
          </cell>
          <cell r="D1256" t="str">
            <v>CNY</v>
          </cell>
          <cell r="E1256" t="str">
            <v>PCS</v>
          </cell>
          <cell r="F1256">
            <v>5.5185060000000004</v>
          </cell>
        </row>
        <row r="1257">
          <cell r="C1257">
            <v>2150142150</v>
          </cell>
          <cell r="D1257" t="str">
            <v>CNY</v>
          </cell>
          <cell r="E1257" t="str">
            <v>PCS</v>
          </cell>
          <cell r="F1257">
            <v>2.2952265000000001</v>
          </cell>
        </row>
        <row r="1258">
          <cell r="C1258">
            <v>2150142850</v>
          </cell>
          <cell r="D1258" t="str">
            <v>CNY</v>
          </cell>
          <cell r="E1258" t="str">
            <v>PCS</v>
          </cell>
          <cell r="F1258">
            <v>1.7148285000000001</v>
          </cell>
        </row>
        <row r="1259">
          <cell r="C1259">
            <v>2150142980</v>
          </cell>
          <cell r="D1259" t="str">
            <v>CNY</v>
          </cell>
          <cell r="E1259" t="str">
            <v>PCS</v>
          </cell>
          <cell r="F1259">
            <v>5.5185060000000004</v>
          </cell>
        </row>
        <row r="1260">
          <cell r="C1260">
            <v>2150143520</v>
          </cell>
          <cell r="D1260" t="str">
            <v>CNY</v>
          </cell>
          <cell r="E1260" t="str">
            <v>PCS</v>
          </cell>
          <cell r="F1260">
            <v>3.9592665</v>
          </cell>
        </row>
        <row r="1261">
          <cell r="C1261">
            <v>2150144440</v>
          </cell>
          <cell r="D1261" t="str">
            <v>CNY</v>
          </cell>
          <cell r="E1261" t="str">
            <v>PCS</v>
          </cell>
          <cell r="F1261">
            <v>2.1826980000000007</v>
          </cell>
        </row>
        <row r="1262">
          <cell r="C1262">
            <v>2150144940</v>
          </cell>
          <cell r="D1262" t="str">
            <v>CNY</v>
          </cell>
          <cell r="E1262" t="str">
            <v>PCS</v>
          </cell>
          <cell r="F1262">
            <v>7.9276785000000007</v>
          </cell>
        </row>
        <row r="1263">
          <cell r="C1263">
            <v>2150145660</v>
          </cell>
          <cell r="D1263" t="str">
            <v>CNY</v>
          </cell>
          <cell r="E1263" t="str">
            <v>PCS</v>
          </cell>
          <cell r="F1263">
            <v>7.9273005000000012</v>
          </cell>
        </row>
        <row r="1264">
          <cell r="C1264">
            <v>2150145670</v>
          </cell>
          <cell r="D1264" t="str">
            <v>CNY</v>
          </cell>
          <cell r="E1264" t="str">
            <v>PCS</v>
          </cell>
          <cell r="F1264">
            <v>9.1415204999999986</v>
          </cell>
        </row>
        <row r="1265">
          <cell r="C1265">
            <v>2150145700</v>
          </cell>
          <cell r="D1265" t="str">
            <v>CNY</v>
          </cell>
          <cell r="E1265" t="str">
            <v>PCS</v>
          </cell>
          <cell r="F1265">
            <v>8.9670839999999998</v>
          </cell>
        </row>
        <row r="1266">
          <cell r="C1266">
            <v>2150146760</v>
          </cell>
          <cell r="D1266" t="str">
            <v>CNY</v>
          </cell>
          <cell r="E1266" t="str">
            <v>PCS</v>
          </cell>
          <cell r="F1266">
            <v>4.7307960000000007</v>
          </cell>
        </row>
        <row r="1267">
          <cell r="C1267">
            <v>2150146950</v>
          </cell>
          <cell r="D1267" t="str">
            <v>CNY</v>
          </cell>
          <cell r="E1267" t="str">
            <v>PCS</v>
          </cell>
          <cell r="F1267">
            <v>2.1826980000000007</v>
          </cell>
        </row>
        <row r="1268">
          <cell r="C1268">
            <v>2150146990</v>
          </cell>
          <cell r="D1268" t="str">
            <v>CNY</v>
          </cell>
          <cell r="E1268" t="str">
            <v>PCS</v>
          </cell>
          <cell r="F1268">
            <v>3.9517065000000002</v>
          </cell>
        </row>
        <row r="1269">
          <cell r="C1269">
            <v>2150147000</v>
          </cell>
          <cell r="D1269" t="str">
            <v>CNY</v>
          </cell>
          <cell r="E1269" t="str">
            <v>PCS</v>
          </cell>
          <cell r="F1269">
            <v>1.9673430000000003</v>
          </cell>
        </row>
        <row r="1270">
          <cell r="C1270">
            <v>2150147010</v>
          </cell>
          <cell r="D1270" t="str">
            <v>CNY</v>
          </cell>
          <cell r="E1270" t="str">
            <v>PCS</v>
          </cell>
          <cell r="F1270">
            <v>5.5185060000000004</v>
          </cell>
        </row>
        <row r="1271">
          <cell r="C1271">
            <v>2150147820</v>
          </cell>
          <cell r="D1271" t="str">
            <v>CNY</v>
          </cell>
          <cell r="E1271" t="str">
            <v>PCS</v>
          </cell>
          <cell r="F1271">
            <v>9.1415204999999986</v>
          </cell>
        </row>
        <row r="1272">
          <cell r="C1272">
            <v>2150147830</v>
          </cell>
          <cell r="D1272" t="str">
            <v>CNY</v>
          </cell>
          <cell r="E1272" t="str">
            <v>PCS</v>
          </cell>
          <cell r="F1272">
            <v>7.9273005000000012</v>
          </cell>
        </row>
        <row r="1273">
          <cell r="C1273">
            <v>2150148110</v>
          </cell>
          <cell r="D1273" t="str">
            <v>CNY</v>
          </cell>
          <cell r="E1273" t="str">
            <v>PCS</v>
          </cell>
          <cell r="F1273">
            <v>4.7733000000000008</v>
          </cell>
        </row>
        <row r="1274">
          <cell r="C1274">
            <v>2150148160</v>
          </cell>
          <cell r="D1274" t="str">
            <v>CNY</v>
          </cell>
          <cell r="E1274" t="str">
            <v>PCS</v>
          </cell>
          <cell r="F1274">
            <v>4.7936175000000008</v>
          </cell>
        </row>
        <row r="1275">
          <cell r="C1275">
            <v>2150148810</v>
          </cell>
          <cell r="D1275" t="str">
            <v>CNY</v>
          </cell>
          <cell r="E1275" t="str">
            <v>PCS</v>
          </cell>
          <cell r="F1275">
            <v>3.0137415000000001</v>
          </cell>
        </row>
        <row r="1276">
          <cell r="C1276">
            <v>2150148840</v>
          </cell>
          <cell r="D1276" t="str">
            <v>CNY</v>
          </cell>
          <cell r="E1276" t="str">
            <v>PCS</v>
          </cell>
          <cell r="F1276">
            <v>8.5251599999999996</v>
          </cell>
        </row>
        <row r="1277">
          <cell r="C1277">
            <v>2150149070</v>
          </cell>
          <cell r="D1277" t="str">
            <v>CNY</v>
          </cell>
          <cell r="E1277" t="str">
            <v>PCS</v>
          </cell>
          <cell r="F1277">
            <v>2.2203299999999997</v>
          </cell>
        </row>
        <row r="1278">
          <cell r="C1278">
            <v>2150149830</v>
          </cell>
          <cell r="D1278" t="str">
            <v>CNY</v>
          </cell>
          <cell r="E1278" t="str">
            <v>PCS</v>
          </cell>
          <cell r="F1278">
            <v>3.8215275000000006</v>
          </cell>
        </row>
        <row r="1279">
          <cell r="C1279">
            <v>2150149910</v>
          </cell>
          <cell r="D1279" t="str">
            <v>CNY</v>
          </cell>
          <cell r="E1279" t="str">
            <v>PCS</v>
          </cell>
          <cell r="F1279">
            <v>2.3039624999999999</v>
          </cell>
        </row>
        <row r="1280">
          <cell r="C1280">
            <v>2150149920</v>
          </cell>
          <cell r="D1280" t="str">
            <v>CNY</v>
          </cell>
          <cell r="E1280" t="str">
            <v>PCS</v>
          </cell>
          <cell r="F1280">
            <v>2.1826980000000007</v>
          </cell>
        </row>
        <row r="1281">
          <cell r="C1281">
            <v>2150149930</v>
          </cell>
          <cell r="D1281" t="str">
            <v>CNY</v>
          </cell>
          <cell r="E1281" t="str">
            <v>PCS</v>
          </cell>
          <cell r="F1281">
            <v>0.49200900000000003</v>
          </cell>
        </row>
        <row r="1282">
          <cell r="C1282">
            <v>2150149940</v>
          </cell>
          <cell r="D1282" t="str">
            <v>CNY</v>
          </cell>
          <cell r="E1282" t="str">
            <v>PCS</v>
          </cell>
          <cell r="F1282">
            <v>5.2993290000000002</v>
          </cell>
        </row>
        <row r="1283">
          <cell r="C1283">
            <v>2150149950</v>
          </cell>
          <cell r="D1283" t="str">
            <v>CNY</v>
          </cell>
          <cell r="E1283" t="str">
            <v>PCS</v>
          </cell>
          <cell r="F1283">
            <v>3.9535965000000002</v>
          </cell>
        </row>
        <row r="1284">
          <cell r="C1284">
            <v>2150150450</v>
          </cell>
          <cell r="D1284" t="str">
            <v>CNY</v>
          </cell>
          <cell r="E1284" t="str">
            <v>PCS</v>
          </cell>
          <cell r="F1284">
            <v>1.630755</v>
          </cell>
        </row>
        <row r="1285">
          <cell r="C1285">
            <v>2150150470</v>
          </cell>
          <cell r="D1285" t="str">
            <v>CNY</v>
          </cell>
          <cell r="E1285" t="str">
            <v>PCS</v>
          </cell>
          <cell r="F1285">
            <v>3.8215275000000006</v>
          </cell>
        </row>
        <row r="1286">
          <cell r="C1286">
            <v>2150152460</v>
          </cell>
          <cell r="D1286" t="str">
            <v>CNY</v>
          </cell>
          <cell r="E1286" t="str">
            <v>PCS</v>
          </cell>
          <cell r="F1286">
            <v>1.2869220000000001</v>
          </cell>
        </row>
        <row r="1287">
          <cell r="C1287">
            <v>2150152730</v>
          </cell>
          <cell r="D1287" t="str">
            <v>CNY</v>
          </cell>
          <cell r="E1287" t="str">
            <v>PCS</v>
          </cell>
          <cell r="F1287">
            <v>4.1863185000000005</v>
          </cell>
        </row>
        <row r="1288">
          <cell r="C1288">
            <v>2150153150</v>
          </cell>
          <cell r="D1288" t="str">
            <v>CNY</v>
          </cell>
          <cell r="E1288" t="str">
            <v>PCS</v>
          </cell>
          <cell r="F1288">
            <v>3.4087095000000001</v>
          </cell>
        </row>
        <row r="1289">
          <cell r="C1289">
            <v>2150154830</v>
          </cell>
          <cell r="D1289" t="str">
            <v>CNY</v>
          </cell>
          <cell r="E1289" t="str">
            <v>PCS</v>
          </cell>
          <cell r="F1289">
            <v>1.043469</v>
          </cell>
        </row>
        <row r="1290">
          <cell r="C1290">
            <v>2150155190</v>
          </cell>
          <cell r="D1290" t="str">
            <v>CNY</v>
          </cell>
          <cell r="E1290" t="str">
            <v>PCS</v>
          </cell>
          <cell r="F1290">
            <v>2.1379994999999998</v>
          </cell>
        </row>
        <row r="1291">
          <cell r="C1291">
            <v>2150155850</v>
          </cell>
          <cell r="D1291" t="str">
            <v>CNY</v>
          </cell>
          <cell r="E1291" t="str">
            <v>PCS</v>
          </cell>
          <cell r="F1291">
            <v>3.4087095000000001</v>
          </cell>
        </row>
        <row r="1292">
          <cell r="C1292">
            <v>2150155910</v>
          </cell>
          <cell r="D1292" t="str">
            <v>CNY</v>
          </cell>
          <cell r="E1292" t="str">
            <v>PCS</v>
          </cell>
          <cell r="F1292">
            <v>0.15909600000000002</v>
          </cell>
        </row>
        <row r="1293">
          <cell r="C1293">
            <v>2150156810</v>
          </cell>
          <cell r="D1293" t="str">
            <v>CNY</v>
          </cell>
          <cell r="E1293" t="str">
            <v>PCS</v>
          </cell>
          <cell r="F1293">
            <v>5.6032305000000004</v>
          </cell>
        </row>
        <row r="1294">
          <cell r="C1294">
            <v>2150157000</v>
          </cell>
          <cell r="D1294" t="str">
            <v>CNY</v>
          </cell>
          <cell r="E1294" t="str">
            <v>PCS</v>
          </cell>
          <cell r="F1294">
            <v>0.52904250000000008</v>
          </cell>
        </row>
        <row r="1295">
          <cell r="C1295">
            <v>2150157790</v>
          </cell>
          <cell r="D1295" t="str">
            <v>CNY</v>
          </cell>
          <cell r="E1295" t="str">
            <v>PCS</v>
          </cell>
          <cell r="F1295">
            <v>0.31883249999999996</v>
          </cell>
        </row>
        <row r="1296">
          <cell r="C1296">
            <v>2150160180</v>
          </cell>
          <cell r="D1296" t="str">
            <v>CNY</v>
          </cell>
          <cell r="E1296" t="str">
            <v>PCS</v>
          </cell>
          <cell r="F1296">
            <v>4.7733000000000008</v>
          </cell>
        </row>
        <row r="1297">
          <cell r="C1297">
            <v>2150160250</v>
          </cell>
          <cell r="D1297" t="str">
            <v>CNY</v>
          </cell>
          <cell r="E1297" t="str">
            <v>PCS</v>
          </cell>
          <cell r="F1297">
            <v>6.8099430000000005</v>
          </cell>
        </row>
        <row r="1298">
          <cell r="C1298">
            <v>2150160260</v>
          </cell>
          <cell r="D1298" t="str">
            <v>CNY</v>
          </cell>
          <cell r="E1298" t="str">
            <v>PCS</v>
          </cell>
          <cell r="F1298">
            <v>4.7352690000000006</v>
          </cell>
        </row>
        <row r="1299">
          <cell r="C1299">
            <v>2150160490</v>
          </cell>
          <cell r="D1299" t="str">
            <v>CNY</v>
          </cell>
          <cell r="E1299" t="str">
            <v>PCS</v>
          </cell>
          <cell r="F1299">
            <v>4.7733000000000008</v>
          </cell>
        </row>
        <row r="1300">
          <cell r="C1300">
            <v>2150160520</v>
          </cell>
          <cell r="D1300" t="str">
            <v>CNY</v>
          </cell>
          <cell r="E1300" t="str">
            <v>PCS</v>
          </cell>
          <cell r="F1300">
            <v>4.7936175000000008</v>
          </cell>
        </row>
        <row r="1301">
          <cell r="C1301">
            <v>2150160550</v>
          </cell>
          <cell r="D1301" t="str">
            <v>CNY</v>
          </cell>
          <cell r="E1301" t="str">
            <v>PCS</v>
          </cell>
          <cell r="F1301">
            <v>1.043469</v>
          </cell>
        </row>
        <row r="1302">
          <cell r="C1302">
            <v>2150160560</v>
          </cell>
          <cell r="D1302" t="str">
            <v>CNY</v>
          </cell>
          <cell r="E1302" t="str">
            <v>PCS</v>
          </cell>
          <cell r="F1302">
            <v>5.6032305000000004</v>
          </cell>
        </row>
        <row r="1303">
          <cell r="C1303">
            <v>2150162950</v>
          </cell>
          <cell r="D1303" t="str">
            <v>CNY</v>
          </cell>
          <cell r="E1303" t="str">
            <v>PCS</v>
          </cell>
          <cell r="F1303">
            <v>2.3039624999999999</v>
          </cell>
        </row>
        <row r="1304">
          <cell r="C1304">
            <v>2150164240</v>
          </cell>
          <cell r="D1304" t="str">
            <v>CNY</v>
          </cell>
          <cell r="E1304" t="str">
            <v>PCS</v>
          </cell>
          <cell r="F1304">
            <v>2.3673195000000002</v>
          </cell>
        </row>
        <row r="1305">
          <cell r="C1305">
            <v>2150165820</v>
          </cell>
          <cell r="D1305" t="str">
            <v>CNY</v>
          </cell>
          <cell r="E1305" t="str">
            <v>PCS</v>
          </cell>
          <cell r="F1305">
            <v>4.7936175000000008</v>
          </cell>
        </row>
        <row r="1306">
          <cell r="C1306">
            <v>2150165830</v>
          </cell>
          <cell r="D1306" t="str">
            <v>CNY</v>
          </cell>
          <cell r="E1306" t="str">
            <v>PCS</v>
          </cell>
          <cell r="F1306">
            <v>8.5302629999999997</v>
          </cell>
        </row>
        <row r="1307">
          <cell r="C1307">
            <v>2150165850</v>
          </cell>
          <cell r="D1307" t="str">
            <v>CNY</v>
          </cell>
          <cell r="E1307" t="str">
            <v>PCS</v>
          </cell>
          <cell r="F1307">
            <v>4.7733000000000008</v>
          </cell>
        </row>
        <row r="1308">
          <cell r="C1308">
            <v>2150166490</v>
          </cell>
          <cell r="D1308" t="str">
            <v>CNY</v>
          </cell>
          <cell r="E1308" t="str">
            <v>PCS</v>
          </cell>
          <cell r="F1308">
            <v>4.7307960000000007</v>
          </cell>
        </row>
        <row r="1309">
          <cell r="C1309">
            <v>2150167590</v>
          </cell>
          <cell r="D1309" t="str">
            <v>CNY</v>
          </cell>
          <cell r="E1309" t="str">
            <v>PCS</v>
          </cell>
          <cell r="F1309">
            <v>1.0954334999999999</v>
          </cell>
        </row>
        <row r="1310">
          <cell r="C1310">
            <v>2150169390</v>
          </cell>
          <cell r="D1310" t="str">
            <v>CNY</v>
          </cell>
          <cell r="E1310" t="str">
            <v>PCS</v>
          </cell>
          <cell r="F1310">
            <v>1.9295009999999999</v>
          </cell>
        </row>
        <row r="1311">
          <cell r="C1311">
            <v>2150180460</v>
          </cell>
          <cell r="D1311" t="str">
            <v>CNY</v>
          </cell>
          <cell r="E1311" t="str">
            <v>PCS</v>
          </cell>
          <cell r="F1311">
            <v>6.8099430000000005</v>
          </cell>
        </row>
        <row r="1312">
          <cell r="C1312">
            <v>2150180470</v>
          </cell>
          <cell r="D1312" t="str">
            <v>CNY</v>
          </cell>
          <cell r="E1312" t="str">
            <v>PCS</v>
          </cell>
          <cell r="F1312">
            <v>4.7352690000000006</v>
          </cell>
        </row>
        <row r="1313">
          <cell r="C1313">
            <v>2150181620</v>
          </cell>
          <cell r="D1313" t="str">
            <v>CNY</v>
          </cell>
          <cell r="E1313" t="str">
            <v>PCS</v>
          </cell>
          <cell r="F1313">
            <v>0.49224000000000001</v>
          </cell>
        </row>
        <row r="1314">
          <cell r="C1314">
            <v>2150182110</v>
          </cell>
          <cell r="D1314" t="str">
            <v>CNY</v>
          </cell>
          <cell r="E1314" t="str">
            <v>PCS</v>
          </cell>
          <cell r="F1314">
            <v>0.32012400000000002</v>
          </cell>
        </row>
        <row r="1315">
          <cell r="C1315">
            <v>2150184130</v>
          </cell>
          <cell r="D1315" t="str">
            <v>CNY</v>
          </cell>
          <cell r="E1315" t="str">
            <v>PCS</v>
          </cell>
          <cell r="F1315">
            <v>8.5302629999999997</v>
          </cell>
        </row>
        <row r="1316">
          <cell r="C1316">
            <v>2150500070</v>
          </cell>
          <cell r="D1316" t="str">
            <v>CNY</v>
          </cell>
          <cell r="E1316" t="str">
            <v>PCS</v>
          </cell>
          <cell r="F1316">
            <v>15.814449</v>
          </cell>
        </row>
        <row r="1317">
          <cell r="C1317">
            <v>2150500080</v>
          </cell>
          <cell r="D1317" t="str">
            <v>CNY</v>
          </cell>
          <cell r="E1317" t="str">
            <v>PCS</v>
          </cell>
          <cell r="F1317">
            <v>22.652206499999998</v>
          </cell>
        </row>
        <row r="1318">
          <cell r="C1318">
            <v>2150500340</v>
          </cell>
          <cell r="D1318" t="str">
            <v>CNY</v>
          </cell>
          <cell r="E1318" t="str">
            <v>PCS</v>
          </cell>
          <cell r="F1318">
            <v>0.48351450000000001</v>
          </cell>
        </row>
        <row r="1319">
          <cell r="C1319">
            <v>2150500480</v>
          </cell>
          <cell r="D1319" t="str">
            <v>CNY</v>
          </cell>
          <cell r="E1319" t="str">
            <v>PCS</v>
          </cell>
          <cell r="F1319">
            <v>0.31228050000000002</v>
          </cell>
        </row>
        <row r="1320">
          <cell r="C1320">
            <v>2150500800</v>
          </cell>
          <cell r="D1320" t="str">
            <v>CNY</v>
          </cell>
          <cell r="E1320" t="str">
            <v>PCS</v>
          </cell>
          <cell r="F1320">
            <v>0.5093025000000001</v>
          </cell>
        </row>
        <row r="1321">
          <cell r="C1321">
            <v>2150510390</v>
          </cell>
          <cell r="D1321" t="str">
            <v>CNY</v>
          </cell>
          <cell r="E1321" t="str">
            <v>PCS</v>
          </cell>
          <cell r="F1321">
            <v>5.8201394999999998</v>
          </cell>
        </row>
        <row r="1322">
          <cell r="C1322">
            <v>2150512140</v>
          </cell>
          <cell r="D1322" t="str">
            <v>CNY</v>
          </cell>
          <cell r="E1322" t="str">
            <v>PCS</v>
          </cell>
          <cell r="F1322">
            <v>2.6233304999999998</v>
          </cell>
        </row>
        <row r="1323">
          <cell r="C1323">
            <v>2150513030</v>
          </cell>
          <cell r="D1323" t="str">
            <v>CNY</v>
          </cell>
          <cell r="E1323" t="str">
            <v>PCS</v>
          </cell>
          <cell r="F1323">
            <v>2.6233304999999998</v>
          </cell>
        </row>
        <row r="1324">
          <cell r="C1324">
            <v>2150513870</v>
          </cell>
          <cell r="D1324" t="str">
            <v>CNY</v>
          </cell>
          <cell r="E1324" t="str">
            <v>PCS</v>
          </cell>
          <cell r="F1324">
            <v>3.8220105000000002</v>
          </cell>
        </row>
        <row r="1325">
          <cell r="C1325">
            <v>2150516890</v>
          </cell>
          <cell r="D1325" t="str">
            <v>CNY</v>
          </cell>
          <cell r="E1325" t="str">
            <v>PCS</v>
          </cell>
          <cell r="F1325">
            <v>3.5637735000000004</v>
          </cell>
        </row>
        <row r="1326">
          <cell r="C1326">
            <v>2150517090</v>
          </cell>
          <cell r="D1326" t="str">
            <v>CNY</v>
          </cell>
          <cell r="E1326" t="str">
            <v>PCS</v>
          </cell>
          <cell r="F1326">
            <v>3.805221</v>
          </cell>
        </row>
        <row r="1327">
          <cell r="C1327">
            <v>2150900010</v>
          </cell>
          <cell r="D1327" t="str">
            <v>CNY</v>
          </cell>
          <cell r="E1327" t="str">
            <v>PCS</v>
          </cell>
          <cell r="F1327">
            <v>2.9665440000000003</v>
          </cell>
        </row>
        <row r="1328">
          <cell r="C1328">
            <v>3010100020</v>
          </cell>
          <cell r="D1328" t="str">
            <v>CNY</v>
          </cell>
          <cell r="E1328" t="str">
            <v>PCS</v>
          </cell>
          <cell r="F1328">
            <v>2.3206259999999999</v>
          </cell>
        </row>
        <row r="1329">
          <cell r="C1329">
            <v>3010100030</v>
          </cell>
          <cell r="D1329" t="str">
            <v>CNY</v>
          </cell>
          <cell r="E1329" t="str">
            <v>PCS</v>
          </cell>
          <cell r="F1329">
            <v>3.6505770000000002</v>
          </cell>
        </row>
        <row r="1330">
          <cell r="C1330">
            <v>3010101350</v>
          </cell>
          <cell r="D1330" t="str">
            <v>CNY</v>
          </cell>
          <cell r="E1330" t="str">
            <v>PCS</v>
          </cell>
          <cell r="F1330">
            <v>6.9638310000000008</v>
          </cell>
        </row>
        <row r="1331">
          <cell r="C1331">
            <v>3010101430</v>
          </cell>
          <cell r="D1331" t="str">
            <v>CNY</v>
          </cell>
          <cell r="E1331" t="str">
            <v>PCS</v>
          </cell>
          <cell r="F1331">
            <v>3.5204820000000003</v>
          </cell>
        </row>
        <row r="1332">
          <cell r="C1332">
            <v>3010102270</v>
          </cell>
          <cell r="D1332" t="str">
            <v>CNY</v>
          </cell>
          <cell r="E1332" t="str">
            <v>PCS</v>
          </cell>
          <cell r="F1332">
            <v>5.0568</v>
          </cell>
        </row>
        <row r="1333">
          <cell r="C1333">
            <v>3010103360</v>
          </cell>
          <cell r="D1333" t="str">
            <v>CNY</v>
          </cell>
          <cell r="E1333" t="str">
            <v>PCS</v>
          </cell>
          <cell r="F1333">
            <v>2.0904870000000004</v>
          </cell>
        </row>
        <row r="1334">
          <cell r="C1334">
            <v>3010106530</v>
          </cell>
          <cell r="D1334" t="str">
            <v>CNY</v>
          </cell>
          <cell r="E1334" t="str">
            <v>PCS</v>
          </cell>
          <cell r="F1334">
            <v>13.838065500000003</v>
          </cell>
        </row>
        <row r="1335">
          <cell r="C1335">
            <v>3010107170</v>
          </cell>
          <cell r="D1335" t="str">
            <v>CNY</v>
          </cell>
          <cell r="E1335" t="str">
            <v>PCS</v>
          </cell>
          <cell r="F1335">
            <v>7.9655939999999994</v>
          </cell>
        </row>
        <row r="1336">
          <cell r="C1336">
            <v>3010300500</v>
          </cell>
          <cell r="D1336" t="str">
            <v>CNY</v>
          </cell>
          <cell r="E1336" t="str">
            <v>PCS</v>
          </cell>
          <cell r="F1336">
            <v>11.6929365</v>
          </cell>
        </row>
        <row r="1337">
          <cell r="C1337">
            <v>3010300510</v>
          </cell>
          <cell r="D1337" t="str">
            <v>CNY</v>
          </cell>
          <cell r="E1337" t="str">
            <v>PCS</v>
          </cell>
          <cell r="F1337">
            <v>12.915000000000001</v>
          </cell>
        </row>
        <row r="1338">
          <cell r="C1338">
            <v>3010312910</v>
          </cell>
          <cell r="D1338" t="str">
            <v>CNY</v>
          </cell>
          <cell r="E1338" t="str">
            <v>PCS</v>
          </cell>
          <cell r="F1338">
            <v>12.308457000000001</v>
          </cell>
        </row>
        <row r="1339">
          <cell r="C1339">
            <v>3010313950</v>
          </cell>
          <cell r="D1339" t="str">
            <v>CNY</v>
          </cell>
          <cell r="E1339" t="str">
            <v>PCS</v>
          </cell>
          <cell r="F1339">
            <v>16.338819000000001</v>
          </cell>
        </row>
        <row r="1340">
          <cell r="C1340">
            <v>3010313960</v>
          </cell>
          <cell r="D1340" t="str">
            <v>CNY</v>
          </cell>
          <cell r="E1340" t="str">
            <v>PCS</v>
          </cell>
          <cell r="F1340">
            <v>12.2971275</v>
          </cell>
        </row>
        <row r="1341">
          <cell r="C1341">
            <v>3010314420</v>
          </cell>
          <cell r="D1341" t="str">
            <v>CNY</v>
          </cell>
          <cell r="E1341" t="str">
            <v>PCS</v>
          </cell>
          <cell r="F1341">
            <v>15.391362000000001</v>
          </cell>
        </row>
        <row r="1342">
          <cell r="C1342">
            <v>3010315050</v>
          </cell>
          <cell r="D1342" t="str">
            <v>CNY</v>
          </cell>
          <cell r="E1342" t="str">
            <v>PCS</v>
          </cell>
          <cell r="F1342">
            <v>12.891154500000001</v>
          </cell>
        </row>
        <row r="1343">
          <cell r="C1343">
            <v>3010315140</v>
          </cell>
          <cell r="D1343" t="str">
            <v>CNY</v>
          </cell>
          <cell r="E1343" t="str">
            <v>PCS</v>
          </cell>
          <cell r="F1343">
            <v>13.189764000000002</v>
          </cell>
        </row>
        <row r="1344">
          <cell r="C1344">
            <v>3010315150</v>
          </cell>
          <cell r="D1344" t="str">
            <v>CNY</v>
          </cell>
          <cell r="E1344" t="str">
            <v>PCS</v>
          </cell>
          <cell r="F1344">
            <v>13.290826500000001</v>
          </cell>
        </row>
        <row r="1345">
          <cell r="C1345">
            <v>3010500010</v>
          </cell>
          <cell r="D1345" t="str">
            <v>CNY</v>
          </cell>
          <cell r="E1345" t="str">
            <v>PCS</v>
          </cell>
          <cell r="F1345">
            <v>3.3051585000000001</v>
          </cell>
        </row>
        <row r="1346">
          <cell r="C1346">
            <v>3010500020</v>
          </cell>
          <cell r="D1346" t="str">
            <v>CNY</v>
          </cell>
          <cell r="E1346" t="str">
            <v>PCS</v>
          </cell>
          <cell r="F1346">
            <v>3.9856845000000001</v>
          </cell>
        </row>
        <row r="1347">
          <cell r="C1347">
            <v>3010500400</v>
          </cell>
          <cell r="D1347" t="str">
            <v>CNY</v>
          </cell>
          <cell r="E1347" t="str">
            <v>PCS</v>
          </cell>
          <cell r="F1347">
            <v>3.1507455000000002</v>
          </cell>
        </row>
        <row r="1348">
          <cell r="C1348">
            <v>3010500410</v>
          </cell>
          <cell r="D1348" t="str">
            <v>CNY</v>
          </cell>
          <cell r="E1348" t="str">
            <v>PCS</v>
          </cell>
          <cell r="F1348">
            <v>2.7213585</v>
          </cell>
        </row>
        <row r="1349">
          <cell r="C1349">
            <v>3010502110</v>
          </cell>
          <cell r="D1349" t="str">
            <v>CNY</v>
          </cell>
          <cell r="E1349" t="str">
            <v>PCS</v>
          </cell>
          <cell r="F1349">
            <v>3.3938205000000004</v>
          </cell>
        </row>
        <row r="1350">
          <cell r="C1350">
            <v>3010502120</v>
          </cell>
          <cell r="D1350" t="str">
            <v>CNY</v>
          </cell>
          <cell r="E1350" t="str">
            <v>PCS</v>
          </cell>
          <cell r="F1350">
            <v>2.8615020000000002</v>
          </cell>
        </row>
        <row r="1351">
          <cell r="C1351">
            <v>3010502170</v>
          </cell>
          <cell r="D1351" t="str">
            <v>CNY</v>
          </cell>
          <cell r="E1351" t="str">
            <v>PCS</v>
          </cell>
          <cell r="F1351">
            <v>6.6138555000000006</v>
          </cell>
        </row>
        <row r="1352">
          <cell r="C1352">
            <v>3010502270</v>
          </cell>
          <cell r="D1352" t="str">
            <v>CNY</v>
          </cell>
          <cell r="E1352" t="str">
            <v>PCS</v>
          </cell>
          <cell r="F1352">
            <v>6.8452545000000002</v>
          </cell>
        </row>
        <row r="1353">
          <cell r="C1353">
            <v>3010502690</v>
          </cell>
          <cell r="D1353" t="str">
            <v>CNY</v>
          </cell>
          <cell r="E1353" t="str">
            <v>PCS</v>
          </cell>
          <cell r="F1353">
            <v>3.7115400000000003</v>
          </cell>
        </row>
        <row r="1354">
          <cell r="C1354">
            <v>3010502700</v>
          </cell>
          <cell r="D1354" t="str">
            <v>CNY</v>
          </cell>
          <cell r="E1354" t="str">
            <v>PCS</v>
          </cell>
          <cell r="F1354">
            <v>3.4574504999999998</v>
          </cell>
        </row>
        <row r="1355">
          <cell r="C1355">
            <v>3010502710</v>
          </cell>
          <cell r="D1355" t="str">
            <v>CNY</v>
          </cell>
          <cell r="E1355" t="str">
            <v>PCS</v>
          </cell>
          <cell r="F1355">
            <v>4.6278540000000001</v>
          </cell>
        </row>
        <row r="1356">
          <cell r="C1356">
            <v>3010502720</v>
          </cell>
          <cell r="D1356" t="str">
            <v>CNY</v>
          </cell>
          <cell r="E1356" t="str">
            <v>PCS</v>
          </cell>
          <cell r="F1356">
            <v>6.1711650000000002</v>
          </cell>
        </row>
        <row r="1357">
          <cell r="C1357">
            <v>3010502730</v>
          </cell>
          <cell r="D1357" t="str">
            <v>CNY</v>
          </cell>
          <cell r="E1357" t="str">
            <v>PCS</v>
          </cell>
          <cell r="F1357">
            <v>2.7999825000000005</v>
          </cell>
        </row>
        <row r="1358">
          <cell r="C1358">
            <v>3010502750</v>
          </cell>
          <cell r="D1358" t="str">
            <v>CNY</v>
          </cell>
          <cell r="E1358" t="str">
            <v>PCS</v>
          </cell>
          <cell r="F1358">
            <v>3.4800360000000006</v>
          </cell>
        </row>
        <row r="1359">
          <cell r="C1359">
            <v>3010502820</v>
          </cell>
          <cell r="D1359" t="str">
            <v>CNY</v>
          </cell>
          <cell r="E1359" t="str">
            <v>PCS</v>
          </cell>
          <cell r="F1359">
            <v>3.3811050000000002</v>
          </cell>
        </row>
        <row r="1360">
          <cell r="C1360">
            <v>3010502830</v>
          </cell>
          <cell r="D1360" t="str">
            <v>CNY</v>
          </cell>
          <cell r="E1360" t="str">
            <v>PCS</v>
          </cell>
          <cell r="F1360">
            <v>2.321088</v>
          </cell>
        </row>
        <row r="1361">
          <cell r="C1361">
            <v>3010502880</v>
          </cell>
          <cell r="D1361" t="str">
            <v>CNY</v>
          </cell>
          <cell r="E1361" t="str">
            <v>PCS</v>
          </cell>
          <cell r="F1361">
            <v>5.4697545000000005</v>
          </cell>
        </row>
        <row r="1362">
          <cell r="C1362">
            <v>3010502890</v>
          </cell>
          <cell r="D1362" t="str">
            <v>CNY</v>
          </cell>
          <cell r="E1362" t="str">
            <v>PCS</v>
          </cell>
          <cell r="F1362">
            <v>3.171735</v>
          </cell>
        </row>
        <row r="1363">
          <cell r="C1363">
            <v>3010503030</v>
          </cell>
          <cell r="D1363" t="str">
            <v>CNY</v>
          </cell>
          <cell r="E1363" t="str">
            <v>PCS</v>
          </cell>
          <cell r="F1363">
            <v>2.7187860000000006</v>
          </cell>
        </row>
        <row r="1364">
          <cell r="C1364">
            <v>3010904190</v>
          </cell>
          <cell r="D1364" t="str">
            <v>CNY</v>
          </cell>
          <cell r="E1364" t="str">
            <v>PCS</v>
          </cell>
          <cell r="F1364">
            <v>3.4859999999999998</v>
          </cell>
        </row>
        <row r="1365">
          <cell r="C1365">
            <v>3010906810</v>
          </cell>
          <cell r="D1365" t="str">
            <v>CNY</v>
          </cell>
          <cell r="E1365" t="str">
            <v>PCS</v>
          </cell>
          <cell r="F1365">
            <v>16.212</v>
          </cell>
        </row>
        <row r="1366">
          <cell r="C1366">
            <v>3010908490</v>
          </cell>
          <cell r="D1366" t="str">
            <v>CNY</v>
          </cell>
          <cell r="E1366" t="str">
            <v>PCS</v>
          </cell>
          <cell r="F1366">
            <v>12.672450000000001</v>
          </cell>
        </row>
        <row r="1367">
          <cell r="C1367">
            <v>3010912690</v>
          </cell>
          <cell r="D1367" t="str">
            <v>CNY</v>
          </cell>
          <cell r="E1367" t="str">
            <v>PCS</v>
          </cell>
          <cell r="F1367">
            <v>525</v>
          </cell>
        </row>
        <row r="1368">
          <cell r="C1368">
            <v>3011100010</v>
          </cell>
          <cell r="D1368" t="str">
            <v>CNY</v>
          </cell>
          <cell r="E1368" t="str">
            <v>PCS</v>
          </cell>
          <cell r="F1368">
            <v>0.58800000000000008</v>
          </cell>
        </row>
        <row r="1369">
          <cell r="C1369">
            <v>3011100030</v>
          </cell>
          <cell r="D1369" t="str">
            <v>CNY</v>
          </cell>
          <cell r="E1369" t="str">
            <v>PCS</v>
          </cell>
          <cell r="F1369">
            <v>0.42000000000000004</v>
          </cell>
        </row>
        <row r="1370">
          <cell r="C1370">
            <v>3011100080</v>
          </cell>
          <cell r="D1370" t="str">
            <v>CNY</v>
          </cell>
          <cell r="E1370" t="str">
            <v>PCS</v>
          </cell>
          <cell r="F1370">
            <v>2.2574999999999998</v>
          </cell>
        </row>
        <row r="1371">
          <cell r="C1371">
            <v>3011100110</v>
          </cell>
          <cell r="D1371" t="str">
            <v>CNY</v>
          </cell>
          <cell r="E1371" t="str">
            <v>PCS</v>
          </cell>
          <cell r="F1371">
            <v>0.15329999999999999</v>
          </cell>
        </row>
        <row r="1372">
          <cell r="C1372">
            <v>3011101420</v>
          </cell>
          <cell r="D1372" t="str">
            <v>CNY</v>
          </cell>
          <cell r="E1372" t="str">
            <v>PCS</v>
          </cell>
          <cell r="F1372">
            <v>0.35700000000000004</v>
          </cell>
        </row>
        <row r="1373">
          <cell r="C1373">
            <v>3011101470</v>
          </cell>
          <cell r="D1373" t="str">
            <v>CNY</v>
          </cell>
          <cell r="E1373" t="str">
            <v>PCS</v>
          </cell>
          <cell r="F1373">
            <v>4.8825000000000003</v>
          </cell>
        </row>
        <row r="1374">
          <cell r="C1374">
            <v>3011101870</v>
          </cell>
          <cell r="D1374" t="str">
            <v>CNY</v>
          </cell>
          <cell r="E1374" t="str">
            <v>PCS</v>
          </cell>
          <cell r="F1374">
            <v>14.700000000000001</v>
          </cell>
        </row>
        <row r="1375">
          <cell r="C1375" t="str">
            <v>3011102210L</v>
          </cell>
          <cell r="D1375" t="str">
            <v>CNY</v>
          </cell>
          <cell r="E1375" t="str">
            <v>PCS</v>
          </cell>
          <cell r="F1375">
            <v>0.57750000000000012</v>
          </cell>
        </row>
        <row r="1376">
          <cell r="C1376">
            <v>3011300030</v>
          </cell>
          <cell r="D1376" t="str">
            <v>CNY</v>
          </cell>
          <cell r="E1376" t="str">
            <v>PCS</v>
          </cell>
          <cell r="F1376">
            <v>1.5519000000000001</v>
          </cell>
        </row>
        <row r="1377">
          <cell r="C1377">
            <v>3011501610</v>
          </cell>
          <cell r="D1377" t="str">
            <v>CNY</v>
          </cell>
          <cell r="E1377" t="str">
            <v>SET</v>
          </cell>
          <cell r="F1377">
            <v>4.9350000000000005</v>
          </cell>
        </row>
        <row r="1378">
          <cell r="C1378">
            <v>3011501710</v>
          </cell>
          <cell r="D1378" t="str">
            <v>CNY</v>
          </cell>
          <cell r="E1378" t="str">
            <v>PCS</v>
          </cell>
          <cell r="F1378">
            <v>1.3650000000000002</v>
          </cell>
        </row>
        <row r="1379">
          <cell r="C1379">
            <v>3011701720</v>
          </cell>
          <cell r="D1379" t="str">
            <v>CNY</v>
          </cell>
          <cell r="E1379" t="str">
            <v>PCS</v>
          </cell>
          <cell r="F1379">
            <v>11.1504435</v>
          </cell>
        </row>
        <row r="1380">
          <cell r="C1380">
            <v>3012102500</v>
          </cell>
          <cell r="D1380" t="str">
            <v>CNY</v>
          </cell>
          <cell r="E1380" t="str">
            <v>SET</v>
          </cell>
          <cell r="F1380">
            <v>21.976500000000001</v>
          </cell>
        </row>
        <row r="1381">
          <cell r="C1381">
            <v>3012102520</v>
          </cell>
          <cell r="D1381" t="str">
            <v>CNY</v>
          </cell>
          <cell r="E1381" t="str">
            <v>PCS</v>
          </cell>
          <cell r="F1381">
            <v>12.138000000000002</v>
          </cell>
        </row>
        <row r="1382">
          <cell r="C1382">
            <v>3012102940</v>
          </cell>
          <cell r="D1382" t="str">
            <v>CNY</v>
          </cell>
          <cell r="E1382" t="str">
            <v>PCS</v>
          </cell>
          <cell r="F1382">
            <v>20.968499999999999</v>
          </cell>
        </row>
        <row r="1383">
          <cell r="C1383">
            <v>3013200230</v>
          </cell>
          <cell r="D1383" t="str">
            <v>CNY</v>
          </cell>
          <cell r="E1383" t="str">
            <v>PCS</v>
          </cell>
          <cell r="F1383">
            <v>63.1858395</v>
          </cell>
        </row>
        <row r="1384">
          <cell r="C1384">
            <v>3013200940</v>
          </cell>
          <cell r="D1384" t="str">
            <v>CNY</v>
          </cell>
          <cell r="E1384" t="str">
            <v>PCS</v>
          </cell>
          <cell r="F1384">
            <v>516.12750000000005</v>
          </cell>
        </row>
        <row r="1385">
          <cell r="C1385">
            <v>3013601960</v>
          </cell>
          <cell r="D1385" t="str">
            <v>CNY</v>
          </cell>
          <cell r="E1385" t="str">
            <v>PCS</v>
          </cell>
          <cell r="F1385">
            <v>160.19468850000001</v>
          </cell>
        </row>
        <row r="1386">
          <cell r="C1386">
            <v>3013601970</v>
          </cell>
          <cell r="D1386" t="str">
            <v>CNY</v>
          </cell>
          <cell r="E1386" t="str">
            <v>PCS</v>
          </cell>
          <cell r="F1386">
            <v>157.96460400000004</v>
          </cell>
        </row>
        <row r="1387">
          <cell r="C1387">
            <v>3013603050</v>
          </cell>
          <cell r="D1387" t="str">
            <v>CNY</v>
          </cell>
          <cell r="E1387" t="str">
            <v>PCS</v>
          </cell>
          <cell r="F1387">
            <v>166.54995</v>
          </cell>
        </row>
        <row r="1388">
          <cell r="C1388">
            <v>3013900590</v>
          </cell>
          <cell r="D1388" t="str">
            <v>CNY</v>
          </cell>
          <cell r="E1388" t="str">
            <v>PCS</v>
          </cell>
          <cell r="F1388">
            <v>1591.2435</v>
          </cell>
        </row>
        <row r="1389">
          <cell r="C1389">
            <v>3013900600</v>
          </cell>
          <cell r="D1389" t="str">
            <v>CNY</v>
          </cell>
          <cell r="E1389" t="str">
            <v>PCS</v>
          </cell>
          <cell r="F1389">
            <v>2904.2894999999999</v>
          </cell>
        </row>
        <row r="1390">
          <cell r="C1390">
            <v>3020100049</v>
          </cell>
          <cell r="D1390" t="str">
            <v>CNY</v>
          </cell>
          <cell r="E1390" t="str">
            <v>PCS</v>
          </cell>
          <cell r="F1390">
            <v>0.27843900000000005</v>
          </cell>
        </row>
        <row r="1391">
          <cell r="C1391">
            <v>3020101719</v>
          </cell>
          <cell r="D1391" t="str">
            <v>CNY</v>
          </cell>
          <cell r="E1391" t="str">
            <v>PCS</v>
          </cell>
          <cell r="F1391">
            <v>1.5803865000000001</v>
          </cell>
        </row>
        <row r="1392">
          <cell r="C1392">
            <v>3020102169</v>
          </cell>
          <cell r="D1392" t="str">
            <v>CNY</v>
          </cell>
          <cell r="E1392" t="str">
            <v>PCS</v>
          </cell>
          <cell r="F1392">
            <v>7.8173445000000008</v>
          </cell>
        </row>
        <row r="1393">
          <cell r="C1393">
            <v>3020127739</v>
          </cell>
          <cell r="D1393" t="str">
            <v>CNY</v>
          </cell>
          <cell r="E1393" t="str">
            <v>PCS</v>
          </cell>
          <cell r="F1393">
            <v>0.80055149999999997</v>
          </cell>
        </row>
        <row r="1394">
          <cell r="C1394">
            <v>3020127779</v>
          </cell>
          <cell r="D1394" t="str">
            <v>CNY</v>
          </cell>
          <cell r="E1394" t="str">
            <v>PCS</v>
          </cell>
          <cell r="F1394">
            <v>1.2038880000000001</v>
          </cell>
        </row>
        <row r="1395">
          <cell r="C1395">
            <v>3020127799</v>
          </cell>
          <cell r="D1395" t="str">
            <v>CNY</v>
          </cell>
          <cell r="E1395" t="str">
            <v>PCS</v>
          </cell>
          <cell r="F1395">
            <v>1.2239535000000001</v>
          </cell>
        </row>
        <row r="1396">
          <cell r="C1396">
            <v>3020127899</v>
          </cell>
          <cell r="D1396" t="str">
            <v>CNY</v>
          </cell>
          <cell r="E1396" t="str">
            <v>PCS</v>
          </cell>
          <cell r="F1396">
            <v>1.0634294999999998</v>
          </cell>
        </row>
        <row r="1397">
          <cell r="C1397">
            <v>3020127909</v>
          </cell>
          <cell r="D1397" t="str">
            <v>CNY</v>
          </cell>
          <cell r="E1397" t="str">
            <v>PCS</v>
          </cell>
          <cell r="F1397">
            <v>1.1637569999999999</v>
          </cell>
        </row>
        <row r="1398">
          <cell r="C1398">
            <v>3020127939</v>
          </cell>
          <cell r="D1398" t="str">
            <v>CNY</v>
          </cell>
          <cell r="E1398" t="str">
            <v>PCS</v>
          </cell>
          <cell r="F1398">
            <v>1.5712515000000002</v>
          </cell>
        </row>
        <row r="1399">
          <cell r="C1399">
            <v>3020128449</v>
          </cell>
          <cell r="D1399" t="str">
            <v>CNY</v>
          </cell>
          <cell r="E1399" t="str">
            <v>PCS</v>
          </cell>
          <cell r="F1399">
            <v>5.1281789999999994</v>
          </cell>
        </row>
        <row r="1400">
          <cell r="C1400">
            <v>3020303329</v>
          </cell>
          <cell r="D1400" t="str">
            <v>CNY</v>
          </cell>
          <cell r="E1400" t="str">
            <v>PCS</v>
          </cell>
          <cell r="F1400">
            <v>1.1877915000000001</v>
          </cell>
        </row>
        <row r="1401">
          <cell r="C1401">
            <v>3020303439</v>
          </cell>
          <cell r="D1401" t="str">
            <v>CNY</v>
          </cell>
          <cell r="E1401" t="str">
            <v>PCS</v>
          </cell>
          <cell r="F1401">
            <v>0.29660400000000003</v>
          </cell>
        </row>
        <row r="1402">
          <cell r="C1402">
            <v>3020305969</v>
          </cell>
          <cell r="D1402" t="str">
            <v>CNY</v>
          </cell>
          <cell r="E1402" t="str">
            <v>PCS</v>
          </cell>
          <cell r="F1402">
            <v>1.1834654999999998</v>
          </cell>
        </row>
        <row r="1403">
          <cell r="C1403">
            <v>3020305989</v>
          </cell>
          <cell r="D1403" t="str">
            <v>CNY</v>
          </cell>
          <cell r="E1403" t="str">
            <v>PCS</v>
          </cell>
          <cell r="F1403">
            <v>1.4647290000000002</v>
          </cell>
        </row>
        <row r="1404">
          <cell r="C1404">
            <v>3020305999</v>
          </cell>
          <cell r="D1404" t="str">
            <v>CNY</v>
          </cell>
          <cell r="E1404" t="str">
            <v>PCS</v>
          </cell>
          <cell r="F1404">
            <v>1.1637569999999999</v>
          </cell>
        </row>
        <row r="1405">
          <cell r="C1405">
            <v>3020306009</v>
          </cell>
          <cell r="D1405" t="str">
            <v>CNY</v>
          </cell>
          <cell r="E1405" t="str">
            <v>PCS</v>
          </cell>
          <cell r="F1405">
            <v>0.63073500000000005</v>
          </cell>
        </row>
        <row r="1406">
          <cell r="C1406">
            <v>3020306469</v>
          </cell>
          <cell r="D1406" t="str">
            <v>CNY</v>
          </cell>
          <cell r="E1406" t="str">
            <v>PCS</v>
          </cell>
          <cell r="F1406">
            <v>0.84874650000000007</v>
          </cell>
        </row>
        <row r="1407">
          <cell r="C1407">
            <v>3020307659</v>
          </cell>
          <cell r="D1407" t="str">
            <v>CNY</v>
          </cell>
          <cell r="E1407" t="str">
            <v>PCS</v>
          </cell>
          <cell r="F1407">
            <v>4.9578689999999996</v>
          </cell>
        </row>
        <row r="1408">
          <cell r="C1408">
            <v>3020308360</v>
          </cell>
          <cell r="D1408" t="str">
            <v>CNY</v>
          </cell>
          <cell r="E1408" t="str">
            <v>PCS</v>
          </cell>
          <cell r="F1408">
            <v>1.1436914999999999</v>
          </cell>
        </row>
        <row r="1409">
          <cell r="C1409">
            <v>3020308370</v>
          </cell>
          <cell r="D1409" t="str">
            <v>CNY</v>
          </cell>
          <cell r="E1409" t="str">
            <v>PCS</v>
          </cell>
          <cell r="F1409">
            <v>1.1838225000000002</v>
          </cell>
        </row>
        <row r="1410">
          <cell r="C1410">
            <v>3020900069</v>
          </cell>
          <cell r="D1410" t="str">
            <v>CNY</v>
          </cell>
          <cell r="E1410" t="str">
            <v>PCS</v>
          </cell>
          <cell r="F1410">
            <v>0.7743540000000001</v>
          </cell>
        </row>
        <row r="1411">
          <cell r="C1411">
            <v>3020901099</v>
          </cell>
          <cell r="D1411" t="str">
            <v>CNY</v>
          </cell>
          <cell r="E1411" t="str">
            <v>PCS</v>
          </cell>
          <cell r="F1411">
            <v>0.69232800000000005</v>
          </cell>
        </row>
        <row r="1412">
          <cell r="C1412">
            <v>3020901529</v>
          </cell>
          <cell r="D1412" t="str">
            <v>CNY</v>
          </cell>
          <cell r="E1412" t="str">
            <v>PCS</v>
          </cell>
          <cell r="F1412">
            <v>1.2484395000000001</v>
          </cell>
        </row>
        <row r="1413">
          <cell r="C1413">
            <v>3020905999</v>
          </cell>
          <cell r="D1413" t="str">
            <v>CNY</v>
          </cell>
          <cell r="E1413" t="str">
            <v>PCS</v>
          </cell>
          <cell r="F1413">
            <v>1.5626520000000002</v>
          </cell>
        </row>
        <row r="1414">
          <cell r="C1414">
            <v>3020909949</v>
          </cell>
          <cell r="D1414" t="str">
            <v>CNY</v>
          </cell>
          <cell r="E1414" t="str">
            <v>PCS</v>
          </cell>
          <cell r="F1414">
            <v>0.89901000000000009</v>
          </cell>
        </row>
        <row r="1415">
          <cell r="C1415">
            <v>3020910049</v>
          </cell>
          <cell r="D1415" t="str">
            <v>CNY</v>
          </cell>
          <cell r="E1415" t="str">
            <v>PCS</v>
          </cell>
          <cell r="F1415">
            <v>0.30886800000000003</v>
          </cell>
        </row>
        <row r="1416">
          <cell r="C1416">
            <v>3021302969</v>
          </cell>
          <cell r="D1416" t="str">
            <v>CNY</v>
          </cell>
          <cell r="E1416" t="str">
            <v>PCS</v>
          </cell>
          <cell r="F1416">
            <v>0.78991500000000003</v>
          </cell>
        </row>
        <row r="1417">
          <cell r="C1417">
            <v>3021701219</v>
          </cell>
          <cell r="D1417" t="str">
            <v>CNY</v>
          </cell>
          <cell r="E1417" t="str">
            <v>PCS</v>
          </cell>
          <cell r="F1417">
            <v>8.6163000000000017E-2</v>
          </cell>
        </row>
        <row r="1418">
          <cell r="C1418">
            <v>3021701279</v>
          </cell>
          <cell r="D1418" t="str">
            <v>CNY</v>
          </cell>
          <cell r="E1418" t="str">
            <v>PCS</v>
          </cell>
          <cell r="F1418">
            <v>7.6534500000000005E-2</v>
          </cell>
        </row>
        <row r="1419">
          <cell r="C1419">
            <v>3022302269</v>
          </cell>
          <cell r="D1419" t="str">
            <v>CNY</v>
          </cell>
          <cell r="E1419" t="str">
            <v>PCS</v>
          </cell>
          <cell r="F1419">
            <v>0.50943899999999998</v>
          </cell>
        </row>
        <row r="1420">
          <cell r="C1420">
            <v>3022500339</v>
          </cell>
          <cell r="D1420" t="str">
            <v>CNY</v>
          </cell>
          <cell r="E1420" t="str">
            <v>PCS</v>
          </cell>
          <cell r="F1420">
            <v>0.31647000000000003</v>
          </cell>
        </row>
        <row r="1421">
          <cell r="C1421">
            <v>3022500459</v>
          </cell>
          <cell r="D1421" t="str">
            <v>CNY</v>
          </cell>
          <cell r="E1421" t="str">
            <v>PCS</v>
          </cell>
          <cell r="F1421">
            <v>0.39240600000000009</v>
          </cell>
        </row>
        <row r="1422">
          <cell r="C1422">
            <v>3022700279</v>
          </cell>
          <cell r="D1422" t="str">
            <v>CNY</v>
          </cell>
          <cell r="E1422" t="str">
            <v>PCS</v>
          </cell>
          <cell r="F1422">
            <v>3.8640000000000002E-3</v>
          </cell>
        </row>
        <row r="1423">
          <cell r="C1423">
            <v>3022700479</v>
          </cell>
          <cell r="D1423" t="str">
            <v>CNY</v>
          </cell>
          <cell r="E1423" t="str">
            <v>PCS</v>
          </cell>
          <cell r="F1423">
            <v>0.111972</v>
          </cell>
        </row>
        <row r="1424">
          <cell r="C1424">
            <v>3022701639</v>
          </cell>
          <cell r="D1424" t="str">
            <v>CNY</v>
          </cell>
          <cell r="E1424" t="str">
            <v>PCS</v>
          </cell>
          <cell r="F1424">
            <v>9.6526500000000015E-2</v>
          </cell>
        </row>
        <row r="1425">
          <cell r="C1425">
            <v>3022701649</v>
          </cell>
          <cell r="D1425" t="str">
            <v>CNY</v>
          </cell>
          <cell r="E1425" t="str">
            <v>PCS</v>
          </cell>
          <cell r="F1425">
            <v>0.12206250000000002</v>
          </cell>
        </row>
        <row r="1426">
          <cell r="C1426">
            <v>3023300019</v>
          </cell>
          <cell r="D1426" t="str">
            <v>CNY</v>
          </cell>
          <cell r="E1426" t="str">
            <v>PCS</v>
          </cell>
          <cell r="F1426">
            <v>9.2820000000000003E-3</v>
          </cell>
        </row>
        <row r="1427">
          <cell r="C1427">
            <v>3023302630</v>
          </cell>
          <cell r="D1427" t="str">
            <v>CNY</v>
          </cell>
          <cell r="E1427" t="str">
            <v>PCS</v>
          </cell>
          <cell r="F1427">
            <v>0.32550000000000001</v>
          </cell>
        </row>
        <row r="1428">
          <cell r="C1428">
            <v>3023500899</v>
          </cell>
          <cell r="D1428" t="str">
            <v>CNY</v>
          </cell>
          <cell r="E1428" t="str">
            <v>PCS</v>
          </cell>
          <cell r="F1428">
            <v>0.22255800000000001</v>
          </cell>
        </row>
        <row r="1429">
          <cell r="C1429">
            <v>3023502730</v>
          </cell>
          <cell r="D1429" t="str">
            <v>CNY</v>
          </cell>
          <cell r="E1429" t="str">
            <v>PCS</v>
          </cell>
          <cell r="F1429">
            <v>6.8628000000000008E-2</v>
          </cell>
        </row>
        <row r="1430">
          <cell r="C1430">
            <v>3023701299</v>
          </cell>
          <cell r="D1430" t="str">
            <v>CNY</v>
          </cell>
          <cell r="E1430" t="str">
            <v>PCS</v>
          </cell>
          <cell r="F1430">
            <v>3.6563310000000002</v>
          </cell>
        </row>
        <row r="1431">
          <cell r="C1431">
            <v>3023701309</v>
          </cell>
          <cell r="D1431" t="str">
            <v>CNY</v>
          </cell>
          <cell r="E1431" t="str">
            <v>PCS</v>
          </cell>
          <cell r="F1431">
            <v>4.7759880000000008</v>
          </cell>
        </row>
        <row r="1432">
          <cell r="C1432">
            <v>3023701319</v>
          </cell>
          <cell r="D1432" t="str">
            <v>CNY</v>
          </cell>
          <cell r="E1432" t="str">
            <v>PCS</v>
          </cell>
          <cell r="F1432">
            <v>2.4341205000000001</v>
          </cell>
        </row>
        <row r="1433">
          <cell r="C1433">
            <v>3023701329</v>
          </cell>
          <cell r="D1433" t="str">
            <v>CNY</v>
          </cell>
          <cell r="E1433" t="str">
            <v>PCS</v>
          </cell>
          <cell r="F1433">
            <v>0.30128699999999997</v>
          </cell>
        </row>
        <row r="1434">
          <cell r="C1434">
            <v>3023902939</v>
          </cell>
          <cell r="D1434" t="str">
            <v>CNY</v>
          </cell>
          <cell r="E1434" t="str">
            <v>PCS</v>
          </cell>
          <cell r="F1434">
            <v>3.2025000000000001E-3</v>
          </cell>
        </row>
        <row r="1435">
          <cell r="C1435">
            <v>3023903416</v>
          </cell>
          <cell r="D1435" t="str">
            <v>CNY</v>
          </cell>
          <cell r="E1435" t="str">
            <v>PCS</v>
          </cell>
          <cell r="F1435">
            <v>0.30554999999999999</v>
          </cell>
        </row>
        <row r="1436">
          <cell r="C1436">
            <v>3023903529</v>
          </cell>
          <cell r="D1436" t="str">
            <v>CNY</v>
          </cell>
          <cell r="E1436" t="str">
            <v>PCS</v>
          </cell>
          <cell r="F1436">
            <v>3.1279500000000002E-2</v>
          </cell>
        </row>
        <row r="1437">
          <cell r="C1437">
            <v>3024100019</v>
          </cell>
          <cell r="D1437" t="str">
            <v>CNY</v>
          </cell>
          <cell r="E1437" t="str">
            <v>PCS</v>
          </cell>
          <cell r="F1437">
            <v>4.2021000000000003E-2</v>
          </cell>
        </row>
        <row r="1438">
          <cell r="C1438">
            <v>3024100869</v>
          </cell>
          <cell r="D1438" t="str">
            <v>CNY</v>
          </cell>
          <cell r="E1438" t="str">
            <v>PCS</v>
          </cell>
          <cell r="F1438">
            <v>3.0008999999999997E-2</v>
          </cell>
        </row>
        <row r="1439">
          <cell r="C1439">
            <v>3024101009</v>
          </cell>
          <cell r="D1439" t="str">
            <v>CNY</v>
          </cell>
          <cell r="E1439" t="str">
            <v>PCS</v>
          </cell>
          <cell r="F1439">
            <v>9.9363599999999996E-2</v>
          </cell>
        </row>
        <row r="1440">
          <cell r="C1440">
            <v>3024700460</v>
          </cell>
          <cell r="D1440" t="str">
            <v>CNY</v>
          </cell>
          <cell r="E1440" t="str">
            <v>PCS</v>
          </cell>
          <cell r="F1440">
            <v>2.1000000000000001E-2</v>
          </cell>
        </row>
        <row r="1441">
          <cell r="C1441">
            <v>3030100010</v>
          </cell>
          <cell r="D1441" t="str">
            <v>CNY</v>
          </cell>
          <cell r="E1441" t="str">
            <v>PCS</v>
          </cell>
          <cell r="F1441">
            <v>3.6854999999999999E-2</v>
          </cell>
        </row>
        <row r="1442">
          <cell r="C1442">
            <v>3030100050</v>
          </cell>
          <cell r="D1442" t="str">
            <v>CNY</v>
          </cell>
          <cell r="E1442" t="str">
            <v>PCS</v>
          </cell>
          <cell r="F1442">
            <v>6.699000000000001E-3</v>
          </cell>
        </row>
        <row r="1443">
          <cell r="C1443">
            <v>3030100060</v>
          </cell>
          <cell r="D1443" t="str">
            <v>CNY</v>
          </cell>
          <cell r="E1443" t="str">
            <v>PCS</v>
          </cell>
          <cell r="F1443">
            <v>7.8750000000000001E-3</v>
          </cell>
        </row>
        <row r="1444">
          <cell r="C1444">
            <v>3030100100</v>
          </cell>
          <cell r="D1444" t="str">
            <v>CNY</v>
          </cell>
          <cell r="E1444" t="str">
            <v>PCS</v>
          </cell>
          <cell r="F1444">
            <v>5.7749999999999998E-3</v>
          </cell>
        </row>
        <row r="1445">
          <cell r="C1445">
            <v>3030100140</v>
          </cell>
          <cell r="D1445" t="str">
            <v>CNY</v>
          </cell>
          <cell r="E1445" t="str">
            <v>PCS</v>
          </cell>
          <cell r="F1445">
            <v>1.3891500000000001E-2</v>
          </cell>
        </row>
        <row r="1446">
          <cell r="C1446">
            <v>3030100240</v>
          </cell>
          <cell r="D1446" t="str">
            <v>CNY</v>
          </cell>
          <cell r="E1446" t="str">
            <v>PCS</v>
          </cell>
          <cell r="F1446">
            <v>0.239505</v>
          </cell>
        </row>
        <row r="1447">
          <cell r="C1447">
            <v>3030100280</v>
          </cell>
          <cell r="D1447" t="str">
            <v>CNY</v>
          </cell>
          <cell r="E1447" t="str">
            <v>PCS</v>
          </cell>
          <cell r="F1447">
            <v>3.3600000000000005E-2</v>
          </cell>
        </row>
        <row r="1448">
          <cell r="C1448">
            <v>3030100310</v>
          </cell>
          <cell r="D1448" t="str">
            <v>CNY</v>
          </cell>
          <cell r="E1448" t="str">
            <v>PCS</v>
          </cell>
          <cell r="F1448">
            <v>3.465E-2</v>
          </cell>
        </row>
        <row r="1449">
          <cell r="C1449">
            <v>3030100420</v>
          </cell>
          <cell r="D1449" t="str">
            <v>CNY</v>
          </cell>
          <cell r="E1449" t="str">
            <v>PCS</v>
          </cell>
          <cell r="F1449">
            <v>0.13460999999999998</v>
          </cell>
        </row>
        <row r="1450">
          <cell r="C1450">
            <v>3030100430</v>
          </cell>
          <cell r="D1450" t="str">
            <v>CNY</v>
          </cell>
          <cell r="E1450" t="str">
            <v>PCS</v>
          </cell>
          <cell r="F1450">
            <v>0.143535</v>
          </cell>
        </row>
        <row r="1451">
          <cell r="C1451">
            <v>3030101750</v>
          </cell>
          <cell r="D1451" t="str">
            <v>CNY</v>
          </cell>
          <cell r="E1451" t="str">
            <v>PCS</v>
          </cell>
          <cell r="F1451">
            <v>9.0615000000000001E-2</v>
          </cell>
        </row>
        <row r="1452">
          <cell r="C1452">
            <v>3030101760</v>
          </cell>
          <cell r="D1452" t="str">
            <v>CNY</v>
          </cell>
          <cell r="E1452" t="str">
            <v>PCS</v>
          </cell>
          <cell r="F1452">
            <v>3.0912000000000002E-2</v>
          </cell>
        </row>
        <row r="1453">
          <cell r="C1453">
            <v>3030103600</v>
          </cell>
          <cell r="D1453" t="str">
            <v>CNY</v>
          </cell>
          <cell r="E1453" t="str">
            <v>PCS</v>
          </cell>
          <cell r="F1453">
            <v>0.19383</v>
          </cell>
        </row>
        <row r="1454">
          <cell r="C1454">
            <v>3030104120</v>
          </cell>
          <cell r="D1454" t="str">
            <v>CNY</v>
          </cell>
          <cell r="E1454" t="str">
            <v>PCS</v>
          </cell>
          <cell r="F1454">
            <v>1.9214999999999999E-2</v>
          </cell>
        </row>
        <row r="1455">
          <cell r="C1455">
            <v>3030104140</v>
          </cell>
          <cell r="D1455" t="str">
            <v>CNY</v>
          </cell>
          <cell r="E1455" t="str">
            <v>PCS</v>
          </cell>
          <cell r="F1455">
            <v>7.4235000000000004E-3</v>
          </cell>
        </row>
        <row r="1456">
          <cell r="C1456">
            <v>3030104220</v>
          </cell>
          <cell r="D1456" t="str">
            <v>CNY</v>
          </cell>
          <cell r="E1456" t="str">
            <v>PCS</v>
          </cell>
          <cell r="F1456">
            <v>8.4000000000000012E-3</v>
          </cell>
        </row>
        <row r="1457">
          <cell r="C1457">
            <v>3030104440</v>
          </cell>
          <cell r="D1457" t="str">
            <v>CNY</v>
          </cell>
          <cell r="E1457" t="str">
            <v>PCS</v>
          </cell>
          <cell r="F1457">
            <v>1.5456000000000001E-2</v>
          </cell>
        </row>
        <row r="1458">
          <cell r="C1458">
            <v>3030104460</v>
          </cell>
          <cell r="D1458" t="str">
            <v>CNY</v>
          </cell>
          <cell r="E1458" t="str">
            <v>PCS</v>
          </cell>
          <cell r="F1458">
            <v>1.575E-2</v>
          </cell>
        </row>
        <row r="1459">
          <cell r="C1459">
            <v>3030104490</v>
          </cell>
          <cell r="D1459" t="str">
            <v>CNY</v>
          </cell>
          <cell r="E1459" t="str">
            <v>PCS</v>
          </cell>
          <cell r="F1459">
            <v>5.4379499999999997E-2</v>
          </cell>
        </row>
        <row r="1460">
          <cell r="C1460">
            <v>3030104520</v>
          </cell>
          <cell r="D1460" t="str">
            <v>CNY</v>
          </cell>
          <cell r="E1460" t="str">
            <v>PCS</v>
          </cell>
          <cell r="F1460">
            <v>2.7300000000000001E-2</v>
          </cell>
        </row>
        <row r="1461">
          <cell r="C1461">
            <v>3030104970</v>
          </cell>
          <cell r="D1461" t="str">
            <v>CNY</v>
          </cell>
          <cell r="E1461" t="str">
            <v>PCS</v>
          </cell>
          <cell r="F1461">
            <v>1.3335E-2</v>
          </cell>
        </row>
        <row r="1462">
          <cell r="C1462">
            <v>3030105470</v>
          </cell>
          <cell r="D1462" t="str">
            <v>CNY</v>
          </cell>
          <cell r="E1462" t="str">
            <v>PCS</v>
          </cell>
          <cell r="F1462">
            <v>0.263235</v>
          </cell>
        </row>
        <row r="1463">
          <cell r="C1463">
            <v>3030105660</v>
          </cell>
          <cell r="D1463" t="str">
            <v>CNY</v>
          </cell>
          <cell r="E1463" t="str">
            <v>PCS</v>
          </cell>
          <cell r="F1463">
            <v>0.60899999999999999</v>
          </cell>
        </row>
        <row r="1464">
          <cell r="C1464">
            <v>3030105690</v>
          </cell>
          <cell r="D1464" t="str">
            <v>CNY</v>
          </cell>
          <cell r="E1464" t="str">
            <v>PCS</v>
          </cell>
          <cell r="F1464">
            <v>4.4856E-2</v>
          </cell>
        </row>
        <row r="1465">
          <cell r="C1465">
            <v>3030105810</v>
          </cell>
          <cell r="D1465" t="str">
            <v>CNY</v>
          </cell>
          <cell r="E1465" t="str">
            <v>PCS</v>
          </cell>
          <cell r="F1465">
            <v>7.7280000000000005E-3</v>
          </cell>
        </row>
        <row r="1466">
          <cell r="C1466">
            <v>3030106081</v>
          </cell>
          <cell r="D1466" t="str">
            <v>CNY</v>
          </cell>
          <cell r="E1466" t="str">
            <v>PCS</v>
          </cell>
          <cell r="F1466">
            <v>2.3310000000000001E-2</v>
          </cell>
        </row>
        <row r="1467">
          <cell r="C1467">
            <v>3030106390</v>
          </cell>
          <cell r="D1467" t="str">
            <v>CNY</v>
          </cell>
          <cell r="E1467" t="str">
            <v>PCS</v>
          </cell>
          <cell r="F1467">
            <v>7.6072500000000001E-2</v>
          </cell>
        </row>
        <row r="1468">
          <cell r="C1468">
            <v>3030106410</v>
          </cell>
          <cell r="D1468" t="str">
            <v>CNY</v>
          </cell>
          <cell r="E1468" t="str">
            <v>PCS</v>
          </cell>
          <cell r="F1468">
            <v>8.925000000000001E-2</v>
          </cell>
        </row>
        <row r="1469">
          <cell r="C1469">
            <v>3030106480</v>
          </cell>
          <cell r="D1469" t="str">
            <v>CNY</v>
          </cell>
          <cell r="E1469" t="str">
            <v>PCS</v>
          </cell>
          <cell r="F1469">
            <v>8.4524999999999999E-3</v>
          </cell>
        </row>
        <row r="1470">
          <cell r="C1470">
            <v>3030107520</v>
          </cell>
          <cell r="D1470" t="str">
            <v>CNY</v>
          </cell>
          <cell r="E1470" t="str">
            <v>PCS</v>
          </cell>
          <cell r="F1470">
            <v>0.29507100000000003</v>
          </cell>
        </row>
        <row r="1471">
          <cell r="C1471">
            <v>3030107740</v>
          </cell>
          <cell r="D1471" t="str">
            <v>CNY</v>
          </cell>
          <cell r="E1471" t="str">
            <v>PCS</v>
          </cell>
          <cell r="F1471">
            <v>0.10500000000000001</v>
          </cell>
        </row>
        <row r="1472">
          <cell r="C1472">
            <v>3030107760</v>
          </cell>
          <cell r="D1472" t="str">
            <v>CNY</v>
          </cell>
          <cell r="E1472" t="str">
            <v>PCS</v>
          </cell>
          <cell r="F1472">
            <v>1.8963000000000001E-2</v>
          </cell>
        </row>
        <row r="1473">
          <cell r="C1473">
            <v>3030109470</v>
          </cell>
          <cell r="D1473" t="str">
            <v>CNY</v>
          </cell>
          <cell r="E1473" t="str">
            <v>PCS</v>
          </cell>
          <cell r="F1473">
            <v>5.5649999999999998E-2</v>
          </cell>
        </row>
        <row r="1474">
          <cell r="C1474">
            <v>3030109480</v>
          </cell>
          <cell r="D1474" t="str">
            <v>CNY</v>
          </cell>
          <cell r="E1474" t="str">
            <v>PCS</v>
          </cell>
          <cell r="F1474">
            <v>4.8194999999999995E-2</v>
          </cell>
        </row>
        <row r="1475">
          <cell r="C1475">
            <v>3030109540</v>
          </cell>
          <cell r="D1475" t="str">
            <v>CNY</v>
          </cell>
          <cell r="E1475" t="str">
            <v>PCS</v>
          </cell>
          <cell r="F1475">
            <v>5.9293499999999999E-2</v>
          </cell>
        </row>
        <row r="1476">
          <cell r="C1476">
            <v>3030109550</v>
          </cell>
          <cell r="D1476" t="str">
            <v>CNY</v>
          </cell>
          <cell r="E1476" t="str">
            <v>PCS</v>
          </cell>
          <cell r="F1476">
            <v>0.35700000000000004</v>
          </cell>
        </row>
        <row r="1477">
          <cell r="C1477">
            <v>3030109560</v>
          </cell>
          <cell r="D1477" t="str">
            <v>CNY</v>
          </cell>
          <cell r="E1477" t="str">
            <v>PCS</v>
          </cell>
          <cell r="F1477">
            <v>5.8275E-2</v>
          </cell>
        </row>
        <row r="1478">
          <cell r="C1478">
            <v>3030109630</v>
          </cell>
          <cell r="D1478" t="str">
            <v>CNY</v>
          </cell>
          <cell r="E1478" t="str">
            <v>PCS</v>
          </cell>
          <cell r="F1478">
            <v>0.10395000000000001</v>
          </cell>
        </row>
        <row r="1479">
          <cell r="C1479">
            <v>3030109640</v>
          </cell>
          <cell r="D1479" t="str">
            <v>CNY</v>
          </cell>
          <cell r="E1479" t="str">
            <v>PCS</v>
          </cell>
          <cell r="F1479">
            <v>7.6072500000000001E-2</v>
          </cell>
        </row>
        <row r="1480">
          <cell r="C1480">
            <v>3030109860</v>
          </cell>
          <cell r="D1480" t="str">
            <v>CNY</v>
          </cell>
          <cell r="E1480" t="str">
            <v>PCS</v>
          </cell>
          <cell r="F1480">
            <v>2.6144999999999998E-2</v>
          </cell>
        </row>
        <row r="1481">
          <cell r="C1481">
            <v>3030109880</v>
          </cell>
          <cell r="D1481" t="str">
            <v>CNY</v>
          </cell>
          <cell r="E1481" t="str">
            <v>PCS</v>
          </cell>
          <cell r="F1481">
            <v>0.13354950000000002</v>
          </cell>
        </row>
        <row r="1482">
          <cell r="C1482">
            <v>3030109900</v>
          </cell>
          <cell r="D1482" t="str">
            <v>CNY</v>
          </cell>
          <cell r="E1482" t="str">
            <v>PCS</v>
          </cell>
          <cell r="F1482">
            <v>0.25789050000000002</v>
          </cell>
        </row>
        <row r="1483">
          <cell r="C1483">
            <v>3030109910</v>
          </cell>
          <cell r="D1483" t="str">
            <v>CNY</v>
          </cell>
          <cell r="E1483" t="str">
            <v>PCS</v>
          </cell>
          <cell r="F1483">
            <v>5.2500000000000005E-2</v>
          </cell>
        </row>
        <row r="1484">
          <cell r="C1484">
            <v>3030109940</v>
          </cell>
          <cell r="D1484" t="str">
            <v>CNY</v>
          </cell>
          <cell r="E1484" t="str">
            <v>PCS</v>
          </cell>
          <cell r="F1484">
            <v>5.9868375</v>
          </cell>
        </row>
        <row r="1485">
          <cell r="C1485">
            <v>3030109980</v>
          </cell>
          <cell r="D1485" t="str">
            <v>CNY</v>
          </cell>
          <cell r="E1485" t="str">
            <v>PCS</v>
          </cell>
          <cell r="F1485">
            <v>1.7010000000000001E-2</v>
          </cell>
        </row>
        <row r="1486">
          <cell r="C1486">
            <v>3030109990</v>
          </cell>
          <cell r="D1486" t="str">
            <v>CNY</v>
          </cell>
          <cell r="E1486" t="str">
            <v>PCS</v>
          </cell>
          <cell r="F1486">
            <v>7.2450000000000014E-2</v>
          </cell>
        </row>
        <row r="1487">
          <cell r="C1487">
            <v>3030110040</v>
          </cell>
          <cell r="D1487" t="str">
            <v>CNY</v>
          </cell>
          <cell r="E1487" t="str">
            <v>PCS</v>
          </cell>
          <cell r="F1487">
            <v>3.0974999999999999E-2</v>
          </cell>
        </row>
        <row r="1488">
          <cell r="C1488">
            <v>3030110110</v>
          </cell>
          <cell r="D1488" t="str">
            <v>CNY</v>
          </cell>
          <cell r="E1488" t="str">
            <v>PCS</v>
          </cell>
          <cell r="F1488">
            <v>0.69300000000000006</v>
          </cell>
        </row>
        <row r="1489">
          <cell r="C1489">
            <v>3030110120</v>
          </cell>
          <cell r="D1489" t="str">
            <v>CNY</v>
          </cell>
          <cell r="E1489" t="str">
            <v>PCS</v>
          </cell>
          <cell r="F1489">
            <v>0.34230000000000005</v>
          </cell>
        </row>
        <row r="1490">
          <cell r="C1490">
            <v>3030110130</v>
          </cell>
          <cell r="D1490" t="str">
            <v>CNY</v>
          </cell>
          <cell r="E1490" t="str">
            <v>PCS</v>
          </cell>
          <cell r="F1490">
            <v>0.68250000000000011</v>
          </cell>
        </row>
        <row r="1491">
          <cell r="C1491">
            <v>3030110140</v>
          </cell>
          <cell r="D1491" t="str">
            <v>CNY</v>
          </cell>
          <cell r="E1491" t="str">
            <v>PCS</v>
          </cell>
          <cell r="F1491">
            <v>0.53550000000000009</v>
          </cell>
        </row>
        <row r="1492">
          <cell r="C1492">
            <v>3030110260</v>
          </cell>
          <cell r="D1492" t="str">
            <v>CNY</v>
          </cell>
          <cell r="E1492" t="str">
            <v>PCS</v>
          </cell>
          <cell r="F1492">
            <v>2.9400000000000003E-2</v>
          </cell>
        </row>
        <row r="1493">
          <cell r="C1493">
            <v>3030300080</v>
          </cell>
          <cell r="D1493" t="str">
            <v>CNY</v>
          </cell>
          <cell r="E1493" t="str">
            <v>PCS</v>
          </cell>
          <cell r="F1493">
            <v>1.4616000000000001E-2</v>
          </cell>
        </row>
        <row r="1494">
          <cell r="C1494">
            <v>3030300100</v>
          </cell>
          <cell r="D1494" t="str">
            <v>CNY</v>
          </cell>
          <cell r="E1494" t="str">
            <v>PCS</v>
          </cell>
          <cell r="F1494">
            <v>6.6150000000000002E-3</v>
          </cell>
        </row>
        <row r="1495">
          <cell r="C1495">
            <v>3030300160</v>
          </cell>
          <cell r="D1495" t="str">
            <v>CNY</v>
          </cell>
          <cell r="E1495" t="str">
            <v>PCS</v>
          </cell>
          <cell r="F1495">
            <v>6.6150000000000002E-3</v>
          </cell>
        </row>
        <row r="1496">
          <cell r="C1496">
            <v>3030300210</v>
          </cell>
          <cell r="D1496" t="str">
            <v>CNY</v>
          </cell>
          <cell r="E1496" t="str">
            <v>PCS</v>
          </cell>
          <cell r="F1496">
            <v>7.2135000000000003E-3</v>
          </cell>
        </row>
        <row r="1497">
          <cell r="C1497">
            <v>3030300280</v>
          </cell>
          <cell r="D1497" t="str">
            <v>CNY</v>
          </cell>
          <cell r="E1497" t="str">
            <v>PCS</v>
          </cell>
          <cell r="F1497">
            <v>1.9425000000000001E-2</v>
          </cell>
        </row>
        <row r="1498">
          <cell r="C1498">
            <v>3030300380</v>
          </cell>
          <cell r="D1498" t="str">
            <v>CNY</v>
          </cell>
          <cell r="E1498" t="str">
            <v>PCS</v>
          </cell>
          <cell r="F1498">
            <v>2.0769000000000003E-2</v>
          </cell>
        </row>
        <row r="1499">
          <cell r="C1499">
            <v>3030300700</v>
          </cell>
          <cell r="D1499" t="str">
            <v>CNY</v>
          </cell>
          <cell r="E1499" t="str">
            <v>PCS</v>
          </cell>
          <cell r="F1499">
            <v>1.0311000000000001E-2</v>
          </cell>
        </row>
        <row r="1500">
          <cell r="C1500">
            <v>3030300710</v>
          </cell>
          <cell r="D1500" t="str">
            <v>CNY</v>
          </cell>
          <cell r="E1500" t="str">
            <v>PCS</v>
          </cell>
          <cell r="F1500">
            <v>1.0709999999999999E-2</v>
          </cell>
        </row>
        <row r="1501">
          <cell r="C1501">
            <v>3030300730</v>
          </cell>
          <cell r="D1501" t="str">
            <v>CNY</v>
          </cell>
          <cell r="E1501" t="str">
            <v>PCS</v>
          </cell>
          <cell r="F1501">
            <v>3.6750000000000005E-2</v>
          </cell>
        </row>
        <row r="1502">
          <cell r="C1502">
            <v>3030303110</v>
          </cell>
          <cell r="D1502" t="str">
            <v>CNY</v>
          </cell>
          <cell r="E1502" t="str">
            <v>PCS</v>
          </cell>
          <cell r="F1502">
            <v>8.4000000000000012E-3</v>
          </cell>
        </row>
        <row r="1503">
          <cell r="C1503">
            <v>3030303160</v>
          </cell>
          <cell r="D1503" t="str">
            <v>CNY</v>
          </cell>
          <cell r="E1503" t="str">
            <v>PCS</v>
          </cell>
          <cell r="F1503">
            <v>0.15576749999999998</v>
          </cell>
        </row>
        <row r="1504">
          <cell r="C1504">
            <v>3030303170</v>
          </cell>
          <cell r="D1504" t="str">
            <v>CNY</v>
          </cell>
          <cell r="E1504" t="str">
            <v>PCS</v>
          </cell>
          <cell r="F1504">
            <v>0.16482899999999998</v>
          </cell>
        </row>
        <row r="1505">
          <cell r="C1505">
            <v>3030303230</v>
          </cell>
          <cell r="D1505" t="str">
            <v>CNY</v>
          </cell>
          <cell r="E1505" t="str">
            <v>PCS</v>
          </cell>
          <cell r="F1505">
            <v>3.2550000000000003E-2</v>
          </cell>
        </row>
        <row r="1506">
          <cell r="C1506">
            <v>3030303440</v>
          </cell>
          <cell r="D1506" t="str">
            <v>CNY</v>
          </cell>
          <cell r="E1506" t="str">
            <v>PCS</v>
          </cell>
          <cell r="F1506">
            <v>2.1000000000000001E-2</v>
          </cell>
        </row>
        <row r="1507">
          <cell r="C1507">
            <v>3030500010</v>
          </cell>
          <cell r="D1507" t="str">
            <v>CNY</v>
          </cell>
          <cell r="E1507" t="str">
            <v>PCS</v>
          </cell>
          <cell r="F1507">
            <v>7.0160999999999987E-2</v>
          </cell>
        </row>
        <row r="1508">
          <cell r="C1508">
            <v>3030500290</v>
          </cell>
          <cell r="D1508" t="str">
            <v>CNY</v>
          </cell>
          <cell r="E1508" t="str">
            <v>PCS</v>
          </cell>
          <cell r="F1508">
            <v>5.2500000000000005E-2</v>
          </cell>
        </row>
        <row r="1509">
          <cell r="C1509">
            <v>3030500460</v>
          </cell>
          <cell r="D1509" t="str">
            <v>CNY</v>
          </cell>
          <cell r="E1509" t="str">
            <v>PCS</v>
          </cell>
          <cell r="F1509">
            <v>6.4480499999999996E-2</v>
          </cell>
        </row>
        <row r="1510">
          <cell r="C1510">
            <v>3030500790</v>
          </cell>
          <cell r="D1510" t="str">
            <v>CNY</v>
          </cell>
          <cell r="E1510" t="str">
            <v>PCS</v>
          </cell>
          <cell r="F1510">
            <v>4.9350000000000005E-2</v>
          </cell>
        </row>
        <row r="1511">
          <cell r="C1511">
            <v>3030500920</v>
          </cell>
          <cell r="D1511" t="str">
            <v>CNY</v>
          </cell>
          <cell r="E1511" t="str">
            <v>PCS</v>
          </cell>
          <cell r="F1511">
            <v>7.0812E-2</v>
          </cell>
        </row>
        <row r="1512">
          <cell r="C1512">
            <v>3030501030</v>
          </cell>
          <cell r="D1512" t="str">
            <v>CNY</v>
          </cell>
          <cell r="E1512" t="str">
            <v>PCS</v>
          </cell>
          <cell r="F1512">
            <v>4.6199999999999998E-2</v>
          </cell>
        </row>
        <row r="1513">
          <cell r="C1513">
            <v>3030501480</v>
          </cell>
          <cell r="D1513" t="str">
            <v>CNY</v>
          </cell>
          <cell r="E1513" t="str">
            <v>PCS</v>
          </cell>
          <cell r="F1513">
            <v>4.3889999999999998E-2</v>
          </cell>
        </row>
        <row r="1514">
          <cell r="C1514">
            <v>3030502830</v>
          </cell>
          <cell r="D1514" t="str">
            <v>CNY</v>
          </cell>
          <cell r="E1514" t="str">
            <v>PCS</v>
          </cell>
          <cell r="F1514">
            <v>5.04E-2</v>
          </cell>
        </row>
        <row r="1515">
          <cell r="C1515">
            <v>3030502860</v>
          </cell>
          <cell r="D1515" t="str">
            <v>CNY</v>
          </cell>
          <cell r="E1515" t="str">
            <v>PCS</v>
          </cell>
          <cell r="F1515">
            <v>8.4000000000000005E-2</v>
          </cell>
        </row>
        <row r="1516">
          <cell r="C1516">
            <v>3030503150</v>
          </cell>
          <cell r="D1516" t="str">
            <v>CNY</v>
          </cell>
          <cell r="E1516" t="str">
            <v>PCS</v>
          </cell>
          <cell r="F1516">
            <v>6.9720000000000004E-2</v>
          </cell>
        </row>
        <row r="1517">
          <cell r="C1517">
            <v>3030503330</v>
          </cell>
          <cell r="D1517" t="str">
            <v>CNY</v>
          </cell>
          <cell r="E1517" t="str">
            <v>PCS</v>
          </cell>
          <cell r="F1517">
            <v>8.6625000000000008E-2</v>
          </cell>
        </row>
        <row r="1518">
          <cell r="C1518">
            <v>3030503410</v>
          </cell>
          <cell r="D1518" t="str">
            <v>CNY</v>
          </cell>
          <cell r="E1518" t="str">
            <v>PCS</v>
          </cell>
          <cell r="F1518">
            <v>6.3E-2</v>
          </cell>
        </row>
        <row r="1519">
          <cell r="C1519">
            <v>3030503480</v>
          </cell>
          <cell r="D1519" t="str">
            <v>CNY</v>
          </cell>
          <cell r="E1519" t="str">
            <v>PCS</v>
          </cell>
          <cell r="F1519">
            <v>0.1575</v>
          </cell>
        </row>
        <row r="1520">
          <cell r="C1520">
            <v>3030503490</v>
          </cell>
          <cell r="D1520" t="str">
            <v>CNY</v>
          </cell>
          <cell r="E1520" t="str">
            <v>PCS</v>
          </cell>
          <cell r="F1520">
            <v>5.2500000000000005E-2</v>
          </cell>
        </row>
        <row r="1521">
          <cell r="C1521">
            <v>3030702050</v>
          </cell>
          <cell r="D1521" t="str">
            <v>CNY</v>
          </cell>
          <cell r="E1521" t="str">
            <v>PCS</v>
          </cell>
          <cell r="F1521">
            <v>0.69037499999999996</v>
          </cell>
        </row>
        <row r="1522">
          <cell r="C1522">
            <v>3030702090</v>
          </cell>
          <cell r="D1522" t="str">
            <v>CNY</v>
          </cell>
          <cell r="E1522" t="str">
            <v>PCS</v>
          </cell>
          <cell r="F1522">
            <v>0.73499999999999999</v>
          </cell>
        </row>
        <row r="1523">
          <cell r="C1523">
            <v>3030702130</v>
          </cell>
          <cell r="D1523" t="str">
            <v>CNY</v>
          </cell>
          <cell r="E1523" t="str">
            <v>PCS</v>
          </cell>
          <cell r="F1523">
            <v>0.10447500000000001</v>
          </cell>
        </row>
        <row r="1524">
          <cell r="C1524">
            <v>3030702140</v>
          </cell>
          <cell r="D1524" t="str">
            <v>CNY</v>
          </cell>
          <cell r="E1524" t="str">
            <v>PCS</v>
          </cell>
          <cell r="F1524">
            <v>0.16578449999999997</v>
          </cell>
        </row>
        <row r="1525">
          <cell r="C1525">
            <v>3030702210</v>
          </cell>
          <cell r="D1525" t="str">
            <v>CNY</v>
          </cell>
          <cell r="E1525" t="str">
            <v>PCS</v>
          </cell>
          <cell r="F1525">
            <v>1.1340000000000001</v>
          </cell>
        </row>
        <row r="1526">
          <cell r="C1526">
            <v>3030900010</v>
          </cell>
          <cell r="D1526" t="str">
            <v>CNY</v>
          </cell>
          <cell r="E1526" t="str">
            <v>PCS</v>
          </cell>
          <cell r="F1526">
            <v>2.3120999999999999E-2</v>
          </cell>
        </row>
        <row r="1527">
          <cell r="C1527">
            <v>3030900200</v>
          </cell>
          <cell r="D1527" t="str">
            <v>CNY</v>
          </cell>
          <cell r="E1527" t="str">
            <v>PCS</v>
          </cell>
          <cell r="F1527">
            <v>2.3099999999999999E-2</v>
          </cell>
        </row>
        <row r="1528">
          <cell r="C1528">
            <v>3030900210</v>
          </cell>
          <cell r="D1528" t="str">
            <v>CNY</v>
          </cell>
          <cell r="E1528" t="str">
            <v>PCS</v>
          </cell>
          <cell r="F1528">
            <v>4.725E-2</v>
          </cell>
        </row>
        <row r="1529">
          <cell r="C1529">
            <v>3030900220</v>
          </cell>
          <cell r="D1529" t="str">
            <v>CNY</v>
          </cell>
          <cell r="E1529" t="str">
            <v>PCS</v>
          </cell>
          <cell r="F1529">
            <v>7.5495000000000007E-2</v>
          </cell>
        </row>
        <row r="1530">
          <cell r="C1530">
            <v>3030900330</v>
          </cell>
          <cell r="D1530" t="str">
            <v>CNY</v>
          </cell>
          <cell r="E1530" t="str">
            <v>PCS</v>
          </cell>
          <cell r="F1530">
            <v>9.4080000000000014E-3</v>
          </cell>
        </row>
        <row r="1531">
          <cell r="C1531">
            <v>3030900440</v>
          </cell>
          <cell r="D1531" t="str">
            <v>CNY</v>
          </cell>
          <cell r="E1531" t="str">
            <v>PCS</v>
          </cell>
          <cell r="F1531">
            <v>1.0762500000000001E-2</v>
          </cell>
        </row>
        <row r="1532">
          <cell r="C1532">
            <v>3030900500</v>
          </cell>
          <cell r="D1532" t="str">
            <v>CNY</v>
          </cell>
          <cell r="E1532" t="str">
            <v>PCS</v>
          </cell>
          <cell r="F1532">
            <v>6.2086500000000003E-2</v>
          </cell>
        </row>
        <row r="1533">
          <cell r="C1533">
            <v>3030900580</v>
          </cell>
          <cell r="D1533" t="str">
            <v>CNY</v>
          </cell>
          <cell r="E1533" t="str">
            <v>PCS</v>
          </cell>
          <cell r="F1533">
            <v>2.52E-2</v>
          </cell>
        </row>
        <row r="1534">
          <cell r="C1534">
            <v>3030900630</v>
          </cell>
          <cell r="D1534" t="str">
            <v>CNY</v>
          </cell>
          <cell r="E1534" t="str">
            <v>PCS</v>
          </cell>
          <cell r="F1534">
            <v>0.35259000000000001</v>
          </cell>
        </row>
        <row r="1535">
          <cell r="C1535">
            <v>3030900720</v>
          </cell>
          <cell r="D1535" t="str">
            <v>CNY</v>
          </cell>
          <cell r="E1535" t="str">
            <v>PCS</v>
          </cell>
          <cell r="F1535">
            <v>0.18837000000000001</v>
          </cell>
        </row>
        <row r="1536">
          <cell r="C1536">
            <v>3030902610</v>
          </cell>
          <cell r="D1536" t="str">
            <v>CNY</v>
          </cell>
          <cell r="E1536" t="str">
            <v>PCS</v>
          </cell>
          <cell r="F1536">
            <v>8.5648499999999989E-2</v>
          </cell>
        </row>
        <row r="1537">
          <cell r="C1537">
            <v>3030902620</v>
          </cell>
          <cell r="D1537" t="str">
            <v>CNY</v>
          </cell>
          <cell r="E1537" t="str">
            <v>PCS</v>
          </cell>
          <cell r="F1537">
            <v>9.7450500000000009E-2</v>
          </cell>
        </row>
        <row r="1538">
          <cell r="C1538">
            <v>3030902640</v>
          </cell>
          <cell r="D1538" t="str">
            <v>CNY</v>
          </cell>
          <cell r="E1538" t="str">
            <v>PCS</v>
          </cell>
          <cell r="F1538">
            <v>3.4230000000000003E-2</v>
          </cell>
        </row>
        <row r="1539">
          <cell r="C1539">
            <v>3031100150</v>
          </cell>
          <cell r="D1539" t="str">
            <v>CNY</v>
          </cell>
          <cell r="E1539" t="str">
            <v>PCS</v>
          </cell>
          <cell r="F1539">
            <v>8.1899999999999994E-3</v>
          </cell>
        </row>
        <row r="1540">
          <cell r="C1540">
            <v>3031100160</v>
          </cell>
          <cell r="D1540" t="str">
            <v>CNY</v>
          </cell>
          <cell r="E1540" t="str">
            <v>PCS</v>
          </cell>
          <cell r="F1540">
            <v>1.7850000000000001E-2</v>
          </cell>
        </row>
        <row r="1541">
          <cell r="C1541">
            <v>3031100210</v>
          </cell>
          <cell r="D1541" t="str">
            <v>CNY</v>
          </cell>
          <cell r="E1541" t="str">
            <v>PCS</v>
          </cell>
          <cell r="F1541">
            <v>1.7850000000000001E-2</v>
          </cell>
        </row>
        <row r="1542">
          <cell r="C1542">
            <v>3031100260</v>
          </cell>
          <cell r="D1542" t="str">
            <v>CNY</v>
          </cell>
          <cell r="E1542" t="str">
            <v>PCS</v>
          </cell>
          <cell r="F1542">
            <v>1.0720500000000001E-2</v>
          </cell>
        </row>
        <row r="1543">
          <cell r="C1543">
            <v>3031100450</v>
          </cell>
          <cell r="D1543" t="str">
            <v>CNY</v>
          </cell>
          <cell r="E1543" t="str">
            <v>PCS</v>
          </cell>
          <cell r="F1543">
            <v>5.3760000000000002E-2</v>
          </cell>
        </row>
        <row r="1544">
          <cell r="C1544">
            <v>3031101690</v>
          </cell>
          <cell r="D1544" t="str">
            <v>CNY</v>
          </cell>
          <cell r="E1544" t="str">
            <v>PCS</v>
          </cell>
          <cell r="F1544">
            <v>1.281E-2</v>
          </cell>
        </row>
        <row r="1545">
          <cell r="C1545">
            <v>3031101920</v>
          </cell>
          <cell r="D1545" t="str">
            <v>CNY</v>
          </cell>
          <cell r="E1545" t="str">
            <v>PCS</v>
          </cell>
          <cell r="F1545">
            <v>3.4986000000000003E-2</v>
          </cell>
        </row>
        <row r="1546">
          <cell r="C1546">
            <v>3031101930</v>
          </cell>
          <cell r="D1546" t="str">
            <v>CNY</v>
          </cell>
          <cell r="E1546" t="str">
            <v>PCS</v>
          </cell>
          <cell r="F1546">
            <v>4.3438499999999998E-2</v>
          </cell>
        </row>
        <row r="1547">
          <cell r="C1547">
            <v>3031101950</v>
          </cell>
          <cell r="D1547" t="str">
            <v>CNY</v>
          </cell>
          <cell r="E1547" t="str">
            <v>PCS</v>
          </cell>
          <cell r="F1547">
            <v>0.1008</v>
          </cell>
        </row>
        <row r="1548">
          <cell r="C1548">
            <v>3031102070</v>
          </cell>
          <cell r="D1548" t="str">
            <v>CNY</v>
          </cell>
          <cell r="E1548" t="str">
            <v>PCS</v>
          </cell>
          <cell r="F1548">
            <v>1.24425E-2</v>
          </cell>
        </row>
        <row r="1549">
          <cell r="C1549">
            <v>3031300100</v>
          </cell>
          <cell r="D1549" t="str">
            <v>CNY</v>
          </cell>
          <cell r="E1549" t="str">
            <v>PCS</v>
          </cell>
          <cell r="F1549">
            <v>1.6800000000000001E-3</v>
          </cell>
        </row>
        <row r="1550">
          <cell r="C1550">
            <v>3031300120</v>
          </cell>
          <cell r="D1550" t="str">
            <v>CNY</v>
          </cell>
          <cell r="E1550" t="str">
            <v>PCS</v>
          </cell>
          <cell r="F1550">
            <v>2.0579999999999999E-3</v>
          </cell>
        </row>
        <row r="1551">
          <cell r="C1551">
            <v>3031300140</v>
          </cell>
          <cell r="D1551" t="str">
            <v>CNY</v>
          </cell>
          <cell r="E1551" t="str">
            <v>PCS</v>
          </cell>
          <cell r="F1551">
            <v>4.0109999999999998E-3</v>
          </cell>
        </row>
        <row r="1552">
          <cell r="C1552">
            <v>3031300170</v>
          </cell>
          <cell r="D1552" t="str">
            <v>CNY</v>
          </cell>
          <cell r="E1552" t="str">
            <v>PCS</v>
          </cell>
          <cell r="F1552">
            <v>7.7910000000000002E-3</v>
          </cell>
        </row>
        <row r="1553">
          <cell r="C1553">
            <v>3031300220</v>
          </cell>
          <cell r="D1553" t="str">
            <v>CNY</v>
          </cell>
          <cell r="E1553" t="str">
            <v>PCS</v>
          </cell>
          <cell r="F1553">
            <v>1.9740000000000001E-2</v>
          </cell>
        </row>
        <row r="1554">
          <cell r="C1554">
            <v>3031300270</v>
          </cell>
          <cell r="D1554" t="str">
            <v>CNY</v>
          </cell>
          <cell r="E1554" t="str">
            <v>PCS</v>
          </cell>
          <cell r="F1554">
            <v>3.2235E-2</v>
          </cell>
        </row>
        <row r="1555">
          <cell r="C1555">
            <v>3031300280</v>
          </cell>
          <cell r="D1555" t="str">
            <v>CNY</v>
          </cell>
          <cell r="E1555" t="str">
            <v>PCS</v>
          </cell>
          <cell r="F1555">
            <v>2.2364999999999999E-2</v>
          </cell>
        </row>
        <row r="1556">
          <cell r="C1556">
            <v>3031300310</v>
          </cell>
          <cell r="D1556" t="str">
            <v>CNY</v>
          </cell>
          <cell r="E1556" t="str">
            <v>PCS</v>
          </cell>
          <cell r="F1556">
            <v>3.5804999999999997E-2</v>
          </cell>
        </row>
        <row r="1557">
          <cell r="C1557">
            <v>3031300320</v>
          </cell>
          <cell r="D1557" t="str">
            <v>CNY</v>
          </cell>
          <cell r="E1557" t="str">
            <v>PCS</v>
          </cell>
          <cell r="F1557">
            <v>8.7150000000000005E-2</v>
          </cell>
        </row>
        <row r="1558">
          <cell r="C1558">
            <v>3031301750</v>
          </cell>
          <cell r="D1558" t="str">
            <v>CNY</v>
          </cell>
          <cell r="E1558" t="str">
            <v>PCS</v>
          </cell>
          <cell r="F1558">
            <v>2.3331000000000001E-2</v>
          </cell>
        </row>
        <row r="1559">
          <cell r="C1559">
            <v>3031900070</v>
          </cell>
          <cell r="D1559" t="str">
            <v>CNY</v>
          </cell>
          <cell r="E1559" t="str">
            <v>PCS</v>
          </cell>
          <cell r="F1559">
            <v>2.3163E-2</v>
          </cell>
        </row>
        <row r="1560">
          <cell r="C1560">
            <v>3031900251</v>
          </cell>
          <cell r="D1560" t="str">
            <v>CNY</v>
          </cell>
          <cell r="E1560" t="str">
            <v>PCS</v>
          </cell>
          <cell r="F1560">
            <v>0.17471999999999999</v>
          </cell>
        </row>
        <row r="1561">
          <cell r="C1561">
            <v>3032101550</v>
          </cell>
          <cell r="D1561" t="str">
            <v>CNY</v>
          </cell>
          <cell r="E1561" t="str">
            <v>PCS</v>
          </cell>
          <cell r="F1561">
            <v>0.1575</v>
          </cell>
        </row>
        <row r="1562">
          <cell r="C1562">
            <v>3032101990</v>
          </cell>
          <cell r="D1562" t="str">
            <v>CNY</v>
          </cell>
          <cell r="E1562" t="str">
            <v>PCS</v>
          </cell>
          <cell r="F1562">
            <v>1.23417</v>
          </cell>
        </row>
        <row r="1563">
          <cell r="C1563">
            <v>3032700030</v>
          </cell>
          <cell r="D1563" t="str">
            <v>CNY</v>
          </cell>
          <cell r="E1563" t="str">
            <v>SET</v>
          </cell>
          <cell r="F1563">
            <v>1.155E-2</v>
          </cell>
        </row>
        <row r="1564">
          <cell r="C1564">
            <v>3032700160</v>
          </cell>
          <cell r="D1564" t="str">
            <v>CNY</v>
          </cell>
          <cell r="E1564" t="str">
            <v>SET</v>
          </cell>
          <cell r="F1564">
            <v>0.18163950000000001</v>
          </cell>
        </row>
        <row r="1565">
          <cell r="C1565">
            <v>3032700480</v>
          </cell>
          <cell r="D1565" t="str">
            <v>CNY</v>
          </cell>
          <cell r="E1565" t="str">
            <v>PCS</v>
          </cell>
          <cell r="F1565">
            <v>4.4100000000000007E-2</v>
          </cell>
        </row>
        <row r="1566">
          <cell r="C1566">
            <v>3032701640</v>
          </cell>
          <cell r="D1566" t="str">
            <v>CNY</v>
          </cell>
          <cell r="E1566" t="str">
            <v>SET</v>
          </cell>
          <cell r="F1566">
            <v>1.1350500000000001</v>
          </cell>
        </row>
        <row r="1567">
          <cell r="C1567">
            <v>3032701650</v>
          </cell>
          <cell r="D1567" t="str">
            <v>CNY</v>
          </cell>
          <cell r="E1567" t="str">
            <v>SET</v>
          </cell>
          <cell r="F1567">
            <v>4.4100000000000007E-2</v>
          </cell>
        </row>
        <row r="1568">
          <cell r="C1568">
            <v>3032701660</v>
          </cell>
          <cell r="D1568" t="str">
            <v>CNY</v>
          </cell>
          <cell r="E1568" t="str">
            <v>SET</v>
          </cell>
          <cell r="F1568">
            <v>0.1071</v>
          </cell>
        </row>
        <row r="1569">
          <cell r="C1569">
            <v>3032701670</v>
          </cell>
          <cell r="D1569" t="str">
            <v>CNY</v>
          </cell>
          <cell r="E1569" t="str">
            <v>PCS</v>
          </cell>
          <cell r="F1569">
            <v>0.21155399999999999</v>
          </cell>
        </row>
        <row r="1570">
          <cell r="C1570">
            <v>3032702000</v>
          </cell>
          <cell r="D1570" t="str">
            <v>CNY</v>
          </cell>
          <cell r="E1570" t="str">
            <v>PCS</v>
          </cell>
          <cell r="F1570">
            <v>6.5667000000000003E-2</v>
          </cell>
        </row>
        <row r="1571">
          <cell r="C1571">
            <v>3032702090</v>
          </cell>
          <cell r="D1571" t="str">
            <v>CNY</v>
          </cell>
          <cell r="E1571" t="str">
            <v>PCS</v>
          </cell>
          <cell r="F1571">
            <v>0.17325000000000002</v>
          </cell>
        </row>
        <row r="1572">
          <cell r="C1572">
            <v>3032900010</v>
          </cell>
          <cell r="D1572" t="str">
            <v>CNY</v>
          </cell>
          <cell r="E1572" t="str">
            <v>PCS</v>
          </cell>
          <cell r="F1572">
            <v>1.89E-2</v>
          </cell>
        </row>
        <row r="1573">
          <cell r="C1573">
            <v>3032900040</v>
          </cell>
          <cell r="D1573" t="str">
            <v>CNY</v>
          </cell>
          <cell r="E1573" t="str">
            <v>PCS</v>
          </cell>
          <cell r="F1573">
            <v>1.4721E-2</v>
          </cell>
        </row>
        <row r="1574">
          <cell r="C1574">
            <v>3032900150</v>
          </cell>
          <cell r="D1574" t="str">
            <v>CNY</v>
          </cell>
          <cell r="E1574" t="str">
            <v>PCS</v>
          </cell>
          <cell r="F1574">
            <v>2.3099999999999999E-2</v>
          </cell>
        </row>
        <row r="1575">
          <cell r="C1575">
            <v>3032902440</v>
          </cell>
          <cell r="D1575" t="str">
            <v>CNY</v>
          </cell>
          <cell r="E1575" t="str">
            <v>PCS</v>
          </cell>
          <cell r="F1575">
            <v>1.89E-2</v>
          </cell>
        </row>
        <row r="1576">
          <cell r="C1576">
            <v>3032902450</v>
          </cell>
          <cell r="D1576" t="str">
            <v>CNY</v>
          </cell>
          <cell r="E1576" t="str">
            <v>PCS</v>
          </cell>
          <cell r="F1576">
            <v>1.4175E-2</v>
          </cell>
        </row>
        <row r="1577">
          <cell r="C1577">
            <v>3032904000</v>
          </cell>
          <cell r="D1577" t="str">
            <v>CNY</v>
          </cell>
          <cell r="E1577" t="str">
            <v>PCS</v>
          </cell>
          <cell r="F1577">
            <v>7.9799999999999996E-2</v>
          </cell>
        </row>
        <row r="1578">
          <cell r="C1578">
            <v>3033100200</v>
          </cell>
          <cell r="D1578" t="str">
            <v>CNY</v>
          </cell>
          <cell r="E1578" t="str">
            <v>PCS</v>
          </cell>
          <cell r="F1578">
            <v>63</v>
          </cell>
        </row>
        <row r="1579">
          <cell r="C1579">
            <v>3033100210</v>
          </cell>
          <cell r="D1579" t="str">
            <v>CNY</v>
          </cell>
          <cell r="E1579" t="str">
            <v>PCS</v>
          </cell>
          <cell r="F1579">
            <v>167.25450000000001</v>
          </cell>
        </row>
        <row r="1580">
          <cell r="C1580">
            <v>3033100230</v>
          </cell>
          <cell r="D1580" t="str">
            <v>CNY</v>
          </cell>
          <cell r="E1580" t="str">
            <v>PCS</v>
          </cell>
          <cell r="F1580">
            <v>92.924999999999997</v>
          </cell>
        </row>
        <row r="1581">
          <cell r="C1581">
            <v>3033100240</v>
          </cell>
          <cell r="D1581" t="str">
            <v>CNY</v>
          </cell>
          <cell r="E1581" t="str">
            <v>PCS</v>
          </cell>
          <cell r="F1581">
            <v>79.8</v>
          </cell>
        </row>
        <row r="1582">
          <cell r="C1582">
            <v>3033100250</v>
          </cell>
          <cell r="D1582" t="str">
            <v>CNY</v>
          </cell>
          <cell r="E1582" t="str">
            <v>PCS</v>
          </cell>
          <cell r="F1582">
            <v>219.29249999999999</v>
          </cell>
        </row>
        <row r="1583">
          <cell r="C1583">
            <v>3033100360</v>
          </cell>
          <cell r="D1583" t="str">
            <v>CNY</v>
          </cell>
          <cell r="E1583" t="str">
            <v>PCS</v>
          </cell>
          <cell r="F1583">
            <v>66.932249999999996</v>
          </cell>
        </row>
        <row r="1584">
          <cell r="C1584">
            <v>3033100380</v>
          </cell>
          <cell r="D1584" t="str">
            <v>CNY</v>
          </cell>
          <cell r="E1584" t="str">
            <v>PCS</v>
          </cell>
          <cell r="F1584">
            <v>91.875</v>
          </cell>
        </row>
        <row r="1585">
          <cell r="C1585">
            <v>3033100390</v>
          </cell>
          <cell r="D1585" t="str">
            <v>CNY</v>
          </cell>
          <cell r="E1585" t="str">
            <v>PCS</v>
          </cell>
          <cell r="F1585">
            <v>100.48500000000001</v>
          </cell>
        </row>
        <row r="1586">
          <cell r="C1586">
            <v>3033100400</v>
          </cell>
          <cell r="D1586" t="str">
            <v>CNY</v>
          </cell>
          <cell r="E1586" t="str">
            <v>PCS</v>
          </cell>
          <cell r="F1586">
            <v>184.27500000000001</v>
          </cell>
        </row>
        <row r="1587">
          <cell r="C1587">
            <v>3033100410</v>
          </cell>
          <cell r="D1587" t="str">
            <v>CNY</v>
          </cell>
          <cell r="E1587" t="str">
            <v>PCS</v>
          </cell>
          <cell r="F1587">
            <v>226.12800000000001</v>
          </cell>
        </row>
        <row r="1588">
          <cell r="C1588">
            <v>3040102440</v>
          </cell>
          <cell r="D1588" t="str">
            <v>CNY</v>
          </cell>
          <cell r="E1588" t="str">
            <v>PCS</v>
          </cell>
          <cell r="F1588">
            <v>8.2476870000000009</v>
          </cell>
        </row>
        <row r="1589">
          <cell r="C1589">
            <v>3040103160</v>
          </cell>
          <cell r="D1589" t="str">
            <v>CNY</v>
          </cell>
          <cell r="E1589" t="str">
            <v>PCS</v>
          </cell>
          <cell r="F1589">
            <v>10.5</v>
          </cell>
        </row>
        <row r="1590">
          <cell r="C1590">
            <v>3040300010</v>
          </cell>
          <cell r="D1590" t="str">
            <v>CNY</v>
          </cell>
          <cell r="E1590" t="str">
            <v>PCS</v>
          </cell>
          <cell r="F1590">
            <v>1.9642455000000001</v>
          </cell>
        </row>
        <row r="1591">
          <cell r="C1591">
            <v>3040300020</v>
          </cell>
          <cell r="D1591" t="str">
            <v>CNY</v>
          </cell>
          <cell r="E1591" t="str">
            <v>PCS</v>
          </cell>
          <cell r="F1591">
            <v>1.6890720000000001</v>
          </cell>
        </row>
        <row r="1592">
          <cell r="C1592">
            <v>3040301130</v>
          </cell>
          <cell r="D1592" t="str">
            <v>CNY</v>
          </cell>
          <cell r="E1592" t="str">
            <v>PCS</v>
          </cell>
          <cell r="F1592">
            <v>2.2366995000000003</v>
          </cell>
        </row>
        <row r="1593">
          <cell r="C1593">
            <v>3040301140</v>
          </cell>
          <cell r="D1593" t="str">
            <v>CNY</v>
          </cell>
          <cell r="E1593" t="str">
            <v>PCS</v>
          </cell>
          <cell r="F1593">
            <v>2.4142964999999998</v>
          </cell>
        </row>
        <row r="1594">
          <cell r="C1594">
            <v>3040302490</v>
          </cell>
          <cell r="D1594" t="str">
            <v>CNY</v>
          </cell>
          <cell r="E1594" t="str">
            <v>PCS</v>
          </cell>
          <cell r="F1594">
            <v>12.338350500000001</v>
          </cell>
        </row>
        <row r="1595">
          <cell r="C1595">
            <v>3040302500</v>
          </cell>
          <cell r="D1595" t="str">
            <v>CNY</v>
          </cell>
          <cell r="E1595" t="str">
            <v>PCS</v>
          </cell>
          <cell r="F1595">
            <v>23.506507500000001</v>
          </cell>
        </row>
        <row r="1596">
          <cell r="C1596">
            <v>3040302510</v>
          </cell>
          <cell r="D1596" t="str">
            <v>CNY</v>
          </cell>
          <cell r="E1596" t="str">
            <v>PCS</v>
          </cell>
          <cell r="F1596">
            <v>18.478971000000001</v>
          </cell>
        </row>
        <row r="1597">
          <cell r="C1597">
            <v>3040302540</v>
          </cell>
          <cell r="D1597" t="str">
            <v>CNY</v>
          </cell>
          <cell r="E1597" t="str">
            <v>PCS</v>
          </cell>
          <cell r="F1597">
            <v>1.9865580000000003</v>
          </cell>
        </row>
        <row r="1598">
          <cell r="C1598">
            <v>3040303000</v>
          </cell>
          <cell r="D1598" t="str">
            <v>CNY</v>
          </cell>
          <cell r="E1598" t="str">
            <v>PCS</v>
          </cell>
          <cell r="F1598">
            <v>3.1005345000000002</v>
          </cell>
        </row>
        <row r="1599">
          <cell r="C1599">
            <v>3040303370</v>
          </cell>
          <cell r="D1599" t="str">
            <v>CNY</v>
          </cell>
          <cell r="E1599" t="str">
            <v>PCS</v>
          </cell>
          <cell r="F1599">
            <v>14.811258</v>
          </cell>
        </row>
        <row r="1600">
          <cell r="C1600">
            <v>3040303380</v>
          </cell>
          <cell r="D1600" t="str">
            <v>CNY</v>
          </cell>
          <cell r="E1600" t="str">
            <v>PCS</v>
          </cell>
          <cell r="F1600">
            <v>25.713743999999998</v>
          </cell>
        </row>
        <row r="1601">
          <cell r="C1601">
            <v>3040303390</v>
          </cell>
          <cell r="D1601" t="str">
            <v>CNY</v>
          </cell>
          <cell r="E1601" t="str">
            <v>PCS</v>
          </cell>
          <cell r="F1601">
            <v>24.782719499999999</v>
          </cell>
        </row>
        <row r="1602">
          <cell r="C1602">
            <v>3040303540</v>
          </cell>
          <cell r="D1602" t="str">
            <v>CNY</v>
          </cell>
          <cell r="E1602" t="str">
            <v>PCS</v>
          </cell>
          <cell r="F1602">
            <v>1.6202129999999999</v>
          </cell>
        </row>
        <row r="1603">
          <cell r="C1603">
            <v>3040303660</v>
          </cell>
          <cell r="D1603" t="str">
            <v>CNY</v>
          </cell>
          <cell r="E1603" t="str">
            <v>PCS</v>
          </cell>
          <cell r="F1603">
            <v>2.3077529999999999</v>
          </cell>
        </row>
        <row r="1604">
          <cell r="C1604">
            <v>3040303740</v>
          </cell>
          <cell r="D1604" t="str">
            <v>CNY</v>
          </cell>
          <cell r="E1604" t="str">
            <v>PCS</v>
          </cell>
          <cell r="F1604">
            <v>7.1674365</v>
          </cell>
        </row>
        <row r="1605">
          <cell r="C1605">
            <v>3040303790</v>
          </cell>
          <cell r="D1605" t="str">
            <v>CNY</v>
          </cell>
          <cell r="E1605" t="str">
            <v>PCS</v>
          </cell>
          <cell r="F1605">
            <v>2.8414364999999999</v>
          </cell>
        </row>
        <row r="1606">
          <cell r="C1606">
            <v>3040303800</v>
          </cell>
          <cell r="D1606" t="str">
            <v>CNY</v>
          </cell>
          <cell r="E1606" t="str">
            <v>PCS</v>
          </cell>
          <cell r="F1606">
            <v>2.18967</v>
          </cell>
        </row>
        <row r="1607">
          <cell r="C1607">
            <v>3040303960</v>
          </cell>
          <cell r="D1607" t="str">
            <v>CNY</v>
          </cell>
          <cell r="E1607" t="str">
            <v>PCS</v>
          </cell>
          <cell r="F1607">
            <v>0.49901250000000003</v>
          </cell>
        </row>
        <row r="1608">
          <cell r="C1608">
            <v>3040500080</v>
          </cell>
          <cell r="D1608" t="str">
            <v>CNY</v>
          </cell>
          <cell r="E1608" t="str">
            <v>PCS</v>
          </cell>
          <cell r="F1608">
            <v>0.25176900000000002</v>
          </cell>
        </row>
        <row r="1609">
          <cell r="C1609">
            <v>3040500090</v>
          </cell>
          <cell r="D1609" t="str">
            <v>CNY</v>
          </cell>
          <cell r="E1609" t="str">
            <v>PCS</v>
          </cell>
          <cell r="F1609">
            <v>0.24145800000000001</v>
          </cell>
        </row>
        <row r="1610">
          <cell r="C1610">
            <v>3040500100</v>
          </cell>
          <cell r="D1610" t="str">
            <v>CNY</v>
          </cell>
          <cell r="E1610" t="str">
            <v>PCS</v>
          </cell>
          <cell r="F1610">
            <v>0.46415250000000002</v>
          </cell>
        </row>
        <row r="1611">
          <cell r="C1611">
            <v>3040500120</v>
          </cell>
          <cell r="D1611" t="str">
            <v>CNY</v>
          </cell>
          <cell r="E1611" t="str">
            <v>PCS</v>
          </cell>
          <cell r="F1611">
            <v>0.24834600000000001</v>
          </cell>
        </row>
        <row r="1612">
          <cell r="C1612">
            <v>3040500130</v>
          </cell>
          <cell r="D1612" t="str">
            <v>CNY</v>
          </cell>
          <cell r="E1612" t="str">
            <v>PCS</v>
          </cell>
          <cell r="F1612">
            <v>0.237846</v>
          </cell>
        </row>
        <row r="1613">
          <cell r="C1613">
            <v>3040501440</v>
          </cell>
          <cell r="D1613" t="str">
            <v>CNY</v>
          </cell>
          <cell r="E1613" t="str">
            <v>PCS</v>
          </cell>
          <cell r="F1613">
            <v>0.22054200000000002</v>
          </cell>
        </row>
        <row r="1614">
          <cell r="C1614">
            <v>3040501470</v>
          </cell>
          <cell r="D1614" t="str">
            <v>CNY</v>
          </cell>
          <cell r="E1614" t="str">
            <v>PCS</v>
          </cell>
          <cell r="F1614">
            <v>0.26114550000000003</v>
          </cell>
        </row>
        <row r="1615">
          <cell r="C1615">
            <v>3040501550</v>
          </cell>
          <cell r="D1615" t="str">
            <v>CNY</v>
          </cell>
          <cell r="E1615" t="str">
            <v>PCS</v>
          </cell>
          <cell r="F1615">
            <v>0.29297099999999998</v>
          </cell>
        </row>
        <row r="1616">
          <cell r="C1616">
            <v>3040501560</v>
          </cell>
          <cell r="D1616" t="str">
            <v>CNY</v>
          </cell>
          <cell r="E1616" t="str">
            <v>PCS</v>
          </cell>
          <cell r="F1616">
            <v>0.30178050000000001</v>
          </cell>
        </row>
        <row r="1617">
          <cell r="C1617">
            <v>3040501570</v>
          </cell>
          <cell r="D1617" t="str">
            <v>CNY</v>
          </cell>
          <cell r="E1617" t="str">
            <v>PCS</v>
          </cell>
          <cell r="F1617">
            <v>0.30178050000000001</v>
          </cell>
        </row>
        <row r="1618">
          <cell r="C1618">
            <v>3040501580</v>
          </cell>
          <cell r="D1618" t="str">
            <v>CNY</v>
          </cell>
          <cell r="E1618" t="str">
            <v>PCS</v>
          </cell>
          <cell r="F1618">
            <v>0.29822100000000001</v>
          </cell>
        </row>
        <row r="1619">
          <cell r="C1619">
            <v>3040501630</v>
          </cell>
          <cell r="D1619" t="str">
            <v>CNY</v>
          </cell>
          <cell r="E1619" t="str">
            <v>PCS</v>
          </cell>
          <cell r="F1619">
            <v>0.34621650000000004</v>
          </cell>
        </row>
        <row r="1620">
          <cell r="C1620">
            <v>3040501720</v>
          </cell>
          <cell r="D1620" t="str">
            <v>CNY</v>
          </cell>
          <cell r="E1620" t="str">
            <v>PCS</v>
          </cell>
          <cell r="F1620">
            <v>0.32369400000000004</v>
          </cell>
        </row>
        <row r="1621">
          <cell r="C1621">
            <v>3040501740</v>
          </cell>
          <cell r="D1621" t="str">
            <v>CNY</v>
          </cell>
          <cell r="E1621" t="str">
            <v>PCS</v>
          </cell>
          <cell r="F1621">
            <v>0.3254475</v>
          </cell>
        </row>
        <row r="1622">
          <cell r="C1622">
            <v>3040501750</v>
          </cell>
          <cell r="D1622" t="str">
            <v>CNY</v>
          </cell>
          <cell r="E1622" t="str">
            <v>PCS</v>
          </cell>
          <cell r="F1622">
            <v>0.3254475</v>
          </cell>
        </row>
        <row r="1623">
          <cell r="C1623">
            <v>3040502010</v>
          </cell>
          <cell r="D1623" t="str">
            <v>CNY</v>
          </cell>
          <cell r="E1623" t="str">
            <v>PCS</v>
          </cell>
          <cell r="F1623">
            <v>0.33595799999999998</v>
          </cell>
        </row>
        <row r="1624">
          <cell r="C1624">
            <v>3040502020</v>
          </cell>
          <cell r="D1624" t="str">
            <v>CNY</v>
          </cell>
          <cell r="E1624" t="str">
            <v>PCS</v>
          </cell>
          <cell r="F1624">
            <v>0.33918150000000002</v>
          </cell>
        </row>
        <row r="1625">
          <cell r="C1625">
            <v>3040502100</v>
          </cell>
          <cell r="D1625" t="str">
            <v>CNY</v>
          </cell>
          <cell r="E1625" t="str">
            <v>PCS</v>
          </cell>
          <cell r="F1625">
            <v>0.65654400000000002</v>
          </cell>
        </row>
        <row r="1626">
          <cell r="C1626">
            <v>3040502110</v>
          </cell>
          <cell r="D1626" t="str">
            <v>CNY</v>
          </cell>
          <cell r="E1626" t="str">
            <v>PCS</v>
          </cell>
          <cell r="F1626">
            <v>0.65654400000000002</v>
          </cell>
        </row>
        <row r="1627">
          <cell r="C1627">
            <v>3040502120</v>
          </cell>
          <cell r="D1627" t="str">
            <v>CNY</v>
          </cell>
          <cell r="E1627" t="str">
            <v>PCS</v>
          </cell>
          <cell r="F1627">
            <v>0.65654400000000002</v>
          </cell>
        </row>
        <row r="1628">
          <cell r="C1628">
            <v>3040502130</v>
          </cell>
          <cell r="D1628" t="str">
            <v>CNY</v>
          </cell>
          <cell r="E1628" t="str">
            <v>PCS</v>
          </cell>
          <cell r="F1628">
            <v>0.65654400000000002</v>
          </cell>
        </row>
        <row r="1629">
          <cell r="C1629">
            <v>3040502470</v>
          </cell>
          <cell r="D1629" t="str">
            <v>CNY</v>
          </cell>
          <cell r="E1629" t="str">
            <v>PCS</v>
          </cell>
          <cell r="F1629">
            <v>4.6108859999999998</v>
          </cell>
        </row>
        <row r="1630">
          <cell r="C1630">
            <v>3040502530</v>
          </cell>
          <cell r="D1630" t="str">
            <v>CNY</v>
          </cell>
          <cell r="E1630" t="str">
            <v>PCS</v>
          </cell>
          <cell r="F1630">
            <v>0.26573400000000003</v>
          </cell>
        </row>
        <row r="1631">
          <cell r="C1631">
            <v>3040700180</v>
          </cell>
          <cell r="D1631" t="str">
            <v>CNY</v>
          </cell>
          <cell r="E1631" t="str">
            <v>PCS</v>
          </cell>
          <cell r="F1631">
            <v>0.16880850000000003</v>
          </cell>
        </row>
        <row r="1632">
          <cell r="C1632">
            <v>3040700860</v>
          </cell>
          <cell r="D1632" t="str">
            <v>CNY</v>
          </cell>
          <cell r="E1632" t="str">
            <v>PCS</v>
          </cell>
          <cell r="F1632">
            <v>0.23940000000000003</v>
          </cell>
        </row>
        <row r="1633">
          <cell r="C1633">
            <v>3040701960</v>
          </cell>
          <cell r="D1633" t="str">
            <v>CNY</v>
          </cell>
          <cell r="E1633" t="str">
            <v>PCS</v>
          </cell>
          <cell r="F1633">
            <v>6.3878744999999997</v>
          </cell>
        </row>
        <row r="1634">
          <cell r="C1634">
            <v>3040701980</v>
          </cell>
          <cell r="D1634" t="str">
            <v>CNY</v>
          </cell>
          <cell r="E1634" t="str">
            <v>PCS</v>
          </cell>
          <cell r="F1634">
            <v>0.42319200000000001</v>
          </cell>
        </row>
        <row r="1635">
          <cell r="C1635">
            <v>3040702030</v>
          </cell>
          <cell r="D1635" t="str">
            <v>CNY</v>
          </cell>
          <cell r="E1635" t="str">
            <v>PCS</v>
          </cell>
          <cell r="F1635">
            <v>0.59971799999999997</v>
          </cell>
        </row>
        <row r="1636">
          <cell r="C1636">
            <v>3040702040</v>
          </cell>
          <cell r="D1636" t="str">
            <v>CNY</v>
          </cell>
          <cell r="E1636" t="str">
            <v>PCS</v>
          </cell>
          <cell r="F1636">
            <v>1.5154859999999999</v>
          </cell>
        </row>
        <row r="1637">
          <cell r="C1637">
            <v>3040702070</v>
          </cell>
          <cell r="D1637" t="str">
            <v>CNY</v>
          </cell>
          <cell r="E1637" t="str">
            <v>PCS</v>
          </cell>
          <cell r="F1637">
            <v>1.572333</v>
          </cell>
        </row>
        <row r="1638">
          <cell r="C1638">
            <v>3040702160</v>
          </cell>
          <cell r="D1638" t="str">
            <v>CNY</v>
          </cell>
          <cell r="E1638" t="str">
            <v>PCS</v>
          </cell>
          <cell r="F1638">
            <v>0.27930000000000005</v>
          </cell>
        </row>
        <row r="1639">
          <cell r="C1639">
            <v>3040702180</v>
          </cell>
          <cell r="D1639" t="str">
            <v>CNY</v>
          </cell>
          <cell r="E1639" t="str">
            <v>PCS</v>
          </cell>
          <cell r="F1639">
            <v>0.35280000000000006</v>
          </cell>
        </row>
        <row r="1640">
          <cell r="C1640">
            <v>3040702190</v>
          </cell>
          <cell r="D1640" t="str">
            <v>CNY</v>
          </cell>
          <cell r="E1640" t="str">
            <v>PCS</v>
          </cell>
          <cell r="F1640">
            <v>0.345555</v>
          </cell>
        </row>
        <row r="1641">
          <cell r="C1641">
            <v>3040702200</v>
          </cell>
          <cell r="D1641" t="str">
            <v>CNY</v>
          </cell>
          <cell r="E1641" t="str">
            <v>PCS</v>
          </cell>
          <cell r="F1641">
            <v>0.27405000000000002</v>
          </cell>
        </row>
        <row r="1642">
          <cell r="C1642">
            <v>3040702220</v>
          </cell>
          <cell r="D1642" t="str">
            <v>CNY</v>
          </cell>
          <cell r="E1642" t="str">
            <v>PCS</v>
          </cell>
          <cell r="F1642">
            <v>2.1620130000000004</v>
          </cell>
        </row>
        <row r="1643">
          <cell r="C1643">
            <v>3040702270</v>
          </cell>
          <cell r="D1643" t="str">
            <v>CNY</v>
          </cell>
          <cell r="E1643" t="str">
            <v>PCS</v>
          </cell>
          <cell r="F1643">
            <v>1.9293435000000001</v>
          </cell>
        </row>
        <row r="1644">
          <cell r="C1644">
            <v>3040702280</v>
          </cell>
          <cell r="D1644" t="str">
            <v>CNY</v>
          </cell>
          <cell r="E1644" t="str">
            <v>PCS</v>
          </cell>
          <cell r="F1644">
            <v>1.698375</v>
          </cell>
        </row>
        <row r="1645">
          <cell r="C1645">
            <v>3040702350</v>
          </cell>
          <cell r="D1645" t="str">
            <v>CNY</v>
          </cell>
          <cell r="E1645" t="str">
            <v>PCS</v>
          </cell>
          <cell r="F1645">
            <v>2.1524999999999999</v>
          </cell>
        </row>
        <row r="1646">
          <cell r="C1646">
            <v>3040702390</v>
          </cell>
          <cell r="D1646" t="str">
            <v>CNY</v>
          </cell>
          <cell r="E1646" t="str">
            <v>PCS</v>
          </cell>
          <cell r="F1646">
            <v>8.604813</v>
          </cell>
        </row>
        <row r="1647">
          <cell r="C1647">
            <v>3040702410</v>
          </cell>
          <cell r="D1647" t="str">
            <v>CNY</v>
          </cell>
          <cell r="E1647" t="str">
            <v>PCS</v>
          </cell>
          <cell r="F1647">
            <v>2.7195</v>
          </cell>
        </row>
        <row r="1648">
          <cell r="C1648">
            <v>3040702430</v>
          </cell>
          <cell r="D1648" t="str">
            <v>CNY</v>
          </cell>
          <cell r="E1648" t="str">
            <v>PCS</v>
          </cell>
          <cell r="F1648">
            <v>0.61303200000000002</v>
          </cell>
        </row>
        <row r="1649">
          <cell r="C1649">
            <v>3040900010</v>
          </cell>
          <cell r="D1649" t="str">
            <v>CNY</v>
          </cell>
          <cell r="E1649" t="str">
            <v>PCS</v>
          </cell>
          <cell r="F1649">
            <v>0.189</v>
          </cell>
        </row>
        <row r="1650">
          <cell r="C1650">
            <v>3040900110</v>
          </cell>
          <cell r="D1650" t="str">
            <v>CNY</v>
          </cell>
          <cell r="E1650" t="str">
            <v>PCS</v>
          </cell>
          <cell r="F1650">
            <v>0.13719300000000001</v>
          </cell>
        </row>
        <row r="1651">
          <cell r="C1651">
            <v>3040901360</v>
          </cell>
          <cell r="D1651" t="str">
            <v>CNY</v>
          </cell>
          <cell r="E1651" t="str">
            <v>PCS</v>
          </cell>
          <cell r="F1651">
            <v>0.14700000000000002</v>
          </cell>
        </row>
        <row r="1652">
          <cell r="C1652">
            <v>3041100010</v>
          </cell>
          <cell r="D1652" t="str">
            <v>CNY</v>
          </cell>
          <cell r="E1652" t="str">
            <v>PCS</v>
          </cell>
          <cell r="F1652">
            <v>27.764425500000005</v>
          </cell>
        </row>
        <row r="1653">
          <cell r="C1653">
            <v>3041300060</v>
          </cell>
          <cell r="D1653" t="str">
            <v>CNY</v>
          </cell>
          <cell r="E1653" t="str">
            <v>PCS</v>
          </cell>
          <cell r="F1653">
            <v>0.1134525</v>
          </cell>
        </row>
        <row r="1654">
          <cell r="C1654">
            <v>3041500100</v>
          </cell>
          <cell r="D1654" t="str">
            <v>CNY</v>
          </cell>
          <cell r="E1654" t="str">
            <v>PCS</v>
          </cell>
          <cell r="F1654">
            <v>7.7395500000000006E-2</v>
          </cell>
        </row>
        <row r="1655">
          <cell r="C1655">
            <v>3041501550</v>
          </cell>
          <cell r="D1655" t="str">
            <v>CNY</v>
          </cell>
          <cell r="E1655" t="str">
            <v>PCS</v>
          </cell>
          <cell r="F1655">
            <v>0.19109999999999999</v>
          </cell>
        </row>
        <row r="1656">
          <cell r="C1656">
            <v>3041501590</v>
          </cell>
          <cell r="D1656" t="str">
            <v>CNY</v>
          </cell>
          <cell r="E1656" t="str">
            <v>PCS</v>
          </cell>
          <cell r="F1656">
            <v>0.51449999999999996</v>
          </cell>
        </row>
        <row r="1657">
          <cell r="C1657">
            <v>3041501630</v>
          </cell>
          <cell r="D1657" t="str">
            <v>CNY</v>
          </cell>
          <cell r="E1657" t="str">
            <v>PCS</v>
          </cell>
          <cell r="F1657">
            <v>1.1340000000000001</v>
          </cell>
        </row>
        <row r="1658">
          <cell r="C1658">
            <v>3041501660</v>
          </cell>
          <cell r="D1658" t="str">
            <v>CNY</v>
          </cell>
          <cell r="E1658" t="str">
            <v>PCS</v>
          </cell>
          <cell r="F1658">
            <v>2.0002500000000003</v>
          </cell>
        </row>
        <row r="1659">
          <cell r="C1659">
            <v>3041700020</v>
          </cell>
          <cell r="D1659" t="str">
            <v>CNY</v>
          </cell>
          <cell r="E1659" t="str">
            <v>PCS</v>
          </cell>
          <cell r="F1659">
            <v>7.000350000000001E-2</v>
          </cell>
        </row>
        <row r="1660">
          <cell r="C1660">
            <v>3041700060</v>
          </cell>
          <cell r="D1660" t="str">
            <v>CNY</v>
          </cell>
          <cell r="E1660" t="str">
            <v>PCS</v>
          </cell>
          <cell r="F1660">
            <v>0.20883449999999998</v>
          </cell>
        </row>
        <row r="1661">
          <cell r="C1661">
            <v>3041700070</v>
          </cell>
          <cell r="D1661" t="str">
            <v>CNY</v>
          </cell>
          <cell r="E1661" t="str">
            <v>PCS</v>
          </cell>
          <cell r="F1661">
            <v>0.25301849999999998</v>
          </cell>
        </row>
        <row r="1662">
          <cell r="C1662">
            <v>3041901360</v>
          </cell>
          <cell r="D1662" t="str">
            <v>CNY</v>
          </cell>
          <cell r="E1662" t="str">
            <v>PCS</v>
          </cell>
          <cell r="F1662">
            <v>1.1340000000000001</v>
          </cell>
        </row>
        <row r="1663">
          <cell r="C1663">
            <v>3041901370</v>
          </cell>
          <cell r="D1663" t="str">
            <v>CNY</v>
          </cell>
          <cell r="E1663" t="str">
            <v>PCS</v>
          </cell>
          <cell r="F1663">
            <v>1.47</v>
          </cell>
        </row>
        <row r="1664">
          <cell r="C1664">
            <v>3041901380</v>
          </cell>
          <cell r="D1664" t="str">
            <v>CNY</v>
          </cell>
          <cell r="E1664" t="str">
            <v>PCS</v>
          </cell>
          <cell r="F1664">
            <v>0.84000000000000008</v>
          </cell>
        </row>
        <row r="1665">
          <cell r="C1665">
            <v>3041901460</v>
          </cell>
          <cell r="D1665" t="str">
            <v>CNY</v>
          </cell>
          <cell r="E1665" t="str">
            <v>PCS</v>
          </cell>
          <cell r="F1665">
            <v>0.43049999999999999</v>
          </cell>
        </row>
        <row r="1666">
          <cell r="C1666">
            <v>3041901490</v>
          </cell>
          <cell r="D1666" t="str">
            <v>CNY</v>
          </cell>
          <cell r="E1666" t="str">
            <v>PCS</v>
          </cell>
          <cell r="F1666">
            <v>23.205000000000002</v>
          </cell>
        </row>
        <row r="1667">
          <cell r="C1667">
            <v>3041901510</v>
          </cell>
          <cell r="D1667" t="str">
            <v>CNY</v>
          </cell>
          <cell r="E1667" t="str">
            <v>PCS</v>
          </cell>
          <cell r="F1667">
            <v>8.4000000000000005E-2</v>
          </cell>
        </row>
        <row r="1668">
          <cell r="C1668">
            <v>3042100010</v>
          </cell>
          <cell r="D1668" t="str">
            <v>CNY</v>
          </cell>
          <cell r="E1668" t="str">
            <v>PCS</v>
          </cell>
          <cell r="F1668">
            <v>1.9456500000000002E-2</v>
          </cell>
        </row>
        <row r="1669">
          <cell r="C1669">
            <v>3042100540</v>
          </cell>
          <cell r="D1669" t="str">
            <v>CNY</v>
          </cell>
          <cell r="E1669" t="str">
            <v>PCS</v>
          </cell>
          <cell r="F1669">
            <v>2.3688000000000001E-2</v>
          </cell>
        </row>
        <row r="1670">
          <cell r="C1670">
            <v>3042304850</v>
          </cell>
          <cell r="D1670" t="str">
            <v>CNY</v>
          </cell>
          <cell r="E1670" t="str">
            <v>PCS</v>
          </cell>
          <cell r="F1670">
            <v>0.21000000000000002</v>
          </cell>
        </row>
        <row r="1671">
          <cell r="C1671">
            <v>3042500280</v>
          </cell>
          <cell r="D1671" t="str">
            <v>CNY</v>
          </cell>
          <cell r="E1671" t="str">
            <v>PCS</v>
          </cell>
          <cell r="F1671">
            <v>2.3371844999999998</v>
          </cell>
        </row>
        <row r="1672">
          <cell r="C1672">
            <v>3042500440</v>
          </cell>
          <cell r="D1672" t="str">
            <v>CNY</v>
          </cell>
          <cell r="E1672" t="str">
            <v>PCS</v>
          </cell>
          <cell r="F1672">
            <v>2.0136164999999999</v>
          </cell>
        </row>
        <row r="1673">
          <cell r="C1673">
            <v>3042702210</v>
          </cell>
          <cell r="D1673" t="str">
            <v>CNY</v>
          </cell>
          <cell r="E1673" t="str">
            <v>PCS</v>
          </cell>
          <cell r="F1673">
            <v>55.968822000000003</v>
          </cell>
        </row>
        <row r="1674">
          <cell r="C1674">
            <v>3042702220</v>
          </cell>
          <cell r="D1674" t="str">
            <v>CNY</v>
          </cell>
          <cell r="E1674" t="str">
            <v>PCS</v>
          </cell>
          <cell r="F1674">
            <v>55.926202500000002</v>
          </cell>
        </row>
        <row r="1675">
          <cell r="C1675">
            <v>3042702230</v>
          </cell>
          <cell r="D1675" t="str">
            <v>CNY</v>
          </cell>
          <cell r="E1675" t="str">
            <v>PCS</v>
          </cell>
          <cell r="F1675">
            <v>54.646431000000007</v>
          </cell>
        </row>
        <row r="1676">
          <cell r="C1676">
            <v>3042702240</v>
          </cell>
          <cell r="D1676" t="str">
            <v>CNY</v>
          </cell>
          <cell r="E1676" t="str">
            <v>PCS</v>
          </cell>
          <cell r="F1676">
            <v>53.324050500000006</v>
          </cell>
        </row>
        <row r="1677">
          <cell r="C1677">
            <v>3042706140</v>
          </cell>
          <cell r="D1677" t="str">
            <v>CNY</v>
          </cell>
          <cell r="E1677" t="str">
            <v>PCS</v>
          </cell>
          <cell r="F1677">
            <v>54.646388999999999</v>
          </cell>
        </row>
        <row r="1678">
          <cell r="C1678">
            <v>3042706150</v>
          </cell>
          <cell r="D1678" t="str">
            <v>CNY</v>
          </cell>
          <cell r="E1678" t="str">
            <v>PCS</v>
          </cell>
          <cell r="F1678">
            <v>53.324029500000002</v>
          </cell>
        </row>
        <row r="1679">
          <cell r="C1679">
            <v>3042706160</v>
          </cell>
          <cell r="D1679" t="str">
            <v>CNY</v>
          </cell>
          <cell r="E1679" t="str">
            <v>PCS</v>
          </cell>
          <cell r="F1679">
            <v>55.968759000000006</v>
          </cell>
        </row>
        <row r="1680">
          <cell r="C1680">
            <v>3042902250</v>
          </cell>
          <cell r="D1680" t="str">
            <v>CNY</v>
          </cell>
          <cell r="E1680" t="str">
            <v>PCS</v>
          </cell>
          <cell r="F1680">
            <v>2.1945000000000001</v>
          </cell>
        </row>
        <row r="1681">
          <cell r="C1681">
            <v>3051502640</v>
          </cell>
          <cell r="D1681" t="str">
            <v>CNY</v>
          </cell>
          <cell r="E1681" t="str">
            <v>PCS</v>
          </cell>
          <cell r="F1681">
            <v>4.620000000000001</v>
          </cell>
        </row>
        <row r="1682">
          <cell r="C1682">
            <v>3051504190</v>
          </cell>
          <cell r="D1682" t="str">
            <v>CNY</v>
          </cell>
          <cell r="E1682" t="str">
            <v>PCS</v>
          </cell>
          <cell r="F1682">
            <v>21.756</v>
          </cell>
        </row>
        <row r="1683">
          <cell r="C1683">
            <v>3051506010</v>
          </cell>
          <cell r="D1683" t="str">
            <v>CNY</v>
          </cell>
          <cell r="E1683" t="str">
            <v>PCS</v>
          </cell>
          <cell r="F1683">
            <v>7.14</v>
          </cell>
        </row>
        <row r="1684">
          <cell r="C1684">
            <v>3051506430</v>
          </cell>
          <cell r="D1684" t="str">
            <v>CNY</v>
          </cell>
          <cell r="E1684" t="str">
            <v>PCS</v>
          </cell>
          <cell r="F1684">
            <v>89.25</v>
          </cell>
        </row>
        <row r="1685">
          <cell r="C1685">
            <v>3051506510</v>
          </cell>
          <cell r="D1685" t="str">
            <v>CNY</v>
          </cell>
          <cell r="E1685" t="str">
            <v>SET</v>
          </cell>
          <cell r="F1685">
            <v>25.388999999999999</v>
          </cell>
        </row>
        <row r="1686">
          <cell r="C1686">
            <v>3051506520</v>
          </cell>
          <cell r="D1686" t="str">
            <v>CNY</v>
          </cell>
          <cell r="E1686" t="str">
            <v>SET</v>
          </cell>
          <cell r="F1686">
            <v>31.016999999999999</v>
          </cell>
        </row>
        <row r="1687">
          <cell r="C1687">
            <v>3051506530</v>
          </cell>
          <cell r="D1687" t="str">
            <v>CNY</v>
          </cell>
          <cell r="E1687" t="str">
            <v>PCS</v>
          </cell>
          <cell r="F1687">
            <v>18.585000000000001</v>
          </cell>
        </row>
        <row r="1688">
          <cell r="C1688">
            <v>3051506540</v>
          </cell>
          <cell r="D1688" t="str">
            <v>CNY</v>
          </cell>
          <cell r="E1688" t="str">
            <v>PCS</v>
          </cell>
          <cell r="F1688">
            <v>36.156750000000002</v>
          </cell>
        </row>
        <row r="1689">
          <cell r="C1689">
            <v>3051510170</v>
          </cell>
          <cell r="D1689" t="str">
            <v>CNY</v>
          </cell>
          <cell r="E1689" t="str">
            <v>PCS</v>
          </cell>
          <cell r="F1689">
            <v>92.19</v>
          </cell>
        </row>
        <row r="1690">
          <cell r="C1690">
            <v>3051510320</v>
          </cell>
          <cell r="D1690" t="str">
            <v>CNY</v>
          </cell>
          <cell r="E1690" t="str">
            <v>PCS</v>
          </cell>
          <cell r="F1690">
            <v>4.4625000000000004</v>
          </cell>
        </row>
        <row r="1691">
          <cell r="C1691">
            <v>3051512390</v>
          </cell>
          <cell r="D1691" t="str">
            <v>CNY</v>
          </cell>
          <cell r="E1691" t="str">
            <v>PCS</v>
          </cell>
          <cell r="F1691">
            <v>4.7040000000000006</v>
          </cell>
        </row>
        <row r="1692">
          <cell r="C1692">
            <v>3051512400</v>
          </cell>
          <cell r="D1692" t="str">
            <v>CNY</v>
          </cell>
          <cell r="E1692" t="str">
            <v>PCS</v>
          </cell>
          <cell r="F1692">
            <v>8.1059999999999999</v>
          </cell>
        </row>
        <row r="1693">
          <cell r="C1693">
            <v>3051512410</v>
          </cell>
          <cell r="D1693" t="str">
            <v>CNY</v>
          </cell>
          <cell r="E1693" t="str">
            <v>PCS</v>
          </cell>
          <cell r="F1693">
            <v>10.615499999999999</v>
          </cell>
        </row>
        <row r="1694">
          <cell r="C1694">
            <v>3051512540</v>
          </cell>
          <cell r="D1694" t="str">
            <v>CNY</v>
          </cell>
          <cell r="E1694" t="str">
            <v>PCS</v>
          </cell>
          <cell r="F1694">
            <v>22.417500000000004</v>
          </cell>
        </row>
        <row r="1695">
          <cell r="C1695">
            <v>3051700020</v>
          </cell>
          <cell r="D1695" t="str">
            <v>CNY</v>
          </cell>
          <cell r="E1695" t="str">
            <v>PCS</v>
          </cell>
          <cell r="F1695">
            <v>1.9844999999999999</v>
          </cell>
        </row>
        <row r="1696">
          <cell r="C1696">
            <v>3051701370</v>
          </cell>
          <cell r="D1696" t="str">
            <v>CNY</v>
          </cell>
          <cell r="E1696" t="str">
            <v>PCS</v>
          </cell>
          <cell r="F1696">
            <v>2.52</v>
          </cell>
        </row>
        <row r="1697">
          <cell r="C1697">
            <v>3051701540</v>
          </cell>
          <cell r="D1697" t="str">
            <v>CNY</v>
          </cell>
          <cell r="E1697" t="str">
            <v>PCS</v>
          </cell>
          <cell r="F1697">
            <v>20.818959000000003</v>
          </cell>
        </row>
        <row r="1698">
          <cell r="C1698">
            <v>3051701580</v>
          </cell>
          <cell r="D1698" t="str">
            <v>CNY</v>
          </cell>
          <cell r="E1698" t="str">
            <v>PCS</v>
          </cell>
          <cell r="F1698">
            <v>2.94</v>
          </cell>
        </row>
        <row r="1699">
          <cell r="C1699">
            <v>3051701630</v>
          </cell>
          <cell r="D1699" t="str">
            <v>CNY</v>
          </cell>
          <cell r="E1699" t="str">
            <v>PCS</v>
          </cell>
          <cell r="F1699">
            <v>1.05</v>
          </cell>
        </row>
        <row r="1700">
          <cell r="C1700">
            <v>3061300130</v>
          </cell>
          <cell r="D1700" t="str">
            <v>CNY</v>
          </cell>
          <cell r="E1700" t="str">
            <v>PCS</v>
          </cell>
          <cell r="F1700">
            <v>2.9715000000000003</v>
          </cell>
        </row>
        <row r="1701">
          <cell r="C1701">
            <v>3061502840</v>
          </cell>
          <cell r="D1701" t="str">
            <v>CNY</v>
          </cell>
          <cell r="E1701" t="str">
            <v>PCS</v>
          </cell>
          <cell r="F1701">
            <v>1.0710000000000002</v>
          </cell>
        </row>
        <row r="1702">
          <cell r="C1702">
            <v>3061503210</v>
          </cell>
          <cell r="D1702" t="str">
            <v>CNY</v>
          </cell>
          <cell r="E1702" t="str">
            <v>PCS</v>
          </cell>
          <cell r="F1702">
            <v>0.53550000000000009</v>
          </cell>
        </row>
        <row r="1703">
          <cell r="C1703">
            <v>3061700120</v>
          </cell>
          <cell r="D1703" t="str">
            <v>CNY</v>
          </cell>
          <cell r="E1703" t="str">
            <v>PCS</v>
          </cell>
          <cell r="F1703">
            <v>0.14623350000000002</v>
          </cell>
        </row>
        <row r="1704">
          <cell r="C1704">
            <v>3061900180</v>
          </cell>
          <cell r="D1704" t="str">
            <v>CNY</v>
          </cell>
          <cell r="E1704" t="str">
            <v>PCS</v>
          </cell>
          <cell r="F1704">
            <v>0.98699999999999999</v>
          </cell>
        </row>
        <row r="1705">
          <cell r="C1705">
            <v>3061900200</v>
          </cell>
          <cell r="D1705" t="str">
            <v>CNY</v>
          </cell>
          <cell r="E1705" t="str">
            <v>PCS</v>
          </cell>
          <cell r="F1705">
            <v>10.489500000000001</v>
          </cell>
        </row>
        <row r="1706">
          <cell r="C1706">
            <v>3061900250</v>
          </cell>
          <cell r="D1706" t="str">
            <v>CNY</v>
          </cell>
          <cell r="E1706" t="str">
            <v>PCS</v>
          </cell>
          <cell r="F1706">
            <v>1.5225</v>
          </cell>
        </row>
        <row r="1707">
          <cell r="C1707">
            <v>3061900260</v>
          </cell>
          <cell r="D1707" t="str">
            <v>CNY</v>
          </cell>
          <cell r="E1707" t="str">
            <v>PCS</v>
          </cell>
          <cell r="F1707">
            <v>4.3680000000000003</v>
          </cell>
        </row>
        <row r="1708">
          <cell r="C1708">
            <v>3061900920</v>
          </cell>
          <cell r="D1708" t="str">
            <v>CNY</v>
          </cell>
          <cell r="E1708" t="str">
            <v>PCS</v>
          </cell>
          <cell r="F1708">
            <v>107.352</v>
          </cell>
        </row>
        <row r="1709">
          <cell r="C1709">
            <v>3061900930</v>
          </cell>
          <cell r="D1709" t="str">
            <v>CNY</v>
          </cell>
          <cell r="E1709" t="str">
            <v>PCS</v>
          </cell>
          <cell r="F1709">
            <v>76.629000000000005</v>
          </cell>
        </row>
        <row r="1710">
          <cell r="C1710">
            <v>3061900940</v>
          </cell>
          <cell r="D1710" t="str">
            <v>CNY</v>
          </cell>
          <cell r="E1710" t="str">
            <v>PCS</v>
          </cell>
          <cell r="F1710">
            <v>37.600500000000004</v>
          </cell>
        </row>
        <row r="1711">
          <cell r="C1711">
            <v>3061900950</v>
          </cell>
          <cell r="D1711" t="str">
            <v>CNY</v>
          </cell>
          <cell r="E1711" t="str">
            <v>PCS</v>
          </cell>
          <cell r="F1711">
            <v>50.8095</v>
          </cell>
        </row>
        <row r="1712">
          <cell r="C1712">
            <v>3062700110</v>
          </cell>
          <cell r="D1712" t="str">
            <v>CNY</v>
          </cell>
          <cell r="E1712" t="str">
            <v>PCS</v>
          </cell>
          <cell r="F1712">
            <v>0.45150000000000001</v>
          </cell>
        </row>
        <row r="1713">
          <cell r="C1713">
            <v>3070100020</v>
          </cell>
          <cell r="D1713" t="str">
            <v>CNY</v>
          </cell>
          <cell r="E1713" t="str">
            <v>M</v>
          </cell>
          <cell r="F1713">
            <v>1.5645</v>
          </cell>
        </row>
        <row r="1714">
          <cell r="C1714">
            <v>3070500020</v>
          </cell>
          <cell r="D1714" t="str">
            <v>CNY</v>
          </cell>
          <cell r="E1714" t="str">
            <v>PCS</v>
          </cell>
          <cell r="F1714">
            <v>8.9250000000000006E-3</v>
          </cell>
        </row>
        <row r="1715">
          <cell r="C1715">
            <v>3070500110</v>
          </cell>
          <cell r="D1715" t="str">
            <v>CNY</v>
          </cell>
          <cell r="E1715" t="str">
            <v>PCS</v>
          </cell>
          <cell r="F1715">
            <v>3.3600000000000001E-3</v>
          </cell>
        </row>
        <row r="1716">
          <cell r="C1716">
            <v>3070901260</v>
          </cell>
          <cell r="D1716" t="str">
            <v>CNY</v>
          </cell>
          <cell r="E1716" t="str">
            <v>PCS</v>
          </cell>
          <cell r="F1716">
            <v>6.3945000000000002E-2</v>
          </cell>
        </row>
        <row r="1717">
          <cell r="C1717">
            <v>3071900950</v>
          </cell>
          <cell r="D1717" t="str">
            <v>CNY</v>
          </cell>
          <cell r="E1717" t="str">
            <v>PCS</v>
          </cell>
          <cell r="F1717">
            <v>3.3915105000000003</v>
          </cell>
        </row>
        <row r="1718">
          <cell r="C1718">
            <v>3071901070</v>
          </cell>
          <cell r="D1718" t="str">
            <v>CNY</v>
          </cell>
          <cell r="E1718" t="str">
            <v>PCS</v>
          </cell>
          <cell r="F1718">
            <v>3.6750000000000003</v>
          </cell>
        </row>
        <row r="1719">
          <cell r="C1719">
            <v>3080100010</v>
          </cell>
          <cell r="D1719" t="str">
            <v>CNY</v>
          </cell>
          <cell r="E1719" t="str">
            <v>PCS</v>
          </cell>
          <cell r="F1719">
            <v>6.4512E-2</v>
          </cell>
        </row>
        <row r="1720">
          <cell r="C1720">
            <v>3080100260</v>
          </cell>
          <cell r="D1720" t="str">
            <v>CNY</v>
          </cell>
          <cell r="E1720" t="str">
            <v>PCS</v>
          </cell>
          <cell r="F1720">
            <v>1.2075</v>
          </cell>
        </row>
        <row r="1721">
          <cell r="C1721">
            <v>3080100460</v>
          </cell>
          <cell r="D1721" t="str">
            <v>CNY</v>
          </cell>
          <cell r="E1721" t="str">
            <v>PCS</v>
          </cell>
          <cell r="F1721">
            <v>0.11550000000000001</v>
          </cell>
        </row>
        <row r="1722">
          <cell r="C1722">
            <v>3080100580</v>
          </cell>
          <cell r="D1722" t="str">
            <v>CNY</v>
          </cell>
          <cell r="E1722" t="str">
            <v>PCS</v>
          </cell>
          <cell r="F1722">
            <v>3.9112500000000001E-2</v>
          </cell>
        </row>
        <row r="1723">
          <cell r="C1723">
            <v>3080104650</v>
          </cell>
          <cell r="D1723" t="str">
            <v>CNY</v>
          </cell>
          <cell r="E1723" t="str">
            <v>PCS</v>
          </cell>
          <cell r="F1723">
            <v>0.345555</v>
          </cell>
        </row>
        <row r="1724">
          <cell r="C1724">
            <v>3080104660</v>
          </cell>
          <cell r="D1724" t="str">
            <v>CNY</v>
          </cell>
          <cell r="E1724" t="str">
            <v>PCS</v>
          </cell>
          <cell r="F1724">
            <v>0.28528500000000001</v>
          </cell>
        </row>
        <row r="1725">
          <cell r="C1725">
            <v>3080104670</v>
          </cell>
          <cell r="D1725" t="str">
            <v>CNY</v>
          </cell>
          <cell r="E1725" t="str">
            <v>PCS</v>
          </cell>
          <cell r="F1725">
            <v>0.38535000000000003</v>
          </cell>
        </row>
        <row r="1726">
          <cell r="C1726">
            <v>3080104680</v>
          </cell>
          <cell r="D1726" t="str">
            <v>CNY</v>
          </cell>
          <cell r="E1726" t="str">
            <v>PCS</v>
          </cell>
          <cell r="F1726">
            <v>2.5725000000000002</v>
          </cell>
        </row>
        <row r="1727">
          <cell r="C1727">
            <v>3080107090</v>
          </cell>
          <cell r="D1727" t="str">
            <v>CNY</v>
          </cell>
          <cell r="E1727" t="str">
            <v>PCS</v>
          </cell>
          <cell r="F1727">
            <v>0.54600000000000004</v>
          </cell>
        </row>
        <row r="1728">
          <cell r="C1728">
            <v>3080107280</v>
          </cell>
          <cell r="D1728" t="str">
            <v>CNY</v>
          </cell>
          <cell r="E1728" t="str">
            <v>PCS</v>
          </cell>
          <cell r="F1728">
            <v>0.54600000000000004</v>
          </cell>
        </row>
        <row r="1729">
          <cell r="C1729">
            <v>3080300150</v>
          </cell>
          <cell r="D1729" t="str">
            <v>CNY</v>
          </cell>
          <cell r="E1729" t="str">
            <v>M</v>
          </cell>
          <cell r="F1729">
            <v>6.93E-2</v>
          </cell>
        </row>
        <row r="1730">
          <cell r="C1730">
            <v>3080300190</v>
          </cell>
          <cell r="D1730" t="str">
            <v>CNY</v>
          </cell>
          <cell r="E1730" t="str">
            <v>M</v>
          </cell>
          <cell r="F1730">
            <v>0.11760000000000001</v>
          </cell>
        </row>
        <row r="1731">
          <cell r="C1731">
            <v>3080500050</v>
          </cell>
          <cell r="D1731" t="str">
            <v>CNY</v>
          </cell>
          <cell r="E1731" t="str">
            <v>PCS</v>
          </cell>
          <cell r="F1731">
            <v>5.2500000000000005E-2</v>
          </cell>
        </row>
        <row r="1732">
          <cell r="C1732">
            <v>3080500130</v>
          </cell>
          <cell r="D1732" t="str">
            <v>CNY</v>
          </cell>
          <cell r="E1732" t="str">
            <v>PCS</v>
          </cell>
          <cell r="F1732">
            <v>0.10500000000000001</v>
          </cell>
        </row>
        <row r="1733">
          <cell r="C1733">
            <v>3080500380</v>
          </cell>
          <cell r="D1733" t="str">
            <v>CNY</v>
          </cell>
          <cell r="E1733" t="str">
            <v>PCS</v>
          </cell>
          <cell r="F1733">
            <v>4.2000000000000003E-2</v>
          </cell>
        </row>
        <row r="1734">
          <cell r="C1734">
            <v>3080500390</v>
          </cell>
          <cell r="D1734" t="str">
            <v>CNY</v>
          </cell>
          <cell r="E1734" t="str">
            <v>PCS</v>
          </cell>
          <cell r="F1734">
            <v>8.1900000000000001E-2</v>
          </cell>
        </row>
        <row r="1735">
          <cell r="C1735">
            <v>3080500400</v>
          </cell>
          <cell r="D1735" t="str">
            <v>CNY</v>
          </cell>
          <cell r="E1735" t="str">
            <v>PCS</v>
          </cell>
          <cell r="F1735">
            <v>6.6464999999999996E-2</v>
          </cell>
        </row>
        <row r="1736">
          <cell r="C1736">
            <v>3080501480</v>
          </cell>
          <cell r="D1736" t="str">
            <v>CNY</v>
          </cell>
          <cell r="E1736" t="str">
            <v>PCS</v>
          </cell>
          <cell r="F1736">
            <v>7.035000000000001E-2</v>
          </cell>
        </row>
        <row r="1737">
          <cell r="C1737">
            <v>3080501590</v>
          </cell>
          <cell r="D1737" t="str">
            <v>CNY</v>
          </cell>
          <cell r="E1737" t="str">
            <v>PCS</v>
          </cell>
          <cell r="F1737">
            <v>4.2000000000000003E-2</v>
          </cell>
        </row>
        <row r="1738">
          <cell r="C1738">
            <v>3080700120</v>
          </cell>
          <cell r="D1738" t="str">
            <v>CNY</v>
          </cell>
          <cell r="E1738" t="str">
            <v>PCS</v>
          </cell>
          <cell r="F1738">
            <v>5.8254E-2</v>
          </cell>
        </row>
        <row r="1739">
          <cell r="C1739">
            <v>3080702040</v>
          </cell>
          <cell r="D1739" t="str">
            <v>CNY</v>
          </cell>
          <cell r="E1739" t="str">
            <v>PCS</v>
          </cell>
          <cell r="F1739">
            <v>1.41225</v>
          </cell>
        </row>
        <row r="1740">
          <cell r="C1740">
            <v>3080702330</v>
          </cell>
          <cell r="D1740" t="str">
            <v>CNY</v>
          </cell>
          <cell r="E1740" t="str">
            <v>PCS</v>
          </cell>
          <cell r="F1740">
            <v>2.0947500000000003</v>
          </cell>
        </row>
        <row r="1741">
          <cell r="C1741">
            <v>3080702420</v>
          </cell>
          <cell r="D1741" t="str">
            <v>CNY</v>
          </cell>
          <cell r="E1741" t="str">
            <v>PCS</v>
          </cell>
          <cell r="F1741">
            <v>3.7800000000000002</v>
          </cell>
        </row>
        <row r="1742">
          <cell r="C1742">
            <v>3080702540</v>
          </cell>
          <cell r="D1742" t="str">
            <v>CNY</v>
          </cell>
          <cell r="E1742" t="str">
            <v>PCS</v>
          </cell>
          <cell r="F1742">
            <v>0.96600000000000008</v>
          </cell>
        </row>
        <row r="1743">
          <cell r="C1743">
            <v>3080702860</v>
          </cell>
          <cell r="D1743" t="str">
            <v>CNY</v>
          </cell>
          <cell r="E1743" t="str">
            <v>PCS</v>
          </cell>
          <cell r="F1743">
            <v>1.5855000000000001</v>
          </cell>
        </row>
        <row r="1744">
          <cell r="C1744">
            <v>3080900010</v>
          </cell>
          <cell r="D1744" t="str">
            <v>CNY</v>
          </cell>
          <cell r="E1744" t="str">
            <v>PCS</v>
          </cell>
          <cell r="F1744">
            <v>1.155E-2</v>
          </cell>
        </row>
        <row r="1745">
          <cell r="C1745">
            <v>3080900410</v>
          </cell>
          <cell r="D1745" t="str">
            <v>CNY</v>
          </cell>
          <cell r="E1745" t="str">
            <v>PCS</v>
          </cell>
          <cell r="F1745">
            <v>1.0500000000000001E-2</v>
          </cell>
        </row>
        <row r="1746">
          <cell r="C1746">
            <v>3080901850</v>
          </cell>
          <cell r="D1746" t="str">
            <v>CNY</v>
          </cell>
          <cell r="E1746" t="str">
            <v>PCS</v>
          </cell>
          <cell r="F1746">
            <v>0.27300000000000002</v>
          </cell>
        </row>
        <row r="1747">
          <cell r="C1747">
            <v>3080901860</v>
          </cell>
          <cell r="D1747" t="str">
            <v>CNY</v>
          </cell>
          <cell r="E1747" t="str">
            <v>PCS</v>
          </cell>
          <cell r="F1747">
            <v>1.6296000000000002</v>
          </cell>
        </row>
        <row r="1748">
          <cell r="C1748">
            <v>3080901940</v>
          </cell>
          <cell r="D1748" t="str">
            <v>CNY</v>
          </cell>
          <cell r="E1748" t="str">
            <v>PCS</v>
          </cell>
          <cell r="F1748">
            <v>0.11550000000000001</v>
          </cell>
        </row>
        <row r="1749">
          <cell r="C1749">
            <v>3090100010</v>
          </cell>
          <cell r="D1749" t="str">
            <v>CNY</v>
          </cell>
          <cell r="E1749" t="str">
            <v>PCS</v>
          </cell>
          <cell r="F1749">
            <v>3.8248769999999999</v>
          </cell>
        </row>
        <row r="1750">
          <cell r="C1750">
            <v>3090100030</v>
          </cell>
          <cell r="D1750" t="str">
            <v>CNY</v>
          </cell>
          <cell r="E1750" t="str">
            <v>PCS</v>
          </cell>
          <cell r="F1750">
            <v>10.393288500000002</v>
          </cell>
        </row>
        <row r="1751">
          <cell r="C1751">
            <v>3090100120</v>
          </cell>
          <cell r="D1751" t="str">
            <v>CNY</v>
          </cell>
          <cell r="E1751" t="str">
            <v>PCS</v>
          </cell>
          <cell r="F1751">
            <v>4.9731464999999995</v>
          </cell>
        </row>
        <row r="1752">
          <cell r="C1752">
            <v>3090100130</v>
          </cell>
          <cell r="D1752" t="str">
            <v>CNY</v>
          </cell>
          <cell r="E1752" t="str">
            <v>PCS</v>
          </cell>
          <cell r="F1752">
            <v>2.616663</v>
          </cell>
        </row>
        <row r="1753">
          <cell r="C1753">
            <v>3090100140</v>
          </cell>
          <cell r="D1753" t="str">
            <v>CNY</v>
          </cell>
          <cell r="E1753" t="str">
            <v>PCS</v>
          </cell>
          <cell r="F1753">
            <v>4.767525</v>
          </cell>
        </row>
        <row r="1754">
          <cell r="C1754">
            <v>3090100150</v>
          </cell>
          <cell r="D1754" t="str">
            <v>CNY</v>
          </cell>
          <cell r="E1754" t="str">
            <v>PCS</v>
          </cell>
          <cell r="F1754">
            <v>2.4110415000000001</v>
          </cell>
        </row>
        <row r="1755">
          <cell r="C1755">
            <v>3090100160</v>
          </cell>
          <cell r="D1755" t="str">
            <v>CNY</v>
          </cell>
          <cell r="E1755" t="str">
            <v>PCS</v>
          </cell>
          <cell r="F1755">
            <v>4.6169025000000001</v>
          </cell>
        </row>
        <row r="1756">
          <cell r="C1756">
            <v>3090100170</v>
          </cell>
          <cell r="D1756" t="str">
            <v>CNY</v>
          </cell>
          <cell r="E1756" t="str">
            <v>PCS</v>
          </cell>
          <cell r="F1756">
            <v>2.2605870000000001</v>
          </cell>
        </row>
        <row r="1757">
          <cell r="C1757">
            <v>3090100180</v>
          </cell>
          <cell r="D1757" t="str">
            <v>CNY</v>
          </cell>
          <cell r="E1757" t="str">
            <v>PCS</v>
          </cell>
          <cell r="F1757">
            <v>5.9475885000000002</v>
          </cell>
        </row>
        <row r="1758">
          <cell r="C1758">
            <v>3090100190</v>
          </cell>
          <cell r="D1758" t="str">
            <v>CNY</v>
          </cell>
          <cell r="E1758" t="str">
            <v>PCS</v>
          </cell>
          <cell r="F1758">
            <v>4.6114110000000004</v>
          </cell>
        </row>
        <row r="1759">
          <cell r="C1759">
            <v>3090100200</v>
          </cell>
          <cell r="D1759" t="str">
            <v>CNY</v>
          </cell>
          <cell r="E1759" t="str">
            <v>PCS</v>
          </cell>
          <cell r="F1759">
            <v>3.0670290000000002</v>
          </cell>
        </row>
        <row r="1760">
          <cell r="C1760">
            <v>3090104260</v>
          </cell>
          <cell r="D1760" t="str">
            <v>CNY</v>
          </cell>
          <cell r="E1760" t="str">
            <v>PCS</v>
          </cell>
          <cell r="F1760">
            <v>7.2129960000000004</v>
          </cell>
        </row>
        <row r="1761">
          <cell r="C1761">
            <v>3090104270</v>
          </cell>
          <cell r="D1761" t="str">
            <v>CNY</v>
          </cell>
          <cell r="E1761" t="str">
            <v>PCS</v>
          </cell>
          <cell r="F1761">
            <v>5.5144320000000011</v>
          </cell>
        </row>
        <row r="1762">
          <cell r="C1762">
            <v>3090104280</v>
          </cell>
          <cell r="D1762" t="str">
            <v>CNY</v>
          </cell>
          <cell r="E1762" t="str">
            <v>PCS</v>
          </cell>
          <cell r="F1762">
            <v>3.984855</v>
          </cell>
        </row>
        <row r="1763">
          <cell r="C1763">
            <v>3090104290</v>
          </cell>
          <cell r="D1763" t="str">
            <v>CNY</v>
          </cell>
          <cell r="E1763" t="str">
            <v>PCS</v>
          </cell>
          <cell r="F1763">
            <v>2.5512900000000003</v>
          </cell>
        </row>
        <row r="1764">
          <cell r="C1764">
            <v>3090104300</v>
          </cell>
          <cell r="D1764" t="str">
            <v>CNY</v>
          </cell>
          <cell r="E1764" t="str">
            <v>PCS</v>
          </cell>
          <cell r="F1764">
            <v>5.4588975</v>
          </cell>
        </row>
        <row r="1765">
          <cell r="C1765">
            <v>3090104310</v>
          </cell>
          <cell r="D1765" t="str">
            <v>CNY</v>
          </cell>
          <cell r="E1765" t="str">
            <v>PCS</v>
          </cell>
          <cell r="F1765">
            <v>3.2363835000000001</v>
          </cell>
        </row>
        <row r="1766">
          <cell r="C1766">
            <v>3090105140</v>
          </cell>
          <cell r="D1766" t="str">
            <v>CNY</v>
          </cell>
          <cell r="E1766" t="str">
            <v>PCS</v>
          </cell>
          <cell r="F1766">
            <v>4.9624680000000003</v>
          </cell>
        </row>
        <row r="1767">
          <cell r="C1767">
            <v>3090105150</v>
          </cell>
          <cell r="D1767" t="str">
            <v>CNY</v>
          </cell>
          <cell r="E1767" t="str">
            <v>PCS</v>
          </cell>
          <cell r="F1767">
            <v>3.8058825000000001</v>
          </cell>
        </row>
        <row r="1768">
          <cell r="C1768">
            <v>3090105160</v>
          </cell>
          <cell r="D1768" t="str">
            <v>CNY</v>
          </cell>
          <cell r="E1768" t="str">
            <v>PCS</v>
          </cell>
          <cell r="F1768">
            <v>2.3119950000000005</v>
          </cell>
        </row>
        <row r="1769">
          <cell r="C1769">
            <v>3090107590</v>
          </cell>
          <cell r="D1769" t="str">
            <v>CNY</v>
          </cell>
          <cell r="E1769" t="str">
            <v>PCS</v>
          </cell>
          <cell r="F1769">
            <v>3.6740550000000001</v>
          </cell>
        </row>
        <row r="1770">
          <cell r="C1770">
            <v>3090107600</v>
          </cell>
          <cell r="D1770" t="str">
            <v>CNY</v>
          </cell>
          <cell r="E1770" t="str">
            <v>PCS</v>
          </cell>
          <cell r="F1770">
            <v>3.5760059999999996</v>
          </cell>
        </row>
        <row r="1771">
          <cell r="C1771">
            <v>3090110680</v>
          </cell>
          <cell r="D1771" t="str">
            <v>CNY</v>
          </cell>
          <cell r="E1771" t="str">
            <v>PCS</v>
          </cell>
          <cell r="F1771">
            <v>1.0769220000000002</v>
          </cell>
        </row>
        <row r="1772">
          <cell r="C1772">
            <v>3090110920</v>
          </cell>
          <cell r="D1772" t="str">
            <v>CNY</v>
          </cell>
          <cell r="E1772" t="str">
            <v>PCS</v>
          </cell>
          <cell r="F1772">
            <v>4.2</v>
          </cell>
        </row>
        <row r="1773">
          <cell r="C1773">
            <v>3090111110</v>
          </cell>
          <cell r="D1773" t="str">
            <v>CNY</v>
          </cell>
          <cell r="E1773" t="str">
            <v>PCS</v>
          </cell>
          <cell r="F1773">
            <v>0.25724999999999998</v>
          </cell>
        </row>
        <row r="1774">
          <cell r="C1774">
            <v>3090111330</v>
          </cell>
          <cell r="D1774" t="str">
            <v>CNY</v>
          </cell>
          <cell r="E1774" t="str">
            <v>SET</v>
          </cell>
          <cell r="F1774">
            <v>42.178500000000007</v>
          </cell>
        </row>
        <row r="1775">
          <cell r="C1775">
            <v>3090112290</v>
          </cell>
          <cell r="D1775" t="str">
            <v>CNY</v>
          </cell>
          <cell r="E1775" t="str">
            <v>PCS</v>
          </cell>
          <cell r="F1775">
            <v>1.2730200000000003</v>
          </cell>
        </row>
        <row r="1776">
          <cell r="C1776">
            <v>3090300060</v>
          </cell>
          <cell r="D1776" t="str">
            <v>CNY</v>
          </cell>
          <cell r="E1776" t="str">
            <v>PCS</v>
          </cell>
          <cell r="F1776">
            <v>0.29822100000000001</v>
          </cell>
        </row>
        <row r="1777">
          <cell r="C1777">
            <v>3090300110</v>
          </cell>
          <cell r="D1777" t="str">
            <v>CNY</v>
          </cell>
          <cell r="E1777" t="str">
            <v>PCS</v>
          </cell>
          <cell r="F1777">
            <v>0.216195</v>
          </cell>
        </row>
        <row r="1778">
          <cell r="C1778">
            <v>3090300260</v>
          </cell>
          <cell r="D1778" t="str">
            <v>CNY</v>
          </cell>
          <cell r="E1778" t="str">
            <v>PCS</v>
          </cell>
          <cell r="F1778">
            <v>6.1404E-2</v>
          </cell>
        </row>
        <row r="1779">
          <cell r="C1779">
            <v>3090303020</v>
          </cell>
          <cell r="D1779" t="str">
            <v>CNY</v>
          </cell>
          <cell r="E1779" t="str">
            <v>PCS</v>
          </cell>
          <cell r="F1779">
            <v>3.9963000000000005E-2</v>
          </cell>
        </row>
        <row r="1780">
          <cell r="C1780">
            <v>3090303030</v>
          </cell>
          <cell r="D1780" t="str">
            <v>CNY</v>
          </cell>
          <cell r="E1780" t="str">
            <v>PCS</v>
          </cell>
          <cell r="F1780">
            <v>3.9963000000000005E-2</v>
          </cell>
        </row>
        <row r="1781">
          <cell r="C1781">
            <v>3090303100</v>
          </cell>
          <cell r="D1781" t="str">
            <v>CNY</v>
          </cell>
          <cell r="E1781" t="str">
            <v>PCS</v>
          </cell>
          <cell r="F1781">
            <v>5.2752E-2</v>
          </cell>
        </row>
        <row r="1782">
          <cell r="C1782">
            <v>3090304940</v>
          </cell>
          <cell r="D1782" t="str">
            <v>CNY</v>
          </cell>
          <cell r="E1782" t="str">
            <v>PCS</v>
          </cell>
          <cell r="F1782">
            <v>6.9300000000000004E-3</v>
          </cell>
        </row>
        <row r="1783">
          <cell r="C1783">
            <v>3090304970</v>
          </cell>
          <cell r="D1783" t="str">
            <v>CNY</v>
          </cell>
          <cell r="E1783" t="str">
            <v>PCS</v>
          </cell>
          <cell r="F1783">
            <v>2.3024714999999998</v>
          </cell>
        </row>
        <row r="1784">
          <cell r="C1784">
            <v>3090305360</v>
          </cell>
          <cell r="D1784" t="str">
            <v>CNY</v>
          </cell>
          <cell r="E1784" t="str">
            <v>PCS</v>
          </cell>
          <cell r="F1784">
            <v>1.7136000000000002E-2</v>
          </cell>
        </row>
        <row r="1785">
          <cell r="C1785">
            <v>3090305370</v>
          </cell>
          <cell r="D1785" t="str">
            <v>CNY</v>
          </cell>
          <cell r="E1785" t="str">
            <v>PCS</v>
          </cell>
          <cell r="F1785">
            <v>1.0290000000000002E-2</v>
          </cell>
        </row>
        <row r="1786">
          <cell r="C1786">
            <v>3090305670</v>
          </cell>
          <cell r="D1786" t="str">
            <v>CNY</v>
          </cell>
          <cell r="E1786" t="str">
            <v>PCS</v>
          </cell>
          <cell r="F1786">
            <v>0.44062200000000001</v>
          </cell>
        </row>
        <row r="1787">
          <cell r="C1787">
            <v>3090305680</v>
          </cell>
          <cell r="D1787" t="str">
            <v>CNY</v>
          </cell>
          <cell r="E1787" t="str">
            <v>PCS</v>
          </cell>
          <cell r="F1787">
            <v>0.34997549999999999</v>
          </cell>
        </row>
        <row r="1788">
          <cell r="C1788">
            <v>3090307910</v>
          </cell>
          <cell r="D1788" t="str">
            <v>CNY</v>
          </cell>
          <cell r="E1788" t="str">
            <v>PCS</v>
          </cell>
          <cell r="F1788">
            <v>0.87949049999999995</v>
          </cell>
        </row>
        <row r="1789">
          <cell r="C1789">
            <v>3090308140</v>
          </cell>
          <cell r="D1789" t="str">
            <v>CNY</v>
          </cell>
          <cell r="E1789" t="str">
            <v>PCS</v>
          </cell>
          <cell r="F1789">
            <v>8.0265149999999998</v>
          </cell>
        </row>
        <row r="1790">
          <cell r="C1790">
            <v>3090308150</v>
          </cell>
          <cell r="D1790" t="str">
            <v>CNY</v>
          </cell>
          <cell r="E1790" t="str">
            <v>PCS</v>
          </cell>
          <cell r="F1790">
            <v>0.26250000000000001</v>
          </cell>
        </row>
        <row r="1791">
          <cell r="C1791">
            <v>3090308160</v>
          </cell>
          <cell r="D1791" t="str">
            <v>CNY</v>
          </cell>
          <cell r="E1791" t="str">
            <v>PCS</v>
          </cell>
          <cell r="F1791">
            <v>0.39900000000000002</v>
          </cell>
        </row>
        <row r="1792">
          <cell r="C1792">
            <v>3090308170</v>
          </cell>
          <cell r="D1792" t="str">
            <v>CNY</v>
          </cell>
          <cell r="E1792" t="str">
            <v>PCS</v>
          </cell>
          <cell r="F1792">
            <v>6.5209200000000003</v>
          </cell>
        </row>
        <row r="1793">
          <cell r="C1793">
            <v>3090308190</v>
          </cell>
          <cell r="D1793" t="str">
            <v>CNY</v>
          </cell>
          <cell r="E1793" t="str">
            <v>PCS</v>
          </cell>
          <cell r="F1793">
            <v>9.942397500000002</v>
          </cell>
        </row>
        <row r="1794">
          <cell r="C1794">
            <v>3090308570</v>
          </cell>
          <cell r="D1794" t="str">
            <v>CNY</v>
          </cell>
          <cell r="E1794" t="str">
            <v>PCS</v>
          </cell>
          <cell r="F1794">
            <v>0.64614900000000008</v>
          </cell>
        </row>
        <row r="1795">
          <cell r="C1795">
            <v>3090309070</v>
          </cell>
          <cell r="D1795" t="str">
            <v>CNY</v>
          </cell>
          <cell r="E1795" t="str">
            <v>PCS</v>
          </cell>
          <cell r="F1795">
            <v>1.2172544999999999</v>
          </cell>
        </row>
        <row r="1796">
          <cell r="C1796">
            <v>3090309540</v>
          </cell>
          <cell r="D1796" t="str">
            <v>CNY</v>
          </cell>
          <cell r="E1796" t="str">
            <v>PCS</v>
          </cell>
          <cell r="F1796">
            <v>1.47</v>
          </cell>
        </row>
        <row r="1797">
          <cell r="C1797">
            <v>3090310550</v>
          </cell>
          <cell r="D1797" t="str">
            <v>CNY</v>
          </cell>
          <cell r="E1797" t="str">
            <v>PCS</v>
          </cell>
          <cell r="F1797">
            <v>1.1453609999999999</v>
          </cell>
        </row>
        <row r="1798">
          <cell r="C1798">
            <v>3090310560</v>
          </cell>
          <cell r="D1798" t="str">
            <v>CNY</v>
          </cell>
          <cell r="E1798" t="str">
            <v>PCS</v>
          </cell>
          <cell r="F1798">
            <v>0.36399300000000007</v>
          </cell>
        </row>
        <row r="1799">
          <cell r="C1799">
            <v>3090311180</v>
          </cell>
          <cell r="D1799" t="str">
            <v>CNY</v>
          </cell>
          <cell r="E1799" t="str">
            <v>PCS</v>
          </cell>
          <cell r="F1799">
            <v>0.96600000000000008</v>
          </cell>
        </row>
        <row r="1800">
          <cell r="C1800">
            <v>3090312700</v>
          </cell>
          <cell r="D1800" t="str">
            <v>CNY</v>
          </cell>
          <cell r="E1800" t="str">
            <v>PCS</v>
          </cell>
          <cell r="F1800">
            <v>9.9749999999999996</v>
          </cell>
        </row>
        <row r="1801">
          <cell r="C1801">
            <v>3090500440</v>
          </cell>
          <cell r="D1801" t="str">
            <v>CNY</v>
          </cell>
          <cell r="E1801" t="str">
            <v>PCS</v>
          </cell>
          <cell r="F1801">
            <v>1.2265470000000003</v>
          </cell>
        </row>
        <row r="1802">
          <cell r="C1802">
            <v>3090500700</v>
          </cell>
          <cell r="D1802" t="str">
            <v>CNY</v>
          </cell>
          <cell r="E1802" t="str">
            <v>PCS</v>
          </cell>
          <cell r="F1802">
            <v>0.28250250000000005</v>
          </cell>
        </row>
        <row r="1803">
          <cell r="C1803">
            <v>3090500850</v>
          </cell>
          <cell r="D1803" t="str">
            <v>CNY</v>
          </cell>
          <cell r="E1803" t="str">
            <v>PCS</v>
          </cell>
          <cell r="F1803">
            <v>4.3974314999999997</v>
          </cell>
        </row>
        <row r="1804">
          <cell r="C1804">
            <v>3090503840</v>
          </cell>
          <cell r="D1804" t="str">
            <v>CNY</v>
          </cell>
          <cell r="E1804" t="str">
            <v>PCS</v>
          </cell>
          <cell r="F1804">
            <v>3.3915000000000002</v>
          </cell>
        </row>
        <row r="1805">
          <cell r="C1805">
            <v>3090503850</v>
          </cell>
          <cell r="D1805" t="str">
            <v>CNY</v>
          </cell>
          <cell r="E1805" t="str">
            <v>PCS</v>
          </cell>
          <cell r="F1805">
            <v>5.9219999999999997</v>
          </cell>
        </row>
        <row r="1806">
          <cell r="C1806">
            <v>3090503890</v>
          </cell>
          <cell r="D1806" t="str">
            <v>CNY</v>
          </cell>
          <cell r="E1806" t="str">
            <v>PCS</v>
          </cell>
          <cell r="F1806">
            <v>2.7957929999999998</v>
          </cell>
        </row>
        <row r="1807">
          <cell r="C1807">
            <v>3090504180</v>
          </cell>
          <cell r="D1807" t="str">
            <v>CNY</v>
          </cell>
          <cell r="E1807" t="str">
            <v>PCS</v>
          </cell>
          <cell r="F1807">
            <v>3.1681650000000001</v>
          </cell>
        </row>
        <row r="1808">
          <cell r="C1808">
            <v>3090504190</v>
          </cell>
          <cell r="D1808" t="str">
            <v>CNY</v>
          </cell>
          <cell r="E1808" t="str">
            <v>PCS</v>
          </cell>
          <cell r="F1808">
            <v>4.0794600000000001</v>
          </cell>
        </row>
        <row r="1809">
          <cell r="C1809">
            <v>3090504210</v>
          </cell>
          <cell r="D1809" t="str">
            <v>CNY</v>
          </cell>
          <cell r="E1809" t="str">
            <v>PCS</v>
          </cell>
          <cell r="F1809">
            <v>5.5809600000000001</v>
          </cell>
        </row>
        <row r="1810">
          <cell r="C1810">
            <v>3090504220</v>
          </cell>
          <cell r="D1810" t="str">
            <v>CNY</v>
          </cell>
          <cell r="E1810" t="str">
            <v>PCS</v>
          </cell>
          <cell r="F1810">
            <v>4.1787900000000002</v>
          </cell>
        </row>
        <row r="1811">
          <cell r="C1811">
            <v>3090504230</v>
          </cell>
          <cell r="D1811" t="str">
            <v>CNY</v>
          </cell>
          <cell r="E1811" t="str">
            <v>PCS</v>
          </cell>
          <cell r="F1811">
            <v>1.6782150000000002</v>
          </cell>
        </row>
        <row r="1812">
          <cell r="C1812">
            <v>3090504240</v>
          </cell>
          <cell r="D1812" t="str">
            <v>CNY</v>
          </cell>
          <cell r="E1812" t="str">
            <v>PCS</v>
          </cell>
          <cell r="F1812">
            <v>3.4626900000000003</v>
          </cell>
        </row>
        <row r="1813">
          <cell r="C1813">
            <v>3090504250</v>
          </cell>
          <cell r="D1813" t="str">
            <v>CNY</v>
          </cell>
          <cell r="E1813" t="str">
            <v>PCS</v>
          </cell>
          <cell r="F1813">
            <v>1.768305</v>
          </cell>
        </row>
        <row r="1814">
          <cell r="C1814">
            <v>3090504260</v>
          </cell>
          <cell r="D1814" t="str">
            <v>CNY</v>
          </cell>
          <cell r="E1814" t="str">
            <v>PCS</v>
          </cell>
          <cell r="F1814">
            <v>3.1415999999999999</v>
          </cell>
        </row>
        <row r="1815">
          <cell r="C1815">
            <v>3090504270</v>
          </cell>
          <cell r="D1815" t="str">
            <v>CNY</v>
          </cell>
          <cell r="E1815" t="str">
            <v>PCS</v>
          </cell>
          <cell r="F1815">
            <v>3.2686500000000001</v>
          </cell>
        </row>
        <row r="1816">
          <cell r="C1816">
            <v>3090504280</v>
          </cell>
          <cell r="D1816" t="str">
            <v>CNY</v>
          </cell>
          <cell r="E1816" t="str">
            <v>PCS</v>
          </cell>
          <cell r="F1816">
            <v>2.0790000000000002</v>
          </cell>
        </row>
        <row r="1817">
          <cell r="C1817">
            <v>3090505790</v>
          </cell>
          <cell r="D1817" t="str">
            <v>CNY</v>
          </cell>
          <cell r="E1817" t="str">
            <v>PCS</v>
          </cell>
          <cell r="F1817">
            <v>0.90300000000000002</v>
          </cell>
        </row>
        <row r="1818">
          <cell r="C1818">
            <v>3090505860</v>
          </cell>
          <cell r="D1818" t="str">
            <v>CNY</v>
          </cell>
          <cell r="E1818" t="str">
            <v>PCS</v>
          </cell>
          <cell r="F1818">
            <v>43.53699000000001</v>
          </cell>
        </row>
        <row r="1819">
          <cell r="C1819">
            <v>3090509260</v>
          </cell>
          <cell r="D1819" t="str">
            <v>CNY</v>
          </cell>
          <cell r="E1819" t="str">
            <v>PCS</v>
          </cell>
          <cell r="F1819">
            <v>1.9131000000000002</v>
          </cell>
        </row>
        <row r="1820">
          <cell r="C1820">
            <v>3090512720</v>
          </cell>
          <cell r="D1820" t="str">
            <v>CNY</v>
          </cell>
          <cell r="E1820" t="str">
            <v>PCS</v>
          </cell>
          <cell r="F1820">
            <v>7.0644</v>
          </cell>
        </row>
        <row r="1821">
          <cell r="C1821">
            <v>3090512810</v>
          </cell>
          <cell r="D1821" t="str">
            <v>CNY</v>
          </cell>
          <cell r="E1821" t="str">
            <v>PCS</v>
          </cell>
          <cell r="F1821">
            <v>28.8309</v>
          </cell>
        </row>
        <row r="1822">
          <cell r="C1822">
            <v>3090512820</v>
          </cell>
          <cell r="D1822" t="str">
            <v>CNY</v>
          </cell>
          <cell r="E1822" t="str">
            <v>PCS</v>
          </cell>
          <cell r="F1822">
            <v>0.38430000000000003</v>
          </cell>
        </row>
        <row r="1823">
          <cell r="C1823">
            <v>3090601900</v>
          </cell>
          <cell r="D1823" t="str">
            <v>CNY</v>
          </cell>
          <cell r="E1823" t="str">
            <v>M</v>
          </cell>
          <cell r="F1823">
            <v>3.0854670000000004</v>
          </cell>
        </row>
        <row r="1824">
          <cell r="C1824">
            <v>3090601910</v>
          </cell>
          <cell r="D1824" t="str">
            <v>CNY</v>
          </cell>
          <cell r="E1824" t="str">
            <v>M</v>
          </cell>
          <cell r="F1824">
            <v>3.9712260000000001</v>
          </cell>
        </row>
        <row r="1825">
          <cell r="C1825">
            <v>3090601920</v>
          </cell>
          <cell r="D1825" t="str">
            <v>CNY</v>
          </cell>
          <cell r="E1825" t="str">
            <v>M</v>
          </cell>
          <cell r="F1825">
            <v>5.4641999999999999</v>
          </cell>
        </row>
        <row r="1826">
          <cell r="C1826">
            <v>3090700030</v>
          </cell>
          <cell r="D1826" t="str">
            <v>CNY</v>
          </cell>
          <cell r="E1826" t="str">
            <v>PCS</v>
          </cell>
          <cell r="F1826">
            <v>0.11615100000000002</v>
          </cell>
        </row>
        <row r="1827">
          <cell r="C1827">
            <v>3090700080</v>
          </cell>
          <cell r="D1827" t="str">
            <v>CNY</v>
          </cell>
          <cell r="E1827" t="str">
            <v>PCS</v>
          </cell>
          <cell r="F1827">
            <v>1.2138000000000001E-2</v>
          </cell>
        </row>
        <row r="1828">
          <cell r="C1828">
            <v>3100102020</v>
          </cell>
          <cell r="D1828" t="str">
            <v>CNY</v>
          </cell>
          <cell r="E1828" t="str">
            <v>PCS</v>
          </cell>
          <cell r="F1828">
            <v>5.23425E-2</v>
          </cell>
        </row>
        <row r="1829">
          <cell r="C1829">
            <v>3100102030</v>
          </cell>
          <cell r="D1829" t="str">
            <v>CNY</v>
          </cell>
          <cell r="E1829" t="str">
            <v>PCS</v>
          </cell>
          <cell r="F1829">
            <v>9.2809500000000003E-2</v>
          </cell>
        </row>
        <row r="1830">
          <cell r="C1830">
            <v>3100102430</v>
          </cell>
          <cell r="D1830" t="str">
            <v>CNY</v>
          </cell>
          <cell r="E1830" t="str">
            <v>PCS</v>
          </cell>
          <cell r="F1830">
            <v>0.10445400000000001</v>
          </cell>
        </row>
        <row r="1831">
          <cell r="C1831">
            <v>3100110786</v>
          </cell>
          <cell r="D1831" t="str">
            <v>CNY</v>
          </cell>
          <cell r="E1831" t="str">
            <v>PCS</v>
          </cell>
          <cell r="F1831">
            <v>1.2478200000000002</v>
          </cell>
        </row>
        <row r="1832">
          <cell r="C1832">
            <v>3100110796</v>
          </cell>
          <cell r="D1832" t="str">
            <v>CNY</v>
          </cell>
          <cell r="E1832" t="str">
            <v>PCS</v>
          </cell>
          <cell r="F1832">
            <v>0.80828999999999995</v>
          </cell>
        </row>
        <row r="1833">
          <cell r="C1833">
            <v>3100116440</v>
          </cell>
          <cell r="D1833" t="str">
            <v>CNY</v>
          </cell>
          <cell r="E1833" t="str">
            <v>PCS</v>
          </cell>
          <cell r="F1833">
            <v>0.14242199999999999</v>
          </cell>
        </row>
        <row r="1834">
          <cell r="C1834">
            <v>3100116450</v>
          </cell>
          <cell r="D1834" t="str">
            <v>CNY</v>
          </cell>
          <cell r="E1834" t="str">
            <v>PCS</v>
          </cell>
          <cell r="F1834">
            <v>0.13244700000000001</v>
          </cell>
        </row>
        <row r="1835">
          <cell r="C1835">
            <v>3100117470</v>
          </cell>
          <cell r="D1835" t="str">
            <v>CNY</v>
          </cell>
          <cell r="E1835" t="str">
            <v>PCS</v>
          </cell>
          <cell r="F1835">
            <v>2.9497230000000001</v>
          </cell>
        </row>
        <row r="1836">
          <cell r="C1836">
            <v>3100123440</v>
          </cell>
          <cell r="D1836" t="str">
            <v>CNY</v>
          </cell>
          <cell r="E1836" t="str">
            <v>PCS</v>
          </cell>
          <cell r="F1836">
            <v>1.7849999999999999</v>
          </cell>
        </row>
        <row r="1837">
          <cell r="C1837">
            <v>3100125360</v>
          </cell>
          <cell r="D1837" t="str">
            <v>CNY</v>
          </cell>
          <cell r="E1837" t="str">
            <v>PCS</v>
          </cell>
          <cell r="F1837">
            <v>0.91349999999999998</v>
          </cell>
        </row>
        <row r="1838">
          <cell r="C1838">
            <v>3100302696</v>
          </cell>
          <cell r="D1838" t="str">
            <v>CNY</v>
          </cell>
          <cell r="E1838" t="str">
            <v>PCS</v>
          </cell>
          <cell r="F1838">
            <v>1.2705839999999999</v>
          </cell>
        </row>
        <row r="1839">
          <cell r="C1839">
            <v>3100902560</v>
          </cell>
          <cell r="D1839" t="str">
            <v>CNY</v>
          </cell>
          <cell r="E1839" t="str">
            <v>PCS</v>
          </cell>
          <cell r="F1839">
            <v>0.13793850000000002</v>
          </cell>
        </row>
        <row r="1840">
          <cell r="C1840">
            <v>3100906660</v>
          </cell>
          <cell r="D1840" t="str">
            <v>CNY</v>
          </cell>
          <cell r="E1840" t="str">
            <v>PCS</v>
          </cell>
          <cell r="F1840">
            <v>1.0432590000000002</v>
          </cell>
        </row>
        <row r="1841">
          <cell r="C1841">
            <v>3100912800</v>
          </cell>
          <cell r="D1841" t="str">
            <v>CNY</v>
          </cell>
          <cell r="E1841" t="str">
            <v>PCS</v>
          </cell>
          <cell r="F1841">
            <v>1.5592500000000002</v>
          </cell>
        </row>
        <row r="1842">
          <cell r="C1842">
            <v>3110100010</v>
          </cell>
          <cell r="D1842" t="str">
            <v>CNY</v>
          </cell>
          <cell r="E1842" t="str">
            <v>PCS</v>
          </cell>
          <cell r="F1842">
            <v>174.82481100000001</v>
          </cell>
        </row>
        <row r="1843">
          <cell r="C1843">
            <v>3110100020</v>
          </cell>
          <cell r="D1843" t="str">
            <v>CNY</v>
          </cell>
          <cell r="E1843" t="str">
            <v>PCS</v>
          </cell>
          <cell r="F1843">
            <v>152.282445</v>
          </cell>
        </row>
        <row r="1844">
          <cell r="C1844">
            <v>3110303060</v>
          </cell>
          <cell r="D1844" t="str">
            <v>CNY</v>
          </cell>
          <cell r="E1844" t="str">
            <v>PCS</v>
          </cell>
          <cell r="F1844">
            <v>5.3670539999999995</v>
          </cell>
        </row>
        <row r="1845">
          <cell r="C1845">
            <v>3110303070</v>
          </cell>
          <cell r="D1845" t="str">
            <v>CNY</v>
          </cell>
          <cell r="E1845" t="str">
            <v>PCS</v>
          </cell>
          <cell r="F1845">
            <v>1.1940075000000001</v>
          </cell>
        </row>
        <row r="1846">
          <cell r="C1846">
            <v>3110303090</v>
          </cell>
          <cell r="D1846" t="str">
            <v>CNY</v>
          </cell>
          <cell r="E1846" t="str">
            <v>PCS</v>
          </cell>
          <cell r="F1846">
            <v>3.3881085000000004</v>
          </cell>
        </row>
        <row r="1847">
          <cell r="C1847">
            <v>3110303310</v>
          </cell>
          <cell r="D1847" t="str">
            <v>CNY</v>
          </cell>
          <cell r="E1847" t="str">
            <v>PCS</v>
          </cell>
          <cell r="F1847">
            <v>1.1940075000000001</v>
          </cell>
        </row>
        <row r="1848">
          <cell r="C1848">
            <v>3110303420</v>
          </cell>
          <cell r="D1848" t="str">
            <v>CNY</v>
          </cell>
          <cell r="E1848" t="str">
            <v>PCS</v>
          </cell>
          <cell r="F1848">
            <v>5.3670539999999995</v>
          </cell>
        </row>
        <row r="1849">
          <cell r="C1849">
            <v>3110303440</v>
          </cell>
          <cell r="D1849" t="str">
            <v>CNY</v>
          </cell>
          <cell r="E1849" t="str">
            <v>PCS</v>
          </cell>
          <cell r="F1849">
            <v>3.8266620000000002</v>
          </cell>
        </row>
        <row r="1850">
          <cell r="C1850">
            <v>3110306356</v>
          </cell>
          <cell r="D1850" t="str">
            <v>CNY</v>
          </cell>
          <cell r="E1850" t="str">
            <v>PCS</v>
          </cell>
          <cell r="F1850">
            <v>2.8535009999999996</v>
          </cell>
        </row>
        <row r="1851">
          <cell r="C1851">
            <v>3110308170</v>
          </cell>
          <cell r="D1851" t="str">
            <v>CNY</v>
          </cell>
          <cell r="E1851" t="str">
            <v>PCS</v>
          </cell>
          <cell r="F1851">
            <v>6.0867450000000005</v>
          </cell>
        </row>
        <row r="1852">
          <cell r="C1852">
            <v>3110308646</v>
          </cell>
          <cell r="D1852" t="str">
            <v>CNY</v>
          </cell>
          <cell r="E1852" t="str">
            <v>PCS</v>
          </cell>
          <cell r="F1852">
            <v>5.854527</v>
          </cell>
        </row>
        <row r="1853">
          <cell r="C1853">
            <v>3110309570</v>
          </cell>
          <cell r="D1853" t="str">
            <v>CNY</v>
          </cell>
          <cell r="E1853" t="str">
            <v>PCS</v>
          </cell>
          <cell r="F1853">
            <v>3.0666405000000001</v>
          </cell>
        </row>
        <row r="1854">
          <cell r="C1854">
            <v>3110309690</v>
          </cell>
          <cell r="D1854" t="str">
            <v>CNY</v>
          </cell>
          <cell r="E1854" t="str">
            <v>PCS</v>
          </cell>
          <cell r="F1854">
            <v>3.7032240000000005</v>
          </cell>
        </row>
        <row r="1855">
          <cell r="C1855">
            <v>3110310490</v>
          </cell>
          <cell r="D1855" t="str">
            <v>CNY</v>
          </cell>
          <cell r="E1855" t="str">
            <v>PCS</v>
          </cell>
          <cell r="F1855">
            <v>3.2238255000000002</v>
          </cell>
        </row>
        <row r="1856">
          <cell r="C1856">
            <v>3110500010</v>
          </cell>
          <cell r="D1856" t="str">
            <v>CNY</v>
          </cell>
          <cell r="E1856" t="str">
            <v>PCS</v>
          </cell>
          <cell r="F1856">
            <v>54.382062000000005</v>
          </cell>
        </row>
        <row r="1857">
          <cell r="C1857">
            <v>3110500050</v>
          </cell>
          <cell r="D1857" t="str">
            <v>CNY</v>
          </cell>
          <cell r="E1857" t="str">
            <v>PCS</v>
          </cell>
          <cell r="F1857">
            <v>55.613775000000004</v>
          </cell>
        </row>
        <row r="1858">
          <cell r="C1858">
            <v>3110500070</v>
          </cell>
          <cell r="D1858" t="str">
            <v>CNY</v>
          </cell>
          <cell r="E1858" t="str">
            <v>PCS</v>
          </cell>
          <cell r="F1858">
            <v>47.827195500000002</v>
          </cell>
        </row>
        <row r="1859">
          <cell r="C1859">
            <v>3110500080</v>
          </cell>
          <cell r="D1859" t="str">
            <v>CNY</v>
          </cell>
          <cell r="E1859" t="str">
            <v>PCS</v>
          </cell>
          <cell r="F1859">
            <v>54.815628000000004</v>
          </cell>
        </row>
        <row r="1860">
          <cell r="C1860">
            <v>3110700300</v>
          </cell>
          <cell r="D1860" t="str">
            <v>CNY</v>
          </cell>
          <cell r="E1860" t="str">
            <v>PCS</v>
          </cell>
          <cell r="F1860">
            <v>0.47679450000000001</v>
          </cell>
        </row>
        <row r="1861">
          <cell r="C1861">
            <v>3110700480</v>
          </cell>
          <cell r="D1861" t="str">
            <v>CNY</v>
          </cell>
          <cell r="E1861" t="str">
            <v>PCS</v>
          </cell>
          <cell r="F1861">
            <v>1.0889549999999999</v>
          </cell>
        </row>
        <row r="1862">
          <cell r="C1862">
            <v>3110700520</v>
          </cell>
          <cell r="D1862" t="str">
            <v>CNY</v>
          </cell>
          <cell r="E1862" t="str">
            <v>PCS</v>
          </cell>
          <cell r="F1862">
            <v>0.86890650000000003</v>
          </cell>
        </row>
        <row r="1863">
          <cell r="C1863">
            <v>3111100010</v>
          </cell>
          <cell r="D1863" t="str">
            <v>CNY</v>
          </cell>
          <cell r="E1863" t="str">
            <v>PCS</v>
          </cell>
          <cell r="F1863">
            <v>10.5</v>
          </cell>
        </row>
        <row r="1864">
          <cell r="C1864">
            <v>3111100020</v>
          </cell>
          <cell r="D1864" t="str">
            <v>CNY</v>
          </cell>
          <cell r="E1864" t="str">
            <v>PCS</v>
          </cell>
          <cell r="F1864">
            <v>9.0507899999999992</v>
          </cell>
        </row>
        <row r="1865">
          <cell r="C1865">
            <v>3111100030</v>
          </cell>
          <cell r="D1865" t="str">
            <v>CNY</v>
          </cell>
          <cell r="E1865" t="str">
            <v>PCS</v>
          </cell>
          <cell r="F1865">
            <v>0.26250000000000001</v>
          </cell>
        </row>
        <row r="1866">
          <cell r="C1866">
            <v>3111100040</v>
          </cell>
          <cell r="D1866" t="str">
            <v>CNY</v>
          </cell>
          <cell r="E1866" t="str">
            <v>PCS</v>
          </cell>
          <cell r="F1866">
            <v>0.1953</v>
          </cell>
        </row>
        <row r="1867">
          <cell r="C1867">
            <v>3111100240</v>
          </cell>
          <cell r="D1867" t="str">
            <v>CNY</v>
          </cell>
          <cell r="E1867" t="str">
            <v>PCS</v>
          </cell>
          <cell r="F1867">
            <v>1.9540499999999999E-2</v>
          </cell>
        </row>
        <row r="1868">
          <cell r="C1868">
            <v>3111100500</v>
          </cell>
          <cell r="D1868" t="str">
            <v>CNY</v>
          </cell>
          <cell r="E1868" t="str">
            <v>PCS</v>
          </cell>
          <cell r="F1868">
            <v>0.14175000000000001</v>
          </cell>
        </row>
        <row r="1869">
          <cell r="C1869">
            <v>3111100520</v>
          </cell>
          <cell r="D1869" t="str">
            <v>CNY</v>
          </cell>
          <cell r="E1869" t="str">
            <v>PCS</v>
          </cell>
          <cell r="F1869">
            <v>0.26250000000000001</v>
          </cell>
        </row>
        <row r="1870">
          <cell r="C1870">
            <v>3111101770</v>
          </cell>
          <cell r="D1870" t="str">
            <v>CNY</v>
          </cell>
          <cell r="E1870" t="str">
            <v>PCS</v>
          </cell>
          <cell r="F1870">
            <v>5.5649999999999998E-2</v>
          </cell>
        </row>
        <row r="1871">
          <cell r="C1871">
            <v>3111300010</v>
          </cell>
          <cell r="D1871" t="str">
            <v>CNY</v>
          </cell>
          <cell r="E1871" t="str">
            <v>PCS</v>
          </cell>
          <cell r="F1871">
            <v>0.11372550000000001</v>
          </cell>
        </row>
        <row r="1872">
          <cell r="C1872">
            <v>3111500010</v>
          </cell>
          <cell r="D1872" t="str">
            <v>CNY</v>
          </cell>
          <cell r="E1872" t="str">
            <v>PCS</v>
          </cell>
          <cell r="F1872">
            <v>16.632000000000001</v>
          </cell>
        </row>
        <row r="1873">
          <cell r="C1873">
            <v>3111500120</v>
          </cell>
          <cell r="D1873" t="str">
            <v>CNY</v>
          </cell>
          <cell r="E1873" t="str">
            <v>PCS</v>
          </cell>
          <cell r="F1873">
            <v>17.5615755</v>
          </cell>
        </row>
        <row r="1874">
          <cell r="C1874">
            <v>3111500940</v>
          </cell>
          <cell r="D1874" t="str">
            <v>CNY</v>
          </cell>
          <cell r="E1874" t="str">
            <v>PCS</v>
          </cell>
          <cell r="F1874">
            <v>0.68250000000000011</v>
          </cell>
        </row>
        <row r="1875">
          <cell r="C1875">
            <v>3111503080</v>
          </cell>
          <cell r="D1875" t="str">
            <v>CNY</v>
          </cell>
          <cell r="E1875" t="str">
            <v>PCS</v>
          </cell>
          <cell r="F1875">
            <v>4.3107015000000004</v>
          </cell>
        </row>
        <row r="1876">
          <cell r="C1876">
            <v>3111504360</v>
          </cell>
          <cell r="D1876" t="str">
            <v>CNY</v>
          </cell>
          <cell r="E1876" t="str">
            <v>PCS</v>
          </cell>
          <cell r="F1876">
            <v>1.5480149999999999</v>
          </cell>
        </row>
        <row r="1877">
          <cell r="C1877">
            <v>3111504370</v>
          </cell>
          <cell r="D1877" t="str">
            <v>CNY</v>
          </cell>
          <cell r="E1877" t="str">
            <v>PCS</v>
          </cell>
          <cell r="F1877">
            <v>16.254525000000001</v>
          </cell>
        </row>
        <row r="1878">
          <cell r="C1878">
            <v>3111504600</v>
          </cell>
          <cell r="D1878" t="str">
            <v>CNY</v>
          </cell>
          <cell r="E1878" t="str">
            <v>PCS</v>
          </cell>
          <cell r="F1878">
            <v>22.365000000000002</v>
          </cell>
        </row>
        <row r="1879">
          <cell r="C1879">
            <v>3140900980</v>
          </cell>
          <cell r="D1879" t="str">
            <v>CNY</v>
          </cell>
          <cell r="E1879" t="str">
            <v>PCS</v>
          </cell>
          <cell r="F1879">
            <v>13.576500000000001</v>
          </cell>
        </row>
        <row r="1880">
          <cell r="C1880">
            <v>3140900990</v>
          </cell>
          <cell r="D1880" t="str">
            <v>CNY</v>
          </cell>
          <cell r="E1880" t="str">
            <v>PCS</v>
          </cell>
          <cell r="F1880">
            <v>20.201999999999998</v>
          </cell>
        </row>
        <row r="1881">
          <cell r="C1881">
            <v>3140901000</v>
          </cell>
          <cell r="D1881" t="str">
            <v>CNY</v>
          </cell>
          <cell r="E1881" t="str">
            <v>PCS</v>
          </cell>
          <cell r="F1881">
            <v>37.353959999999994</v>
          </cell>
        </row>
        <row r="1882">
          <cell r="C1882">
            <v>3142100200</v>
          </cell>
          <cell r="D1882" t="str">
            <v>CNY</v>
          </cell>
          <cell r="E1882" t="str">
            <v>PCS</v>
          </cell>
          <cell r="F1882">
            <v>56.679000000000002</v>
          </cell>
        </row>
        <row r="1883">
          <cell r="C1883">
            <v>3142100380</v>
          </cell>
          <cell r="D1883" t="str">
            <v>CNY</v>
          </cell>
          <cell r="E1883" t="str">
            <v>PCS</v>
          </cell>
          <cell r="F1883">
            <v>36.225000000000001</v>
          </cell>
        </row>
        <row r="1884">
          <cell r="C1884">
            <v>3142100450</v>
          </cell>
          <cell r="D1884" t="str">
            <v>CNY</v>
          </cell>
          <cell r="E1884" t="str">
            <v>PCS</v>
          </cell>
          <cell r="F1884">
            <v>984.95249999999999</v>
          </cell>
        </row>
        <row r="1885">
          <cell r="C1885">
            <v>3142100520</v>
          </cell>
          <cell r="D1885" t="str">
            <v>CNY</v>
          </cell>
          <cell r="E1885" t="str">
            <v>PCS</v>
          </cell>
          <cell r="F1885">
            <v>120.75</v>
          </cell>
        </row>
        <row r="1886">
          <cell r="C1886">
            <v>3142100560</v>
          </cell>
          <cell r="D1886" t="str">
            <v>CNY</v>
          </cell>
          <cell r="E1886" t="str">
            <v>PCS</v>
          </cell>
          <cell r="F1886">
            <v>319.36800000000005</v>
          </cell>
        </row>
        <row r="1887">
          <cell r="C1887">
            <v>3142100570</v>
          </cell>
          <cell r="D1887" t="str">
            <v>CNY</v>
          </cell>
          <cell r="E1887" t="str">
            <v>PCS</v>
          </cell>
          <cell r="F1887">
            <v>401.94000000000005</v>
          </cell>
        </row>
        <row r="1888">
          <cell r="C1888">
            <v>3142100580</v>
          </cell>
          <cell r="D1888" t="str">
            <v>CNY</v>
          </cell>
          <cell r="E1888" t="str">
            <v>PCS</v>
          </cell>
          <cell r="F1888">
            <v>783.40500000000009</v>
          </cell>
        </row>
        <row r="1889">
          <cell r="C1889">
            <v>3142100700</v>
          </cell>
          <cell r="D1889" t="str">
            <v>CNY</v>
          </cell>
          <cell r="E1889" t="str">
            <v>PCS</v>
          </cell>
          <cell r="F1889">
            <v>26.145</v>
          </cell>
        </row>
        <row r="1890">
          <cell r="C1890">
            <v>3142100950</v>
          </cell>
          <cell r="D1890" t="str">
            <v>CNY</v>
          </cell>
          <cell r="E1890" t="str">
            <v>PCS</v>
          </cell>
          <cell r="F1890">
            <v>27.090000000000003</v>
          </cell>
        </row>
        <row r="1891">
          <cell r="C1891">
            <v>3142100960</v>
          </cell>
          <cell r="D1891" t="str">
            <v>CNY</v>
          </cell>
          <cell r="E1891" t="str">
            <v>PCS</v>
          </cell>
          <cell r="F1891">
            <v>38.22</v>
          </cell>
        </row>
        <row r="1892">
          <cell r="C1892">
            <v>3142100970</v>
          </cell>
          <cell r="D1892" t="str">
            <v>CNY</v>
          </cell>
          <cell r="E1892" t="str">
            <v>PCS</v>
          </cell>
          <cell r="F1892">
            <v>59.955000000000005</v>
          </cell>
        </row>
        <row r="1893">
          <cell r="C1893">
            <v>3142100980</v>
          </cell>
          <cell r="D1893" t="str">
            <v>CNY</v>
          </cell>
          <cell r="E1893" t="str">
            <v>PCS</v>
          </cell>
          <cell r="F1893">
            <v>144.9</v>
          </cell>
        </row>
        <row r="1894">
          <cell r="C1894">
            <v>3142101010</v>
          </cell>
          <cell r="D1894" t="str">
            <v>CNY</v>
          </cell>
          <cell r="E1894" t="str">
            <v>PCS</v>
          </cell>
          <cell r="F1894">
            <v>51.198</v>
          </cell>
        </row>
        <row r="1895">
          <cell r="C1895">
            <v>3142101020</v>
          </cell>
          <cell r="D1895" t="str">
            <v>CNY</v>
          </cell>
          <cell r="E1895" t="str">
            <v>PCS</v>
          </cell>
          <cell r="F1895">
            <v>41.947500000000005</v>
          </cell>
        </row>
        <row r="1896">
          <cell r="C1896">
            <v>3142300010</v>
          </cell>
          <cell r="D1896" t="str">
            <v>CNY</v>
          </cell>
          <cell r="E1896" t="str">
            <v>PCS</v>
          </cell>
          <cell r="F1896">
            <v>148.95133050000001</v>
          </cell>
        </row>
        <row r="1897">
          <cell r="C1897">
            <v>3142700100</v>
          </cell>
          <cell r="D1897" t="str">
            <v>CNY</v>
          </cell>
          <cell r="E1897" t="str">
            <v>PCS</v>
          </cell>
          <cell r="F1897">
            <v>1.9949999999999999</v>
          </cell>
        </row>
        <row r="1898">
          <cell r="C1898">
            <v>3142800010</v>
          </cell>
          <cell r="D1898" t="str">
            <v>CNY</v>
          </cell>
          <cell r="E1898" t="str">
            <v>SET</v>
          </cell>
          <cell r="F1898">
            <v>10.709999999999999</v>
          </cell>
        </row>
        <row r="1899">
          <cell r="C1899">
            <v>3142800070</v>
          </cell>
          <cell r="D1899" t="str">
            <v>CNY</v>
          </cell>
          <cell r="E1899" t="str">
            <v>PCS</v>
          </cell>
          <cell r="F1899">
            <v>22.574999999999999</v>
          </cell>
        </row>
        <row r="1900">
          <cell r="C1900">
            <v>3142900010</v>
          </cell>
          <cell r="D1900" t="str">
            <v>CNY</v>
          </cell>
          <cell r="E1900" t="str">
            <v>PCS</v>
          </cell>
          <cell r="F1900">
            <v>60.900000000000006</v>
          </cell>
        </row>
        <row r="1901">
          <cell r="C1901">
            <v>3142900090</v>
          </cell>
          <cell r="D1901" t="str">
            <v>CNY</v>
          </cell>
          <cell r="E1901" t="str">
            <v>PCS</v>
          </cell>
          <cell r="F1901">
            <v>35.773499999999999</v>
          </cell>
        </row>
        <row r="1902">
          <cell r="C1902">
            <v>3143300010</v>
          </cell>
          <cell r="D1902" t="str">
            <v>CNY</v>
          </cell>
          <cell r="E1902" t="str">
            <v>PCS</v>
          </cell>
          <cell r="F1902">
            <v>7.53165</v>
          </cell>
        </row>
        <row r="1903">
          <cell r="C1903">
            <v>3143400010</v>
          </cell>
          <cell r="D1903" t="str">
            <v>CNY</v>
          </cell>
          <cell r="E1903" t="str">
            <v>PCS</v>
          </cell>
          <cell r="F1903">
            <v>92.924999999999997</v>
          </cell>
        </row>
        <row r="1904">
          <cell r="C1904">
            <v>4010104440</v>
          </cell>
          <cell r="D1904" t="str">
            <v>CNY</v>
          </cell>
          <cell r="E1904" t="str">
            <v>PCS</v>
          </cell>
          <cell r="F1904">
            <v>206.28300000000002</v>
          </cell>
        </row>
        <row r="1905">
          <cell r="C1905">
            <v>4010104480</v>
          </cell>
          <cell r="D1905" t="str">
            <v>CNY</v>
          </cell>
          <cell r="E1905" t="str">
            <v>PCS</v>
          </cell>
          <cell r="F1905">
            <v>70.612499999999997</v>
          </cell>
        </row>
        <row r="1906">
          <cell r="C1906">
            <v>4010200010</v>
          </cell>
          <cell r="D1906" t="str">
            <v>CNY</v>
          </cell>
          <cell r="E1906" t="str">
            <v>PCS</v>
          </cell>
          <cell r="F1906">
            <v>193.20000000000002</v>
          </cell>
        </row>
        <row r="1907">
          <cell r="C1907">
            <v>4010200480</v>
          </cell>
          <cell r="D1907" t="str">
            <v>CNY</v>
          </cell>
          <cell r="E1907" t="str">
            <v>SET</v>
          </cell>
          <cell r="F1907">
            <v>627.9</v>
          </cell>
        </row>
        <row r="1908">
          <cell r="C1908">
            <v>4010200690</v>
          </cell>
          <cell r="D1908" t="str">
            <v>CNY</v>
          </cell>
          <cell r="E1908" t="str">
            <v>PCS</v>
          </cell>
          <cell r="F1908">
            <v>17.850000000000001</v>
          </cell>
        </row>
        <row r="1909">
          <cell r="C1909">
            <v>4010201180</v>
          </cell>
          <cell r="D1909" t="str">
            <v>CNY</v>
          </cell>
          <cell r="E1909" t="str">
            <v>SET</v>
          </cell>
          <cell r="F1909">
            <v>782.25</v>
          </cell>
        </row>
        <row r="1910">
          <cell r="C1910">
            <v>4010203180</v>
          </cell>
          <cell r="D1910" t="str">
            <v>CNY</v>
          </cell>
          <cell r="E1910" t="str">
            <v>SET</v>
          </cell>
          <cell r="F1910">
            <v>1226.4000000000001</v>
          </cell>
        </row>
        <row r="1911">
          <cell r="C1911">
            <v>4010203390</v>
          </cell>
          <cell r="D1911" t="str">
            <v>CNY</v>
          </cell>
          <cell r="E1911" t="str">
            <v>PCS</v>
          </cell>
          <cell r="F1911">
            <v>603.75</v>
          </cell>
        </row>
        <row r="1912">
          <cell r="C1912">
            <v>4010203450</v>
          </cell>
          <cell r="D1912" t="str">
            <v>CNY</v>
          </cell>
          <cell r="E1912" t="str">
            <v>SET</v>
          </cell>
          <cell r="F1912">
            <v>156.45000000000002</v>
          </cell>
        </row>
        <row r="1913">
          <cell r="C1913">
            <v>4010204520</v>
          </cell>
          <cell r="D1913" t="str">
            <v>CNY</v>
          </cell>
          <cell r="E1913" t="str">
            <v>SET</v>
          </cell>
          <cell r="F1913">
            <v>582.75</v>
          </cell>
        </row>
        <row r="1914">
          <cell r="C1914">
            <v>4010204970</v>
          </cell>
          <cell r="D1914" t="str">
            <v>CNY</v>
          </cell>
          <cell r="E1914" t="str">
            <v>PCS</v>
          </cell>
          <cell r="F1914">
            <v>3009.9720000000002</v>
          </cell>
        </row>
        <row r="1915">
          <cell r="C1915">
            <v>4010210610</v>
          </cell>
          <cell r="D1915" t="str">
            <v>CNY</v>
          </cell>
          <cell r="E1915" t="str">
            <v>PCS</v>
          </cell>
          <cell r="F1915">
            <v>1.5750000000000002</v>
          </cell>
        </row>
        <row r="1916">
          <cell r="C1916">
            <v>4010210910</v>
          </cell>
          <cell r="D1916" t="str">
            <v>CNY</v>
          </cell>
          <cell r="E1916" t="str">
            <v>PCS</v>
          </cell>
          <cell r="F1916">
            <v>12.852</v>
          </cell>
        </row>
        <row r="1917">
          <cell r="C1917">
            <v>4010302150</v>
          </cell>
          <cell r="D1917" t="str">
            <v>CNY</v>
          </cell>
          <cell r="E1917" t="str">
            <v>PCS</v>
          </cell>
          <cell r="F1917">
            <v>530.25</v>
          </cell>
        </row>
        <row r="1918">
          <cell r="C1918">
            <v>4010302320</v>
          </cell>
          <cell r="D1918" t="str">
            <v>CNY</v>
          </cell>
          <cell r="E1918" t="str">
            <v>PCS</v>
          </cell>
          <cell r="F1918">
            <v>525</v>
          </cell>
        </row>
        <row r="1919">
          <cell r="C1919">
            <v>4010303550</v>
          </cell>
          <cell r="D1919" t="str">
            <v>CNY</v>
          </cell>
          <cell r="E1919" t="str">
            <v>PCS</v>
          </cell>
          <cell r="F1919">
            <v>239.92500000000001</v>
          </cell>
        </row>
        <row r="1920">
          <cell r="C1920">
            <v>4010303660</v>
          </cell>
          <cell r="D1920" t="str">
            <v>CNY</v>
          </cell>
          <cell r="E1920" t="str">
            <v>PCS</v>
          </cell>
          <cell r="F1920">
            <v>813.75</v>
          </cell>
        </row>
        <row r="1921">
          <cell r="C1921">
            <v>4010401080</v>
          </cell>
          <cell r="D1921" t="str">
            <v>CNY</v>
          </cell>
          <cell r="E1921" t="str">
            <v>PCS</v>
          </cell>
          <cell r="F1921">
            <v>120.75</v>
          </cell>
        </row>
        <row r="1922">
          <cell r="C1922">
            <v>4010401210</v>
          </cell>
          <cell r="D1922" t="str">
            <v>CNY</v>
          </cell>
          <cell r="E1922" t="str">
            <v>PCS</v>
          </cell>
          <cell r="F1922">
            <v>530.25</v>
          </cell>
        </row>
        <row r="1923">
          <cell r="C1923">
            <v>4010401830</v>
          </cell>
          <cell r="D1923" t="str">
            <v>CNY</v>
          </cell>
          <cell r="E1923" t="str">
            <v>PCS</v>
          </cell>
          <cell r="F1923">
            <v>48.825000000000003</v>
          </cell>
        </row>
        <row r="1924">
          <cell r="C1924">
            <v>4010402610</v>
          </cell>
          <cell r="D1924" t="str">
            <v>CNY</v>
          </cell>
          <cell r="E1924" t="str">
            <v>PCS</v>
          </cell>
          <cell r="F1924">
            <v>3.7800000000000002</v>
          </cell>
        </row>
        <row r="1925">
          <cell r="C1925">
            <v>4010402620</v>
          </cell>
          <cell r="D1925" t="str">
            <v>CNY</v>
          </cell>
          <cell r="E1925" t="str">
            <v>PCS</v>
          </cell>
          <cell r="F1925">
            <v>3.1500000000000004</v>
          </cell>
        </row>
        <row r="1926">
          <cell r="C1926">
            <v>4010402630</v>
          </cell>
          <cell r="D1926" t="str">
            <v>CNY</v>
          </cell>
          <cell r="E1926" t="str">
            <v>PCS</v>
          </cell>
          <cell r="F1926">
            <v>3.7800000000000002</v>
          </cell>
        </row>
        <row r="1927">
          <cell r="C1927">
            <v>4020111030</v>
          </cell>
          <cell r="D1927" t="str">
            <v>CNY</v>
          </cell>
          <cell r="E1927" t="str">
            <v>PCS</v>
          </cell>
          <cell r="F1927">
            <v>3438.0570000000002</v>
          </cell>
        </row>
        <row r="1928">
          <cell r="C1928">
            <v>4020119260</v>
          </cell>
          <cell r="D1928" t="str">
            <v>CNY</v>
          </cell>
          <cell r="E1928" t="str">
            <v>PCS</v>
          </cell>
          <cell r="F1928">
            <v>2926.9905000000003</v>
          </cell>
        </row>
        <row r="1929">
          <cell r="C1929">
            <v>4020119940</v>
          </cell>
          <cell r="D1929" t="str">
            <v>CNY</v>
          </cell>
          <cell r="E1929" t="str">
            <v>PCS</v>
          </cell>
          <cell r="F1929">
            <v>2079</v>
          </cell>
        </row>
        <row r="1930">
          <cell r="C1930">
            <v>4020119950</v>
          </cell>
          <cell r="D1930" t="str">
            <v>CNY</v>
          </cell>
          <cell r="E1930" t="str">
            <v>PCS</v>
          </cell>
          <cell r="F1930">
            <v>619.5</v>
          </cell>
        </row>
        <row r="1931">
          <cell r="C1931">
            <v>4020120050</v>
          </cell>
          <cell r="D1931" t="str">
            <v>CNY</v>
          </cell>
          <cell r="E1931" t="str">
            <v>PCS</v>
          </cell>
          <cell r="F1931">
            <v>123.9</v>
          </cell>
        </row>
        <row r="1932">
          <cell r="C1932">
            <v>4020120400</v>
          </cell>
          <cell r="D1932" t="str">
            <v>CNY</v>
          </cell>
          <cell r="E1932" t="str">
            <v>PCS</v>
          </cell>
          <cell r="F1932">
            <v>2236.5</v>
          </cell>
        </row>
        <row r="1933">
          <cell r="C1933">
            <v>4020200690</v>
          </cell>
          <cell r="D1933" t="str">
            <v>CNY</v>
          </cell>
          <cell r="E1933" t="str">
            <v>M</v>
          </cell>
          <cell r="F1933">
            <v>58.327500000000001</v>
          </cell>
        </row>
        <row r="1934">
          <cell r="C1934">
            <v>4020205750</v>
          </cell>
          <cell r="D1934" t="str">
            <v>CNY</v>
          </cell>
          <cell r="E1934" t="str">
            <v>SET</v>
          </cell>
          <cell r="F1934">
            <v>6039.81</v>
          </cell>
        </row>
        <row r="1935">
          <cell r="C1935">
            <v>4020211860</v>
          </cell>
          <cell r="D1935" t="str">
            <v>CNY</v>
          </cell>
          <cell r="E1935" t="str">
            <v>PCS</v>
          </cell>
          <cell r="F1935">
            <v>92.920380000000009</v>
          </cell>
        </row>
        <row r="1936">
          <cell r="C1936">
            <v>4020216560</v>
          </cell>
          <cell r="D1936" t="str">
            <v>CNY</v>
          </cell>
          <cell r="E1936" t="str">
            <v>PCS</v>
          </cell>
          <cell r="F1936">
            <v>1470</v>
          </cell>
        </row>
        <row r="1937">
          <cell r="C1937">
            <v>4020216570</v>
          </cell>
          <cell r="D1937" t="str">
            <v>CNY</v>
          </cell>
          <cell r="E1937" t="str">
            <v>PCS</v>
          </cell>
          <cell r="F1937">
            <v>3570</v>
          </cell>
        </row>
        <row r="1938">
          <cell r="C1938">
            <v>4020216580</v>
          </cell>
          <cell r="D1938" t="str">
            <v>CNY</v>
          </cell>
          <cell r="E1938" t="str">
            <v>PCS</v>
          </cell>
          <cell r="F1938">
            <v>3066</v>
          </cell>
        </row>
        <row r="1939">
          <cell r="C1939">
            <v>4020216590</v>
          </cell>
          <cell r="D1939" t="str">
            <v>CNY</v>
          </cell>
          <cell r="E1939" t="str">
            <v>PCS</v>
          </cell>
          <cell r="F1939">
            <v>6636</v>
          </cell>
        </row>
        <row r="1940">
          <cell r="C1940">
            <v>4020216600</v>
          </cell>
          <cell r="D1940" t="str">
            <v>CNY</v>
          </cell>
          <cell r="E1940" t="str">
            <v>PCS</v>
          </cell>
          <cell r="F1940">
            <v>2583</v>
          </cell>
        </row>
        <row r="1941">
          <cell r="C1941">
            <v>4020216610</v>
          </cell>
          <cell r="D1941" t="str">
            <v>CNY</v>
          </cell>
          <cell r="E1941" t="str">
            <v>PCS</v>
          </cell>
          <cell r="F1941">
            <v>1900.5</v>
          </cell>
        </row>
        <row r="1942">
          <cell r="C1942">
            <v>4020216620</v>
          </cell>
          <cell r="D1942" t="str">
            <v>CNY</v>
          </cell>
          <cell r="E1942" t="str">
            <v>PCS</v>
          </cell>
          <cell r="F1942">
            <v>525</v>
          </cell>
        </row>
        <row r="1943">
          <cell r="C1943">
            <v>4020216630</v>
          </cell>
          <cell r="D1943" t="str">
            <v>CNY</v>
          </cell>
          <cell r="E1943" t="str">
            <v>PCS</v>
          </cell>
          <cell r="F1943">
            <v>619.5</v>
          </cell>
        </row>
        <row r="1944">
          <cell r="C1944">
            <v>4020217290</v>
          </cell>
          <cell r="D1944" t="str">
            <v>CNY</v>
          </cell>
          <cell r="E1944" t="str">
            <v>PCS</v>
          </cell>
          <cell r="F1944">
            <v>9196.11</v>
          </cell>
        </row>
        <row r="1945">
          <cell r="C1945">
            <v>4020217300</v>
          </cell>
          <cell r="D1945" t="str">
            <v>CNY</v>
          </cell>
          <cell r="E1945" t="str">
            <v>PCS</v>
          </cell>
          <cell r="F1945">
            <v>6235.6769999999997</v>
          </cell>
        </row>
        <row r="1946">
          <cell r="C1946">
            <v>4020217310</v>
          </cell>
          <cell r="D1946" t="str">
            <v>CNY</v>
          </cell>
          <cell r="E1946" t="str">
            <v>PCS</v>
          </cell>
          <cell r="F1946">
            <v>1127.8470000000002</v>
          </cell>
        </row>
        <row r="1947">
          <cell r="C1947">
            <v>4020217320</v>
          </cell>
          <cell r="D1947" t="str">
            <v>CNY</v>
          </cell>
          <cell r="E1947" t="str">
            <v>PCS</v>
          </cell>
          <cell r="F1947">
            <v>5124.3465000000006</v>
          </cell>
        </row>
        <row r="1948">
          <cell r="C1948">
            <v>4020217330</v>
          </cell>
          <cell r="D1948" t="str">
            <v>CNY</v>
          </cell>
          <cell r="E1948" t="str">
            <v>PCS</v>
          </cell>
          <cell r="F1948">
            <v>10905.856500000002</v>
          </cell>
        </row>
        <row r="1949">
          <cell r="C1949">
            <v>4020217340</v>
          </cell>
          <cell r="D1949" t="str">
            <v>CNY</v>
          </cell>
          <cell r="E1949" t="str">
            <v>PCS</v>
          </cell>
          <cell r="F1949">
            <v>1127.8365000000001</v>
          </cell>
        </row>
        <row r="1950">
          <cell r="C1950">
            <v>4020217350</v>
          </cell>
          <cell r="D1950" t="str">
            <v>CNY</v>
          </cell>
          <cell r="E1950" t="str">
            <v>PCS</v>
          </cell>
          <cell r="F1950">
            <v>6962.308500000001</v>
          </cell>
        </row>
        <row r="1951">
          <cell r="C1951">
            <v>4020217380</v>
          </cell>
          <cell r="D1951" t="str">
            <v>CNY</v>
          </cell>
          <cell r="E1951" t="str">
            <v>PCS</v>
          </cell>
          <cell r="F1951">
            <v>1673.28</v>
          </cell>
        </row>
        <row r="1952">
          <cell r="C1952">
            <v>4020217390</v>
          </cell>
          <cell r="D1952" t="str">
            <v>CNY</v>
          </cell>
          <cell r="E1952" t="str">
            <v>PCS</v>
          </cell>
          <cell r="F1952">
            <v>6791.326500000001</v>
          </cell>
        </row>
        <row r="1953">
          <cell r="C1953">
            <v>4020217400</v>
          </cell>
          <cell r="D1953" t="str">
            <v>CNY</v>
          </cell>
          <cell r="E1953" t="str">
            <v>PCS</v>
          </cell>
          <cell r="F1953">
            <v>10905.846000000001</v>
          </cell>
        </row>
        <row r="1954">
          <cell r="C1954">
            <v>4020217410</v>
          </cell>
          <cell r="D1954" t="str">
            <v>CNY</v>
          </cell>
          <cell r="E1954" t="str">
            <v>PCS</v>
          </cell>
          <cell r="F1954">
            <v>764.51550000000009</v>
          </cell>
        </row>
        <row r="1955">
          <cell r="C1955">
            <v>4020217420</v>
          </cell>
          <cell r="D1955" t="str">
            <v>CNY</v>
          </cell>
          <cell r="E1955" t="str">
            <v>PCS</v>
          </cell>
          <cell r="F1955">
            <v>7140</v>
          </cell>
        </row>
        <row r="1956">
          <cell r="C1956">
            <v>4020217430</v>
          </cell>
          <cell r="D1956" t="str">
            <v>CNY</v>
          </cell>
          <cell r="E1956" t="str">
            <v>PCS</v>
          </cell>
          <cell r="F1956">
            <v>6962.308500000001</v>
          </cell>
        </row>
        <row r="1957">
          <cell r="C1957">
            <v>4020217440</v>
          </cell>
          <cell r="D1957" t="str">
            <v>CNY</v>
          </cell>
          <cell r="E1957" t="str">
            <v>PCS</v>
          </cell>
          <cell r="F1957">
            <v>12134.2515</v>
          </cell>
        </row>
        <row r="1958">
          <cell r="C1958">
            <v>4020217450</v>
          </cell>
          <cell r="D1958" t="str">
            <v>CNY</v>
          </cell>
          <cell r="E1958" t="str">
            <v>PCS</v>
          </cell>
          <cell r="F1958">
            <v>13125</v>
          </cell>
        </row>
        <row r="1959">
          <cell r="C1959">
            <v>4020217550</v>
          </cell>
          <cell r="D1959" t="str">
            <v>CNY</v>
          </cell>
          <cell r="E1959" t="str">
            <v>PCS</v>
          </cell>
          <cell r="F1959">
            <v>2323.0095000000001</v>
          </cell>
        </row>
        <row r="1960">
          <cell r="C1960">
            <v>4020217560</v>
          </cell>
          <cell r="D1960" t="str">
            <v>CNY</v>
          </cell>
          <cell r="E1960" t="str">
            <v>PCS</v>
          </cell>
          <cell r="F1960">
            <v>2323.0095000000001</v>
          </cell>
        </row>
        <row r="1961">
          <cell r="C1961">
            <v>4020217570</v>
          </cell>
          <cell r="D1961" t="str">
            <v>CNY</v>
          </cell>
          <cell r="E1961" t="str">
            <v>PCS</v>
          </cell>
          <cell r="F1961">
            <v>2323.0095000000001</v>
          </cell>
        </row>
        <row r="1962">
          <cell r="C1962">
            <v>4020217580</v>
          </cell>
          <cell r="D1962" t="str">
            <v>CNY</v>
          </cell>
          <cell r="E1962" t="str">
            <v>PCS</v>
          </cell>
          <cell r="F1962">
            <v>2601.7740000000003</v>
          </cell>
        </row>
        <row r="1963">
          <cell r="C1963">
            <v>4020217590</v>
          </cell>
          <cell r="D1963" t="str">
            <v>CNY</v>
          </cell>
          <cell r="E1963" t="str">
            <v>PCS</v>
          </cell>
          <cell r="F1963">
            <v>2973.4530000000004</v>
          </cell>
        </row>
        <row r="1964">
          <cell r="C1964">
            <v>4020217600</v>
          </cell>
          <cell r="D1964" t="str">
            <v>CNY</v>
          </cell>
          <cell r="E1964" t="str">
            <v>PCS</v>
          </cell>
          <cell r="F1964">
            <v>2323.0095000000001</v>
          </cell>
        </row>
        <row r="1965">
          <cell r="C1965">
            <v>4020217610</v>
          </cell>
          <cell r="D1965" t="str">
            <v>CNY</v>
          </cell>
          <cell r="E1965" t="str">
            <v>PCS</v>
          </cell>
          <cell r="F1965">
            <v>2323.0095000000001</v>
          </cell>
        </row>
        <row r="1966">
          <cell r="C1966">
            <v>4020217620</v>
          </cell>
          <cell r="D1966" t="str">
            <v>CNY</v>
          </cell>
          <cell r="E1966" t="str">
            <v>PCS</v>
          </cell>
          <cell r="F1966">
            <v>3252.2175000000002</v>
          </cell>
        </row>
        <row r="1967">
          <cell r="C1967">
            <v>4020218950</v>
          </cell>
          <cell r="D1967" t="str">
            <v>CNY</v>
          </cell>
          <cell r="E1967" t="str">
            <v>PCS</v>
          </cell>
          <cell r="F1967">
            <v>6922.5660000000007</v>
          </cell>
        </row>
        <row r="1968">
          <cell r="C1968">
            <v>4020218960</v>
          </cell>
          <cell r="D1968" t="str">
            <v>CNY</v>
          </cell>
          <cell r="E1968" t="str">
            <v>PCS</v>
          </cell>
          <cell r="F1968">
            <v>1115.0475000000001</v>
          </cell>
        </row>
        <row r="1969">
          <cell r="C1969">
            <v>4020219930</v>
          </cell>
          <cell r="D1969" t="str">
            <v>CNY</v>
          </cell>
          <cell r="E1969" t="str">
            <v>PCS</v>
          </cell>
          <cell r="F1969">
            <v>8.4</v>
          </cell>
        </row>
        <row r="1970">
          <cell r="C1970">
            <v>4020220810</v>
          </cell>
          <cell r="D1970" t="str">
            <v>CNY</v>
          </cell>
          <cell r="E1970" t="str">
            <v>PCS</v>
          </cell>
          <cell r="F1970">
            <v>27.930000000000003</v>
          </cell>
        </row>
        <row r="1971">
          <cell r="C1971">
            <v>4020220850</v>
          </cell>
          <cell r="D1971" t="str">
            <v>CNY</v>
          </cell>
          <cell r="E1971" t="str">
            <v>PCS</v>
          </cell>
          <cell r="F1971">
            <v>1890</v>
          </cell>
        </row>
        <row r="1972">
          <cell r="C1972">
            <v>4020305570</v>
          </cell>
          <cell r="D1972" t="str">
            <v>CNY</v>
          </cell>
          <cell r="E1972" t="str">
            <v>SET</v>
          </cell>
          <cell r="F1972">
            <v>6825</v>
          </cell>
        </row>
        <row r="1973">
          <cell r="C1973">
            <v>4020305590</v>
          </cell>
          <cell r="D1973" t="str">
            <v>CNY</v>
          </cell>
          <cell r="E1973" t="str">
            <v>SET</v>
          </cell>
          <cell r="F1973">
            <v>12600</v>
          </cell>
        </row>
        <row r="1974">
          <cell r="C1974">
            <v>4020305610</v>
          </cell>
          <cell r="D1974" t="str">
            <v>CNY</v>
          </cell>
          <cell r="E1974" t="str">
            <v>SET</v>
          </cell>
          <cell r="F1974">
            <v>12600</v>
          </cell>
        </row>
        <row r="1975">
          <cell r="C1975">
            <v>4020305930</v>
          </cell>
          <cell r="D1975" t="str">
            <v>CNY</v>
          </cell>
          <cell r="E1975" t="str">
            <v>SET</v>
          </cell>
          <cell r="F1975">
            <v>10500</v>
          </cell>
        </row>
        <row r="1976">
          <cell r="C1976">
            <v>4020306160</v>
          </cell>
          <cell r="D1976" t="str">
            <v>CNY</v>
          </cell>
          <cell r="E1976" t="str">
            <v>SET</v>
          </cell>
          <cell r="F1976">
            <v>7875</v>
          </cell>
        </row>
        <row r="1977">
          <cell r="C1977">
            <v>4020306620</v>
          </cell>
          <cell r="D1977" t="str">
            <v>CNY</v>
          </cell>
          <cell r="E1977" t="str">
            <v>PCS</v>
          </cell>
          <cell r="F1977">
            <v>8925</v>
          </cell>
        </row>
        <row r="1978">
          <cell r="C1978">
            <v>4020307470</v>
          </cell>
          <cell r="D1978" t="str">
            <v>CNY</v>
          </cell>
          <cell r="E1978" t="str">
            <v>PCS</v>
          </cell>
          <cell r="F1978">
            <v>11550</v>
          </cell>
        </row>
        <row r="1979">
          <cell r="C1979">
            <v>4020307840</v>
          </cell>
          <cell r="D1979" t="str">
            <v>CNY</v>
          </cell>
          <cell r="E1979" t="str">
            <v>PCS</v>
          </cell>
          <cell r="F1979">
            <v>10.5</v>
          </cell>
        </row>
        <row r="1980">
          <cell r="C1980">
            <v>4020307850</v>
          </cell>
          <cell r="D1980" t="str">
            <v>CNY</v>
          </cell>
          <cell r="E1980" t="str">
            <v>PCS</v>
          </cell>
          <cell r="F1980">
            <v>28.35</v>
          </cell>
        </row>
        <row r="1981">
          <cell r="C1981">
            <v>4020308310</v>
          </cell>
          <cell r="D1981" t="str">
            <v>CNY</v>
          </cell>
          <cell r="E1981" t="str">
            <v>PCS</v>
          </cell>
          <cell r="F1981">
            <v>18.900000000000002</v>
          </cell>
        </row>
        <row r="1982">
          <cell r="C1982">
            <v>4020308490</v>
          </cell>
          <cell r="D1982" t="str">
            <v>CNY</v>
          </cell>
          <cell r="E1982" t="str">
            <v>SET</v>
          </cell>
          <cell r="F1982">
            <v>15330</v>
          </cell>
        </row>
        <row r="1983">
          <cell r="C1983">
            <v>4020308960</v>
          </cell>
          <cell r="D1983" t="str">
            <v>CNY</v>
          </cell>
          <cell r="E1983" t="str">
            <v>PCS</v>
          </cell>
          <cell r="F1983">
            <v>12.600000000000001</v>
          </cell>
        </row>
        <row r="1984">
          <cell r="C1984">
            <v>4020308970</v>
          </cell>
          <cell r="D1984" t="str">
            <v>CNY</v>
          </cell>
          <cell r="E1984" t="str">
            <v>PCS</v>
          </cell>
          <cell r="F1984">
            <v>18.900000000000002</v>
          </cell>
        </row>
        <row r="1985">
          <cell r="C1985">
            <v>4020308980</v>
          </cell>
          <cell r="D1985" t="str">
            <v>CNY</v>
          </cell>
          <cell r="E1985" t="str">
            <v>PCS</v>
          </cell>
          <cell r="F1985">
            <v>13.9335</v>
          </cell>
        </row>
        <row r="1986">
          <cell r="C1986">
            <v>4020308990</v>
          </cell>
          <cell r="D1986" t="str">
            <v>CNY</v>
          </cell>
          <cell r="E1986" t="str">
            <v>PCS</v>
          </cell>
          <cell r="F1986">
            <v>60.396000000000008</v>
          </cell>
        </row>
        <row r="1987">
          <cell r="C1987">
            <v>4020309000</v>
          </cell>
          <cell r="D1987" t="str">
            <v>CNY</v>
          </cell>
          <cell r="E1987" t="str">
            <v>PCS</v>
          </cell>
          <cell r="F1987">
            <v>74.34</v>
          </cell>
        </row>
        <row r="1988">
          <cell r="C1988">
            <v>4020309010</v>
          </cell>
          <cell r="D1988" t="str">
            <v>CNY</v>
          </cell>
          <cell r="E1988" t="str">
            <v>PCS</v>
          </cell>
          <cell r="F1988">
            <v>88.273499999999999</v>
          </cell>
        </row>
        <row r="1989">
          <cell r="C1989">
            <v>4020309020</v>
          </cell>
          <cell r="D1989" t="str">
            <v>CNY</v>
          </cell>
          <cell r="E1989" t="str">
            <v>PCS</v>
          </cell>
          <cell r="F1989">
            <v>32.518500000000003</v>
          </cell>
        </row>
        <row r="1990">
          <cell r="C1990">
            <v>4020309030</v>
          </cell>
          <cell r="D1990" t="str">
            <v>CNY</v>
          </cell>
          <cell r="E1990" t="str">
            <v>PCS</v>
          </cell>
          <cell r="F1990">
            <v>2415.9240000000004</v>
          </cell>
        </row>
        <row r="1991">
          <cell r="C1991">
            <v>4020309040</v>
          </cell>
          <cell r="D1991" t="str">
            <v>CNY</v>
          </cell>
          <cell r="E1991" t="str">
            <v>PCS</v>
          </cell>
          <cell r="F1991">
            <v>2415.9240000000004</v>
          </cell>
        </row>
        <row r="1992">
          <cell r="C1992">
            <v>4020309050</v>
          </cell>
          <cell r="D1992" t="str">
            <v>CNY</v>
          </cell>
          <cell r="E1992" t="str">
            <v>PCS</v>
          </cell>
          <cell r="F1992">
            <v>341.94300000000004</v>
          </cell>
        </row>
        <row r="1993">
          <cell r="C1993">
            <v>4020309060</v>
          </cell>
          <cell r="D1993" t="str">
            <v>CNY</v>
          </cell>
          <cell r="E1993" t="str">
            <v>PCS</v>
          </cell>
          <cell r="F1993">
            <v>10.5</v>
          </cell>
        </row>
        <row r="1994">
          <cell r="C1994">
            <v>4020400440</v>
          </cell>
          <cell r="D1994" t="str">
            <v>CNY</v>
          </cell>
          <cell r="E1994" t="str">
            <v>PCS</v>
          </cell>
          <cell r="F1994">
            <v>36.75</v>
          </cell>
        </row>
        <row r="1995">
          <cell r="C1995">
            <v>4020400640</v>
          </cell>
          <cell r="D1995" t="str">
            <v>CNY</v>
          </cell>
          <cell r="E1995" t="str">
            <v>PCS</v>
          </cell>
          <cell r="F1995">
            <v>278.7645</v>
          </cell>
        </row>
        <row r="1996">
          <cell r="C1996">
            <v>4020401500</v>
          </cell>
          <cell r="D1996" t="str">
            <v>CNY</v>
          </cell>
          <cell r="E1996" t="str">
            <v>PCS</v>
          </cell>
          <cell r="F1996">
            <v>278.7645</v>
          </cell>
        </row>
        <row r="1997">
          <cell r="C1997">
            <v>4020401510</v>
          </cell>
          <cell r="D1997" t="str">
            <v>CNY</v>
          </cell>
          <cell r="E1997" t="str">
            <v>PCS</v>
          </cell>
          <cell r="F1997">
            <v>278.7645</v>
          </cell>
        </row>
        <row r="1998">
          <cell r="C1998">
            <v>4020402420</v>
          </cell>
          <cell r="D1998" t="str">
            <v>CNY</v>
          </cell>
          <cell r="E1998" t="str">
            <v>PCS</v>
          </cell>
          <cell r="F1998">
            <v>278.7645</v>
          </cell>
        </row>
        <row r="1999">
          <cell r="C1999">
            <v>4020407650</v>
          </cell>
          <cell r="D1999" t="str">
            <v>CNY</v>
          </cell>
          <cell r="E1999" t="str">
            <v>PCS</v>
          </cell>
          <cell r="F1999">
            <v>278.7645</v>
          </cell>
        </row>
        <row r="2000">
          <cell r="C2000">
            <v>4020407810</v>
          </cell>
          <cell r="D2000" t="str">
            <v>CNY</v>
          </cell>
          <cell r="E2000" t="str">
            <v>PCS</v>
          </cell>
          <cell r="F2000">
            <v>525</v>
          </cell>
        </row>
        <row r="2001">
          <cell r="C2001">
            <v>4020412480</v>
          </cell>
          <cell r="D2001" t="str">
            <v>CNY</v>
          </cell>
          <cell r="E2001" t="str">
            <v>PCS</v>
          </cell>
          <cell r="F2001">
            <v>157.5</v>
          </cell>
        </row>
        <row r="2002">
          <cell r="C2002">
            <v>4020412860</v>
          </cell>
          <cell r="D2002" t="str">
            <v>CNY</v>
          </cell>
          <cell r="E2002" t="str">
            <v>PCS</v>
          </cell>
          <cell r="F2002">
            <v>696.90600000000006</v>
          </cell>
        </row>
        <row r="2003">
          <cell r="C2003">
            <v>4020413550</v>
          </cell>
          <cell r="D2003" t="str">
            <v>CNY</v>
          </cell>
          <cell r="E2003" t="str">
            <v>PCS</v>
          </cell>
          <cell r="F2003">
            <v>11550</v>
          </cell>
        </row>
        <row r="2004">
          <cell r="C2004">
            <v>4020413560</v>
          </cell>
          <cell r="D2004" t="str">
            <v>CNY</v>
          </cell>
          <cell r="E2004" t="str">
            <v>PCS</v>
          </cell>
          <cell r="F2004">
            <v>2730</v>
          </cell>
        </row>
        <row r="2005">
          <cell r="C2005">
            <v>4020413580</v>
          </cell>
          <cell r="D2005" t="str">
            <v>CNY</v>
          </cell>
          <cell r="E2005" t="str">
            <v>PCS</v>
          </cell>
          <cell r="F2005">
            <v>4410</v>
          </cell>
        </row>
        <row r="2006">
          <cell r="C2006">
            <v>4020413590</v>
          </cell>
          <cell r="D2006" t="str">
            <v>CNY</v>
          </cell>
          <cell r="E2006" t="str">
            <v>PCS</v>
          </cell>
          <cell r="F2006">
            <v>1890</v>
          </cell>
        </row>
        <row r="2007">
          <cell r="C2007">
            <v>4020413600</v>
          </cell>
          <cell r="D2007" t="str">
            <v>CNY</v>
          </cell>
          <cell r="E2007" t="str">
            <v>PCS</v>
          </cell>
          <cell r="F2007">
            <v>577.5</v>
          </cell>
        </row>
        <row r="2008">
          <cell r="C2008">
            <v>4020413620</v>
          </cell>
          <cell r="D2008" t="str">
            <v>CNY</v>
          </cell>
          <cell r="E2008" t="str">
            <v>PCS</v>
          </cell>
          <cell r="F2008">
            <v>4095</v>
          </cell>
        </row>
        <row r="2009">
          <cell r="C2009">
            <v>4020413630</v>
          </cell>
          <cell r="D2009" t="str">
            <v>CNY</v>
          </cell>
          <cell r="E2009" t="str">
            <v>PCS</v>
          </cell>
          <cell r="F2009">
            <v>3360</v>
          </cell>
        </row>
        <row r="2010">
          <cell r="C2010">
            <v>4020413640</v>
          </cell>
          <cell r="D2010" t="str">
            <v>CNY</v>
          </cell>
          <cell r="E2010" t="str">
            <v>PCS</v>
          </cell>
          <cell r="F2010">
            <v>3675</v>
          </cell>
        </row>
        <row r="2011">
          <cell r="C2011">
            <v>4020413650</v>
          </cell>
          <cell r="D2011" t="str">
            <v>CNY</v>
          </cell>
          <cell r="E2011" t="str">
            <v>PCS</v>
          </cell>
          <cell r="F2011">
            <v>4200</v>
          </cell>
        </row>
        <row r="2012">
          <cell r="C2012">
            <v>4020413660</v>
          </cell>
          <cell r="D2012" t="str">
            <v>CNY</v>
          </cell>
          <cell r="E2012" t="str">
            <v>PCS</v>
          </cell>
          <cell r="F2012">
            <v>2835</v>
          </cell>
        </row>
        <row r="2013">
          <cell r="C2013">
            <v>4020413670</v>
          </cell>
          <cell r="D2013" t="str">
            <v>CNY</v>
          </cell>
          <cell r="E2013" t="str">
            <v>PCS</v>
          </cell>
          <cell r="F2013">
            <v>420</v>
          </cell>
        </row>
        <row r="2014">
          <cell r="C2014">
            <v>4020413680</v>
          </cell>
          <cell r="D2014" t="str">
            <v>CNY</v>
          </cell>
          <cell r="E2014" t="str">
            <v>PCS</v>
          </cell>
          <cell r="F2014">
            <v>892.5</v>
          </cell>
        </row>
        <row r="2015">
          <cell r="C2015">
            <v>4020413690</v>
          </cell>
          <cell r="D2015" t="str">
            <v>CNY</v>
          </cell>
          <cell r="E2015" t="str">
            <v>PCS</v>
          </cell>
          <cell r="F2015">
            <v>735</v>
          </cell>
        </row>
        <row r="2016">
          <cell r="C2016">
            <v>4020413700</v>
          </cell>
          <cell r="D2016" t="str">
            <v>CNY</v>
          </cell>
          <cell r="E2016" t="str">
            <v>PCS</v>
          </cell>
          <cell r="F2016">
            <v>52.5</v>
          </cell>
        </row>
        <row r="2017">
          <cell r="C2017">
            <v>4020413710</v>
          </cell>
          <cell r="D2017" t="str">
            <v>CNY</v>
          </cell>
          <cell r="E2017" t="str">
            <v>PCS</v>
          </cell>
          <cell r="F2017">
            <v>210</v>
          </cell>
        </row>
        <row r="2018">
          <cell r="C2018">
            <v>4020413720</v>
          </cell>
          <cell r="D2018" t="str">
            <v>CNY</v>
          </cell>
          <cell r="E2018" t="str">
            <v>PCS</v>
          </cell>
          <cell r="F2018">
            <v>1575</v>
          </cell>
        </row>
        <row r="2019">
          <cell r="C2019">
            <v>4020413730</v>
          </cell>
          <cell r="D2019" t="str">
            <v>CNY</v>
          </cell>
          <cell r="E2019" t="str">
            <v>PCS</v>
          </cell>
          <cell r="F2019">
            <v>7875</v>
          </cell>
        </row>
        <row r="2020">
          <cell r="C2020">
            <v>4020413740</v>
          </cell>
          <cell r="D2020" t="str">
            <v>CNY</v>
          </cell>
          <cell r="E2020" t="str">
            <v>PCS</v>
          </cell>
          <cell r="F2020">
            <v>52.5</v>
          </cell>
        </row>
        <row r="2021">
          <cell r="C2021">
            <v>4020413750</v>
          </cell>
          <cell r="D2021" t="str">
            <v>CNY</v>
          </cell>
          <cell r="E2021" t="str">
            <v>PCS</v>
          </cell>
          <cell r="F2021">
            <v>52.5</v>
          </cell>
        </row>
        <row r="2022">
          <cell r="C2022">
            <v>4020415230</v>
          </cell>
          <cell r="D2022" t="str">
            <v>CNY</v>
          </cell>
          <cell r="E2022" t="str">
            <v>PCS</v>
          </cell>
          <cell r="F2022">
            <v>2310</v>
          </cell>
        </row>
        <row r="2023">
          <cell r="C2023">
            <v>4020415800</v>
          </cell>
          <cell r="D2023" t="str">
            <v>CNY</v>
          </cell>
          <cell r="E2023" t="str">
            <v>PCS</v>
          </cell>
          <cell r="F2023">
            <v>2625</v>
          </cell>
        </row>
        <row r="2024">
          <cell r="C2024">
            <v>4020415810</v>
          </cell>
          <cell r="D2024" t="str">
            <v>CNY</v>
          </cell>
          <cell r="E2024" t="str">
            <v>PCS</v>
          </cell>
          <cell r="F2024">
            <v>8767.5</v>
          </cell>
        </row>
        <row r="2025">
          <cell r="C2025">
            <v>4020500130</v>
          </cell>
          <cell r="D2025" t="str">
            <v>CNY</v>
          </cell>
          <cell r="E2025" t="str">
            <v>PCS</v>
          </cell>
          <cell r="F2025">
            <v>846.15300000000002</v>
          </cell>
        </row>
        <row r="2026">
          <cell r="C2026">
            <v>4020501680</v>
          </cell>
          <cell r="D2026" t="str">
            <v>CNY</v>
          </cell>
          <cell r="E2026" t="str">
            <v>SET</v>
          </cell>
          <cell r="F2026">
            <v>8749.9965000000011</v>
          </cell>
        </row>
        <row r="2027">
          <cell r="C2027">
            <v>4020503330</v>
          </cell>
          <cell r="D2027" t="str">
            <v>CNY</v>
          </cell>
          <cell r="E2027" t="str">
            <v>PCS</v>
          </cell>
          <cell r="F2027">
            <v>120.75</v>
          </cell>
        </row>
        <row r="2028">
          <cell r="C2028">
            <v>4020503680</v>
          </cell>
          <cell r="D2028" t="str">
            <v>CNY</v>
          </cell>
          <cell r="E2028" t="str">
            <v>PCS</v>
          </cell>
          <cell r="F2028">
            <v>1134</v>
          </cell>
        </row>
        <row r="2029">
          <cell r="C2029">
            <v>4020600010</v>
          </cell>
          <cell r="D2029" t="str">
            <v>CNY</v>
          </cell>
          <cell r="E2029" t="str">
            <v>PCS</v>
          </cell>
          <cell r="F2029">
            <v>16.285499999999999</v>
          </cell>
        </row>
        <row r="2030">
          <cell r="C2030">
            <v>4020600130</v>
          </cell>
          <cell r="D2030" t="str">
            <v>CNY</v>
          </cell>
          <cell r="E2030" t="str">
            <v>PCS</v>
          </cell>
          <cell r="F2030">
            <v>38.325000000000003</v>
          </cell>
        </row>
        <row r="2031">
          <cell r="C2031">
            <v>4020600290</v>
          </cell>
          <cell r="D2031" t="str">
            <v>CNY</v>
          </cell>
          <cell r="E2031" t="str">
            <v>PCS</v>
          </cell>
          <cell r="F2031">
            <v>743.36325000000011</v>
          </cell>
        </row>
        <row r="2032">
          <cell r="C2032">
            <v>4020600300</v>
          </cell>
          <cell r="D2032" t="str">
            <v>CNY</v>
          </cell>
          <cell r="E2032" t="str">
            <v>PCS</v>
          </cell>
          <cell r="F2032">
            <v>511.06229999999999</v>
          </cell>
        </row>
        <row r="2033">
          <cell r="C2033">
            <v>4020600310</v>
          </cell>
          <cell r="D2033" t="str">
            <v>CNY</v>
          </cell>
          <cell r="E2033" t="str">
            <v>PCS</v>
          </cell>
          <cell r="F2033">
            <v>511.06229999999999</v>
          </cell>
        </row>
        <row r="2034">
          <cell r="C2034">
            <v>4020600590</v>
          </cell>
          <cell r="D2034" t="str">
            <v>CNY</v>
          </cell>
          <cell r="E2034" t="str">
            <v>PCS</v>
          </cell>
          <cell r="F2034">
            <v>109.2</v>
          </cell>
        </row>
        <row r="2035">
          <cell r="C2035">
            <v>4020601090</v>
          </cell>
          <cell r="D2035" t="str">
            <v>CNY</v>
          </cell>
          <cell r="E2035" t="str">
            <v>PCS</v>
          </cell>
          <cell r="F2035">
            <v>2.9925000000000002</v>
          </cell>
        </row>
        <row r="2036">
          <cell r="C2036">
            <v>4020601230</v>
          </cell>
          <cell r="D2036" t="str">
            <v>CNY</v>
          </cell>
          <cell r="E2036" t="str">
            <v>PCS</v>
          </cell>
          <cell r="F2036">
            <v>139.65</v>
          </cell>
        </row>
        <row r="2037">
          <cell r="C2037">
            <v>4020602170</v>
          </cell>
          <cell r="D2037" t="str">
            <v>CNY</v>
          </cell>
          <cell r="E2037" t="str">
            <v>PCS</v>
          </cell>
          <cell r="F2037">
            <v>2217.6735000000003</v>
          </cell>
        </row>
        <row r="2038">
          <cell r="C2038">
            <v>4020602850</v>
          </cell>
          <cell r="D2038" t="str">
            <v>CNY</v>
          </cell>
          <cell r="E2038" t="str">
            <v>PCS</v>
          </cell>
          <cell r="F2038">
            <v>244.33500000000001</v>
          </cell>
        </row>
        <row r="2039">
          <cell r="C2039">
            <v>4020603000</v>
          </cell>
          <cell r="D2039" t="str">
            <v>CNY</v>
          </cell>
          <cell r="E2039" t="str">
            <v>PCS</v>
          </cell>
          <cell r="F2039">
            <v>7.7700000000000005</v>
          </cell>
        </row>
        <row r="2040">
          <cell r="C2040">
            <v>4020603140</v>
          </cell>
          <cell r="D2040" t="str">
            <v>CNY</v>
          </cell>
          <cell r="E2040" t="str">
            <v>PCS</v>
          </cell>
          <cell r="F2040">
            <v>15.368972950800003</v>
          </cell>
        </row>
        <row r="2041">
          <cell r="C2041">
            <v>4020603190</v>
          </cell>
          <cell r="D2041" t="str">
            <v>CNY</v>
          </cell>
          <cell r="E2041" t="str">
            <v>PCS</v>
          </cell>
          <cell r="F2041">
            <v>57.613500000000002</v>
          </cell>
        </row>
        <row r="2042">
          <cell r="C2042">
            <v>4020603280</v>
          </cell>
          <cell r="D2042" t="str">
            <v>CNY</v>
          </cell>
          <cell r="E2042" t="str">
            <v>PCS</v>
          </cell>
          <cell r="F2042">
            <v>60.375</v>
          </cell>
        </row>
        <row r="2043">
          <cell r="C2043">
            <v>4020603600</v>
          </cell>
          <cell r="D2043" t="str">
            <v>CNY</v>
          </cell>
          <cell r="E2043" t="str">
            <v>SET</v>
          </cell>
          <cell r="F2043">
            <v>255.52800000000002</v>
          </cell>
        </row>
        <row r="2044">
          <cell r="C2044">
            <v>4020604160</v>
          </cell>
          <cell r="D2044" t="str">
            <v>CNY</v>
          </cell>
          <cell r="E2044" t="str">
            <v>PCS</v>
          </cell>
          <cell r="F2044">
            <v>91.062300000000008</v>
          </cell>
        </row>
        <row r="2045">
          <cell r="C2045">
            <v>4020604410</v>
          </cell>
          <cell r="D2045" t="str">
            <v>CNY</v>
          </cell>
          <cell r="E2045" t="str">
            <v>PCS</v>
          </cell>
          <cell r="F2045">
            <v>167.25450000000001</v>
          </cell>
        </row>
        <row r="2046">
          <cell r="C2046">
            <v>4020610540</v>
          </cell>
          <cell r="D2046" t="str">
            <v>CNY</v>
          </cell>
          <cell r="E2046" t="str">
            <v>PCS</v>
          </cell>
          <cell r="F2046">
            <v>46.2</v>
          </cell>
        </row>
        <row r="2047">
          <cell r="C2047">
            <v>4020611540</v>
          </cell>
          <cell r="D2047" t="str">
            <v>CNY</v>
          </cell>
          <cell r="E2047" t="str">
            <v>PCS</v>
          </cell>
          <cell r="F2047">
            <v>3856.1985000000004</v>
          </cell>
        </row>
        <row r="2048">
          <cell r="C2048">
            <v>4020611920</v>
          </cell>
          <cell r="D2048" t="str">
            <v>CNY</v>
          </cell>
          <cell r="E2048" t="str">
            <v>PCS</v>
          </cell>
          <cell r="F2048">
            <v>1393.8057000000001</v>
          </cell>
        </row>
        <row r="2049">
          <cell r="C2049">
            <v>4020611930</v>
          </cell>
          <cell r="D2049" t="str">
            <v>CNY</v>
          </cell>
          <cell r="E2049" t="str">
            <v>PCS</v>
          </cell>
          <cell r="F2049">
            <v>2787.6114000000002</v>
          </cell>
        </row>
        <row r="2050">
          <cell r="C2050">
            <v>4020800180</v>
          </cell>
          <cell r="D2050" t="str">
            <v>CNY</v>
          </cell>
          <cell r="E2050" t="str">
            <v>PCS</v>
          </cell>
          <cell r="F2050">
            <v>147</v>
          </cell>
        </row>
        <row r="2051">
          <cell r="C2051">
            <v>4020800200</v>
          </cell>
          <cell r="D2051" t="str">
            <v>CNY</v>
          </cell>
          <cell r="E2051" t="str">
            <v>PCS</v>
          </cell>
          <cell r="F2051">
            <v>54.358500000000006</v>
          </cell>
        </row>
        <row r="2052">
          <cell r="C2052">
            <v>4020800210</v>
          </cell>
          <cell r="D2052" t="str">
            <v>CNY</v>
          </cell>
          <cell r="E2052" t="str">
            <v>PCS</v>
          </cell>
          <cell r="F2052">
            <v>17.493000000000002</v>
          </cell>
        </row>
        <row r="2053">
          <cell r="C2053">
            <v>4020800250</v>
          </cell>
          <cell r="D2053" t="str">
            <v>CNY</v>
          </cell>
          <cell r="E2053" t="str">
            <v>PCS</v>
          </cell>
          <cell r="F2053">
            <v>3.8534999999999999</v>
          </cell>
        </row>
        <row r="2054">
          <cell r="C2054">
            <v>4020800260</v>
          </cell>
          <cell r="D2054" t="str">
            <v>CNY</v>
          </cell>
          <cell r="E2054" t="str">
            <v>PCS</v>
          </cell>
          <cell r="F2054">
            <v>3.6750000000000003</v>
          </cell>
        </row>
        <row r="2055">
          <cell r="C2055">
            <v>4020800300</v>
          </cell>
          <cell r="D2055" t="str">
            <v>CNY</v>
          </cell>
          <cell r="E2055" t="str">
            <v>PCS</v>
          </cell>
          <cell r="F2055">
            <v>3.1500000000000004</v>
          </cell>
        </row>
        <row r="2056">
          <cell r="C2056">
            <v>4020802420</v>
          </cell>
          <cell r="D2056" t="str">
            <v>CNY</v>
          </cell>
          <cell r="E2056" t="str">
            <v>PCS</v>
          </cell>
          <cell r="F2056">
            <v>168</v>
          </cell>
        </row>
        <row r="2057">
          <cell r="C2057">
            <v>4020804580</v>
          </cell>
          <cell r="D2057" t="str">
            <v>CNY</v>
          </cell>
          <cell r="E2057" t="str">
            <v>PCS</v>
          </cell>
          <cell r="F2057">
            <v>4.2735000000000003</v>
          </cell>
        </row>
        <row r="2058">
          <cell r="C2058">
            <v>4020805440</v>
          </cell>
          <cell r="D2058" t="str">
            <v>CNY</v>
          </cell>
          <cell r="E2058" t="str">
            <v>PCS</v>
          </cell>
          <cell r="F2058">
            <v>60.900000000000006</v>
          </cell>
        </row>
        <row r="2059">
          <cell r="C2059">
            <v>4020805940</v>
          </cell>
          <cell r="D2059" t="str">
            <v>CNY</v>
          </cell>
          <cell r="E2059" t="str">
            <v>PCS</v>
          </cell>
          <cell r="F2059">
            <v>2648.2300845000004</v>
          </cell>
        </row>
        <row r="2060">
          <cell r="C2060">
            <v>4020808880</v>
          </cell>
          <cell r="D2060" t="str">
            <v>CNY</v>
          </cell>
          <cell r="E2060" t="str">
            <v>PCS</v>
          </cell>
          <cell r="F2060">
            <v>409.5</v>
          </cell>
        </row>
        <row r="2061">
          <cell r="C2061">
            <v>4020809690</v>
          </cell>
          <cell r="D2061" t="str">
            <v>CNY</v>
          </cell>
          <cell r="E2061" t="str">
            <v>PCS</v>
          </cell>
          <cell r="F2061">
            <v>960.75</v>
          </cell>
        </row>
        <row r="2062">
          <cell r="C2062">
            <v>4020809700</v>
          </cell>
          <cell r="D2062" t="str">
            <v>CNY</v>
          </cell>
          <cell r="E2062" t="str">
            <v>PCS</v>
          </cell>
          <cell r="F2062">
            <v>924</v>
          </cell>
        </row>
        <row r="2063">
          <cell r="C2063">
            <v>4020810130</v>
          </cell>
          <cell r="D2063" t="str">
            <v>CNY</v>
          </cell>
          <cell r="E2063" t="str">
            <v>PCS</v>
          </cell>
          <cell r="F2063">
            <v>241.5</v>
          </cell>
        </row>
        <row r="2064">
          <cell r="C2064">
            <v>4020810970</v>
          </cell>
          <cell r="D2064" t="str">
            <v>CNY</v>
          </cell>
          <cell r="E2064" t="str">
            <v>PCS</v>
          </cell>
          <cell r="F2064">
            <v>6.3000000000000007</v>
          </cell>
        </row>
        <row r="2065">
          <cell r="C2065">
            <v>4020810980</v>
          </cell>
          <cell r="D2065" t="str">
            <v>CNY</v>
          </cell>
          <cell r="E2065" t="str">
            <v>PCS</v>
          </cell>
          <cell r="F2065">
            <v>4.7250000000000005</v>
          </cell>
        </row>
        <row r="2066">
          <cell r="C2066">
            <v>4020810990</v>
          </cell>
          <cell r="D2066" t="str">
            <v>CNY</v>
          </cell>
          <cell r="E2066" t="str">
            <v>PCS</v>
          </cell>
          <cell r="F2066">
            <v>9.4500000000000011</v>
          </cell>
        </row>
        <row r="2067">
          <cell r="C2067">
            <v>4020811000</v>
          </cell>
          <cell r="D2067" t="str">
            <v>CNY</v>
          </cell>
          <cell r="E2067" t="str">
            <v>PCS</v>
          </cell>
          <cell r="F2067">
            <v>3.6750000000000003</v>
          </cell>
        </row>
        <row r="2068">
          <cell r="C2068">
            <v>4020811010</v>
          </cell>
          <cell r="D2068" t="str">
            <v>CNY</v>
          </cell>
          <cell r="E2068" t="str">
            <v>SET</v>
          </cell>
          <cell r="F2068">
            <v>68.25</v>
          </cell>
        </row>
        <row r="2069">
          <cell r="C2069">
            <v>4020811020</v>
          </cell>
          <cell r="D2069" t="str">
            <v>CNY</v>
          </cell>
          <cell r="E2069" t="str">
            <v>PCS</v>
          </cell>
          <cell r="F2069">
            <v>11.55</v>
          </cell>
        </row>
        <row r="2070">
          <cell r="C2070">
            <v>4020811030</v>
          </cell>
          <cell r="D2070" t="str">
            <v>CNY</v>
          </cell>
          <cell r="E2070" t="str">
            <v>PCS</v>
          </cell>
          <cell r="F2070">
            <v>13.125</v>
          </cell>
        </row>
        <row r="2071">
          <cell r="C2071">
            <v>4020811040</v>
          </cell>
          <cell r="D2071" t="str">
            <v>CNY</v>
          </cell>
          <cell r="E2071" t="str">
            <v>PCS</v>
          </cell>
          <cell r="F2071">
            <v>157.5</v>
          </cell>
        </row>
        <row r="2072">
          <cell r="C2072">
            <v>4020811050</v>
          </cell>
          <cell r="D2072" t="str">
            <v>CNY</v>
          </cell>
          <cell r="E2072" t="str">
            <v>PCS</v>
          </cell>
          <cell r="F2072">
            <v>6.3000000000000007</v>
          </cell>
        </row>
        <row r="2073">
          <cell r="C2073">
            <v>4020811060</v>
          </cell>
          <cell r="D2073" t="str">
            <v>CNY</v>
          </cell>
          <cell r="E2073" t="str">
            <v>PCS</v>
          </cell>
          <cell r="F2073">
            <v>2.625</v>
          </cell>
        </row>
        <row r="2074">
          <cell r="C2074">
            <v>4020811070</v>
          </cell>
          <cell r="D2074" t="str">
            <v>CNY</v>
          </cell>
          <cell r="E2074" t="str">
            <v>PCS</v>
          </cell>
          <cell r="F2074">
            <v>9.4500000000000011</v>
          </cell>
        </row>
        <row r="2075">
          <cell r="C2075">
            <v>4020811080</v>
          </cell>
          <cell r="D2075" t="str">
            <v>CNY</v>
          </cell>
          <cell r="E2075" t="str">
            <v>PCS</v>
          </cell>
          <cell r="F2075">
            <v>1.8375000000000001</v>
          </cell>
        </row>
        <row r="2076">
          <cell r="C2076">
            <v>4029800880</v>
          </cell>
          <cell r="D2076" t="str">
            <v>CNY</v>
          </cell>
          <cell r="E2076" t="str">
            <v>PCS</v>
          </cell>
          <cell r="F2076">
            <v>42</v>
          </cell>
        </row>
        <row r="2077">
          <cell r="C2077">
            <v>4029802290</v>
          </cell>
          <cell r="D2077" t="str">
            <v>CNY</v>
          </cell>
          <cell r="E2077" t="str">
            <v>PCS</v>
          </cell>
          <cell r="F2077">
            <v>106.85841600000001</v>
          </cell>
        </row>
        <row r="2078">
          <cell r="C2078">
            <v>4030100440</v>
          </cell>
          <cell r="D2078" t="str">
            <v>CNY</v>
          </cell>
          <cell r="E2078" t="str">
            <v>PCS</v>
          </cell>
          <cell r="F2078">
            <v>756</v>
          </cell>
        </row>
        <row r="2079">
          <cell r="C2079">
            <v>4030300330</v>
          </cell>
          <cell r="D2079" t="str">
            <v>CNY</v>
          </cell>
          <cell r="E2079" t="str">
            <v>SET</v>
          </cell>
          <cell r="F2079">
            <v>23.236499999999999</v>
          </cell>
        </row>
        <row r="2080">
          <cell r="C2080">
            <v>4030400600</v>
          </cell>
          <cell r="D2080" t="str">
            <v>CNY</v>
          </cell>
          <cell r="E2080" t="str">
            <v>PCS</v>
          </cell>
          <cell r="F2080">
            <v>889.65975000000003</v>
          </cell>
        </row>
        <row r="2081">
          <cell r="C2081">
            <v>4030400680</v>
          </cell>
          <cell r="D2081" t="str">
            <v>CNY</v>
          </cell>
          <cell r="E2081" t="str">
            <v>PCS</v>
          </cell>
          <cell r="F2081">
            <v>1027.513725</v>
          </cell>
        </row>
        <row r="2082">
          <cell r="C2082">
            <v>4030400810</v>
          </cell>
          <cell r="D2082" t="str">
            <v>CNY</v>
          </cell>
          <cell r="E2082" t="str">
            <v>PCS</v>
          </cell>
          <cell r="F2082">
            <v>1161.8131349999999</v>
          </cell>
        </row>
        <row r="2083">
          <cell r="C2083">
            <v>4030400940</v>
          </cell>
          <cell r="D2083" t="str">
            <v>CNY</v>
          </cell>
          <cell r="E2083" t="str">
            <v>PCS</v>
          </cell>
          <cell r="F2083">
            <v>1307.25</v>
          </cell>
        </row>
        <row r="2084">
          <cell r="C2084">
            <v>4030401150</v>
          </cell>
          <cell r="D2084" t="str">
            <v>CNY</v>
          </cell>
          <cell r="E2084" t="str">
            <v>PCS</v>
          </cell>
          <cell r="F2084">
            <v>1346.58321</v>
          </cell>
        </row>
        <row r="2085">
          <cell r="C2085">
            <v>4030401350</v>
          </cell>
          <cell r="D2085" t="str">
            <v>CNY</v>
          </cell>
          <cell r="E2085" t="str">
            <v>PCS</v>
          </cell>
          <cell r="F2085">
            <v>1278.9000000000001</v>
          </cell>
        </row>
        <row r="2086">
          <cell r="C2086">
            <v>4030410380</v>
          </cell>
          <cell r="D2086" t="str">
            <v>CNY</v>
          </cell>
          <cell r="E2086" t="str">
            <v>PCS</v>
          </cell>
          <cell r="F2086">
            <v>1487.1902849999999</v>
          </cell>
        </row>
        <row r="2087">
          <cell r="C2087">
            <v>4030411370</v>
          </cell>
          <cell r="D2087" t="str">
            <v>CNY</v>
          </cell>
          <cell r="E2087" t="str">
            <v>M</v>
          </cell>
          <cell r="F2087">
            <v>1.1151000000000002</v>
          </cell>
        </row>
        <row r="2088">
          <cell r="C2088">
            <v>4030413740</v>
          </cell>
          <cell r="D2088" t="str">
            <v>CNY</v>
          </cell>
          <cell r="E2088" t="str">
            <v>PCS</v>
          </cell>
          <cell r="F2088">
            <v>1417.5</v>
          </cell>
        </row>
        <row r="2089">
          <cell r="C2089">
            <v>4030413850</v>
          </cell>
          <cell r="D2089" t="str">
            <v>CNY</v>
          </cell>
          <cell r="E2089" t="str">
            <v>PCS</v>
          </cell>
          <cell r="F2089">
            <v>840</v>
          </cell>
        </row>
        <row r="2090">
          <cell r="C2090">
            <v>4030414100</v>
          </cell>
          <cell r="D2090" t="str">
            <v>CNY</v>
          </cell>
          <cell r="E2090" t="str">
            <v>PCS</v>
          </cell>
          <cell r="F2090">
            <v>26.25</v>
          </cell>
        </row>
        <row r="2091">
          <cell r="C2091">
            <v>4030604880</v>
          </cell>
          <cell r="D2091" t="str">
            <v>CNY</v>
          </cell>
          <cell r="E2091" t="str">
            <v>PCS</v>
          </cell>
          <cell r="F2091">
            <v>10969.245000000001</v>
          </cell>
        </row>
        <row r="2092">
          <cell r="C2092">
            <v>4030605040</v>
          </cell>
          <cell r="D2092" t="str">
            <v>CNY</v>
          </cell>
          <cell r="E2092" t="str">
            <v>PCS</v>
          </cell>
          <cell r="F2092">
            <v>536.55000000000007</v>
          </cell>
        </row>
        <row r="2093">
          <cell r="C2093">
            <v>4030700480</v>
          </cell>
          <cell r="D2093" t="str">
            <v>CNY</v>
          </cell>
          <cell r="E2093" t="str">
            <v>SET</v>
          </cell>
          <cell r="F2093">
            <v>71.126999999999995</v>
          </cell>
        </row>
        <row r="2094">
          <cell r="C2094">
            <v>4031000510</v>
          </cell>
          <cell r="D2094" t="str">
            <v>CNY</v>
          </cell>
          <cell r="E2094" t="str">
            <v>PCS</v>
          </cell>
          <cell r="F2094">
            <v>241.59292500000001</v>
          </cell>
        </row>
        <row r="2095">
          <cell r="C2095">
            <v>4031000520</v>
          </cell>
          <cell r="D2095" t="str">
            <v>CNY</v>
          </cell>
          <cell r="E2095" t="str">
            <v>PCS</v>
          </cell>
          <cell r="F2095">
            <v>223.00884900000003</v>
          </cell>
        </row>
        <row r="2096">
          <cell r="C2096">
            <v>4031000530</v>
          </cell>
          <cell r="D2096" t="str">
            <v>CNY</v>
          </cell>
          <cell r="E2096" t="str">
            <v>PCS</v>
          </cell>
          <cell r="F2096">
            <v>334.51327350000003</v>
          </cell>
        </row>
        <row r="2097">
          <cell r="C2097">
            <v>4031000540</v>
          </cell>
          <cell r="D2097" t="str">
            <v>CNY</v>
          </cell>
          <cell r="E2097" t="str">
            <v>PCS</v>
          </cell>
          <cell r="F2097">
            <v>334.51327350000003</v>
          </cell>
        </row>
        <row r="2098">
          <cell r="C2098">
            <v>4031000550</v>
          </cell>
          <cell r="D2098" t="str">
            <v>CNY</v>
          </cell>
          <cell r="E2098" t="str">
            <v>PCS</v>
          </cell>
          <cell r="F2098">
            <v>418.14159450000005</v>
          </cell>
        </row>
        <row r="2099">
          <cell r="C2099">
            <v>4031000560</v>
          </cell>
          <cell r="D2099" t="str">
            <v>CNY</v>
          </cell>
          <cell r="E2099" t="str">
            <v>PCS</v>
          </cell>
          <cell r="F2099">
            <v>334.51327350000003</v>
          </cell>
        </row>
        <row r="2100">
          <cell r="C2100">
            <v>4031000570</v>
          </cell>
          <cell r="D2100" t="str">
            <v>CNY</v>
          </cell>
          <cell r="E2100" t="str">
            <v>PCS</v>
          </cell>
          <cell r="F2100">
            <v>390.265491</v>
          </cell>
        </row>
        <row r="2101">
          <cell r="C2101">
            <v>4031000580</v>
          </cell>
          <cell r="D2101" t="str">
            <v>CNY</v>
          </cell>
          <cell r="E2101" t="str">
            <v>PCS</v>
          </cell>
          <cell r="F2101">
            <v>353.09734950000001</v>
          </cell>
        </row>
        <row r="2102">
          <cell r="C2102">
            <v>4031000590</v>
          </cell>
          <cell r="D2102" t="str">
            <v>CNY</v>
          </cell>
          <cell r="E2102" t="str">
            <v>PCS</v>
          </cell>
          <cell r="F2102">
            <v>278.76106649999997</v>
          </cell>
        </row>
        <row r="2103">
          <cell r="C2103">
            <v>4031000600</v>
          </cell>
          <cell r="D2103" t="str">
            <v>CNY</v>
          </cell>
          <cell r="E2103" t="str">
            <v>PCS</v>
          </cell>
          <cell r="F2103">
            <v>278.76106649999997</v>
          </cell>
        </row>
        <row r="2104">
          <cell r="C2104">
            <v>4031000610</v>
          </cell>
          <cell r="D2104" t="str">
            <v>CNY</v>
          </cell>
          <cell r="E2104" t="str">
            <v>PCS</v>
          </cell>
          <cell r="F2104">
            <v>51.106198500000005</v>
          </cell>
        </row>
        <row r="2105">
          <cell r="C2105">
            <v>4031000620</v>
          </cell>
          <cell r="D2105" t="str">
            <v>CNY</v>
          </cell>
          <cell r="E2105" t="str">
            <v>PCS</v>
          </cell>
          <cell r="F2105">
            <v>51.106198500000005</v>
          </cell>
        </row>
        <row r="2106">
          <cell r="C2106">
            <v>4031000630</v>
          </cell>
          <cell r="D2106" t="str">
            <v>CNY</v>
          </cell>
          <cell r="E2106" t="str">
            <v>PCS</v>
          </cell>
          <cell r="F2106">
            <v>418.14159450000005</v>
          </cell>
        </row>
        <row r="2107">
          <cell r="C2107">
            <v>4031000640</v>
          </cell>
          <cell r="D2107" t="str">
            <v>CNY</v>
          </cell>
          <cell r="E2107" t="str">
            <v>PCS</v>
          </cell>
          <cell r="F2107">
            <v>241.59292500000001</v>
          </cell>
        </row>
        <row r="2108">
          <cell r="C2108">
            <v>4031000650</v>
          </cell>
          <cell r="D2108" t="str">
            <v>CNY</v>
          </cell>
          <cell r="E2108" t="str">
            <v>PCS</v>
          </cell>
          <cell r="F2108">
            <v>241.59292500000001</v>
          </cell>
        </row>
        <row r="2109">
          <cell r="C2109">
            <v>4031000660</v>
          </cell>
          <cell r="D2109" t="str">
            <v>CNY</v>
          </cell>
          <cell r="E2109" t="str">
            <v>PCS</v>
          </cell>
          <cell r="F2109">
            <v>241.59292500000001</v>
          </cell>
        </row>
        <row r="2110">
          <cell r="C2110">
            <v>4031000670</v>
          </cell>
          <cell r="D2110" t="str">
            <v>CNY</v>
          </cell>
          <cell r="E2110" t="str">
            <v>PCS</v>
          </cell>
          <cell r="F2110">
            <v>241.59292500000001</v>
          </cell>
        </row>
        <row r="2111">
          <cell r="C2111">
            <v>4031000680</v>
          </cell>
          <cell r="D2111" t="str">
            <v>CNY</v>
          </cell>
          <cell r="E2111" t="str">
            <v>PCS</v>
          </cell>
          <cell r="F2111">
            <v>241.59292500000001</v>
          </cell>
        </row>
        <row r="2112">
          <cell r="C2112">
            <v>4031000690</v>
          </cell>
          <cell r="D2112" t="str">
            <v>CNY</v>
          </cell>
          <cell r="E2112" t="str">
            <v>PCS</v>
          </cell>
          <cell r="F2112">
            <v>418.14159450000005</v>
          </cell>
        </row>
        <row r="2113">
          <cell r="C2113">
            <v>4031000700</v>
          </cell>
          <cell r="D2113" t="str">
            <v>CNY</v>
          </cell>
          <cell r="E2113" t="str">
            <v>PCS</v>
          </cell>
          <cell r="F2113">
            <v>418.14159450000005</v>
          </cell>
        </row>
        <row r="2114">
          <cell r="C2114">
            <v>4032500170</v>
          </cell>
          <cell r="D2114" t="str">
            <v>CNY</v>
          </cell>
          <cell r="E2114" t="str">
            <v>PCS</v>
          </cell>
          <cell r="F2114">
            <v>136.5</v>
          </cell>
        </row>
        <row r="2115">
          <cell r="C2115">
            <v>4032500370</v>
          </cell>
          <cell r="D2115" t="str">
            <v>CNY</v>
          </cell>
          <cell r="E2115" t="str">
            <v>PCS</v>
          </cell>
          <cell r="F2115">
            <v>141.32706000000002</v>
          </cell>
        </row>
        <row r="2116">
          <cell r="C2116">
            <v>4032500380</v>
          </cell>
          <cell r="D2116" t="str">
            <v>CNY</v>
          </cell>
          <cell r="E2116" t="str">
            <v>PCS</v>
          </cell>
          <cell r="F2116">
            <v>161.51373000000001</v>
          </cell>
        </row>
        <row r="2117">
          <cell r="C2117">
            <v>4032500400</v>
          </cell>
          <cell r="D2117" t="str">
            <v>CNY</v>
          </cell>
          <cell r="E2117" t="str">
            <v>PCS</v>
          </cell>
          <cell r="F2117">
            <v>201.89725500000003</v>
          </cell>
        </row>
        <row r="2118">
          <cell r="C2118">
            <v>4032500430</v>
          </cell>
          <cell r="D2118" t="str">
            <v>CNY</v>
          </cell>
          <cell r="E2118" t="str">
            <v>PCS</v>
          </cell>
          <cell r="F2118">
            <v>146.37882000000002</v>
          </cell>
        </row>
        <row r="2119">
          <cell r="C2119">
            <v>4032500440</v>
          </cell>
          <cell r="D2119" t="str">
            <v>CNY</v>
          </cell>
          <cell r="E2119" t="str">
            <v>PCS</v>
          </cell>
          <cell r="F2119">
            <v>167.288625</v>
          </cell>
        </row>
        <row r="2120">
          <cell r="C2120">
            <v>4032500460</v>
          </cell>
          <cell r="D2120" t="str">
            <v>CNY</v>
          </cell>
          <cell r="E2120" t="str">
            <v>PCS</v>
          </cell>
          <cell r="F2120">
            <v>204.75</v>
          </cell>
        </row>
        <row r="2121">
          <cell r="C2121">
            <v>4032500550</v>
          </cell>
          <cell r="D2121" t="str">
            <v>CNY</v>
          </cell>
          <cell r="E2121" t="str">
            <v>PCS</v>
          </cell>
          <cell r="F2121">
            <v>71.295000000000016</v>
          </cell>
        </row>
        <row r="2122">
          <cell r="C2122">
            <v>4032500630</v>
          </cell>
          <cell r="D2122" t="str">
            <v>CNY</v>
          </cell>
          <cell r="E2122" t="str">
            <v>PCS</v>
          </cell>
          <cell r="F2122">
            <v>1239</v>
          </cell>
        </row>
        <row r="2123">
          <cell r="C2123">
            <v>4032500650</v>
          </cell>
          <cell r="D2123" t="str">
            <v>CNY</v>
          </cell>
          <cell r="E2123" t="str">
            <v>PCS</v>
          </cell>
          <cell r="F2123">
            <v>1346.2605494100001</v>
          </cell>
        </row>
        <row r="2124">
          <cell r="C2124">
            <v>4032500690</v>
          </cell>
          <cell r="D2124" t="str">
            <v>CNY</v>
          </cell>
          <cell r="E2124" t="str">
            <v>PCS</v>
          </cell>
          <cell r="F2124">
            <v>920.91913199999999</v>
          </cell>
        </row>
        <row r="2125">
          <cell r="C2125">
            <v>4032500740</v>
          </cell>
          <cell r="D2125" t="str">
            <v>CNY</v>
          </cell>
          <cell r="E2125" t="str">
            <v>PCS</v>
          </cell>
          <cell r="F2125">
            <v>3937.5</v>
          </cell>
        </row>
        <row r="2126">
          <cell r="C2126">
            <v>4032500760</v>
          </cell>
          <cell r="D2126" t="str">
            <v>CNY</v>
          </cell>
          <cell r="E2126" t="str">
            <v>PCS</v>
          </cell>
          <cell r="F2126">
            <v>2721.3030643680004</v>
          </cell>
        </row>
        <row r="2127">
          <cell r="C2127">
            <v>4032501060</v>
          </cell>
          <cell r="D2127" t="str">
            <v>CNY</v>
          </cell>
          <cell r="E2127" t="str">
            <v>PCS</v>
          </cell>
          <cell r="F2127">
            <v>766.5</v>
          </cell>
        </row>
        <row r="2128">
          <cell r="C2128">
            <v>4032501600</v>
          </cell>
          <cell r="D2128" t="str">
            <v>CNY</v>
          </cell>
          <cell r="E2128" t="str">
            <v>PCS</v>
          </cell>
          <cell r="F2128">
            <v>748.125</v>
          </cell>
        </row>
        <row r="2129">
          <cell r="C2129">
            <v>4032501710</v>
          </cell>
          <cell r="D2129" t="str">
            <v>CNY</v>
          </cell>
          <cell r="E2129" t="str">
            <v>PCS</v>
          </cell>
          <cell r="F2129">
            <v>1313.0250000000001</v>
          </cell>
        </row>
        <row r="2130">
          <cell r="C2130">
            <v>4032501730</v>
          </cell>
          <cell r="D2130" t="str">
            <v>CNY</v>
          </cell>
          <cell r="E2130" t="str">
            <v>PCS</v>
          </cell>
          <cell r="F2130">
            <v>2230.2000000000003</v>
          </cell>
        </row>
        <row r="2131">
          <cell r="C2131">
            <v>4032502080</v>
          </cell>
          <cell r="D2131" t="str">
            <v>CNY</v>
          </cell>
          <cell r="E2131" t="str">
            <v>SET</v>
          </cell>
          <cell r="F2131">
            <v>1554</v>
          </cell>
        </row>
        <row r="2132">
          <cell r="C2132">
            <v>4039896130</v>
          </cell>
          <cell r="D2132" t="str">
            <v>CNY</v>
          </cell>
          <cell r="E2132" t="str">
            <v>M</v>
          </cell>
          <cell r="F2132">
            <v>1.1151000000000002</v>
          </cell>
        </row>
        <row r="2133">
          <cell r="C2133">
            <v>4040100020</v>
          </cell>
          <cell r="D2133" t="str">
            <v>CNY</v>
          </cell>
          <cell r="E2133" t="str">
            <v>G</v>
          </cell>
          <cell r="F2133">
            <v>0.23408700000000002</v>
          </cell>
        </row>
        <row r="2134">
          <cell r="C2134">
            <v>4040100030</v>
          </cell>
          <cell r="D2134" t="str">
            <v>CNY</v>
          </cell>
          <cell r="E2134" t="str">
            <v>G</v>
          </cell>
          <cell r="F2134">
            <v>0.24145800000000001</v>
          </cell>
        </row>
        <row r="2135">
          <cell r="C2135">
            <v>4040100060</v>
          </cell>
          <cell r="D2135" t="str">
            <v>CNY</v>
          </cell>
          <cell r="E2135" t="str">
            <v>G</v>
          </cell>
          <cell r="F2135">
            <v>0.87261172444697932</v>
          </cell>
        </row>
        <row r="2136">
          <cell r="C2136">
            <v>4040100710</v>
          </cell>
          <cell r="D2136" t="str">
            <v>CNY</v>
          </cell>
          <cell r="E2136" t="str">
            <v>PCS</v>
          </cell>
          <cell r="F2136">
            <v>0.14490000000000003</v>
          </cell>
        </row>
        <row r="2137">
          <cell r="C2137">
            <v>4040200800</v>
          </cell>
          <cell r="D2137" t="str">
            <v>CNY</v>
          </cell>
          <cell r="E2137" t="str">
            <v>PCS</v>
          </cell>
          <cell r="F2137">
            <v>10.227</v>
          </cell>
        </row>
        <row r="2138">
          <cell r="C2138">
            <v>4040201200</v>
          </cell>
          <cell r="D2138" t="str">
            <v>CNY</v>
          </cell>
          <cell r="E2138" t="str">
            <v>M</v>
          </cell>
          <cell r="F2138">
            <v>0.36749999999999999</v>
          </cell>
        </row>
        <row r="2139">
          <cell r="C2139">
            <v>4040201430</v>
          </cell>
          <cell r="D2139" t="str">
            <v>CNY</v>
          </cell>
          <cell r="E2139" t="str">
            <v>M</v>
          </cell>
          <cell r="F2139">
            <v>3.024</v>
          </cell>
        </row>
        <row r="2140">
          <cell r="C2140">
            <v>4050300330</v>
          </cell>
          <cell r="D2140" t="str">
            <v>CNY</v>
          </cell>
          <cell r="E2140" t="str">
            <v>G</v>
          </cell>
          <cell r="F2140">
            <v>7.350000000000001E-2</v>
          </cell>
        </row>
        <row r="2141">
          <cell r="C2141">
            <v>4070400670</v>
          </cell>
          <cell r="D2141" t="str">
            <v>CNY</v>
          </cell>
          <cell r="E2141" t="str">
            <v>PCS</v>
          </cell>
          <cell r="F2141">
            <v>18.522000000000002</v>
          </cell>
        </row>
        <row r="2142">
          <cell r="C2142">
            <v>4070400750</v>
          </cell>
          <cell r="D2142" t="str">
            <v>CNY</v>
          </cell>
          <cell r="E2142" t="str">
            <v>PCS</v>
          </cell>
          <cell r="F2142">
            <v>42.178500000000007</v>
          </cell>
        </row>
        <row r="2143">
          <cell r="C2143">
            <v>4070402970</v>
          </cell>
          <cell r="D2143" t="str">
            <v>CNY</v>
          </cell>
          <cell r="E2143" t="str">
            <v>PCS</v>
          </cell>
          <cell r="F2143">
            <v>0.27300000000000002</v>
          </cell>
        </row>
        <row r="2144">
          <cell r="C2144">
            <v>4070403150</v>
          </cell>
          <cell r="D2144" t="str">
            <v>CNY</v>
          </cell>
          <cell r="E2144" t="str">
            <v>M</v>
          </cell>
          <cell r="F2144">
            <v>2.7825000000000002</v>
          </cell>
        </row>
        <row r="2145">
          <cell r="C2145">
            <v>4070404050</v>
          </cell>
          <cell r="D2145" t="str">
            <v>CNY</v>
          </cell>
          <cell r="E2145" t="str">
            <v>PCS</v>
          </cell>
          <cell r="F2145">
            <v>356.25450000000006</v>
          </cell>
        </row>
        <row r="2146">
          <cell r="C2146">
            <v>4070410320</v>
          </cell>
          <cell r="D2146" t="str">
            <v>CNY</v>
          </cell>
          <cell r="E2146" t="str">
            <v>PCS</v>
          </cell>
          <cell r="F2146">
            <v>113.4</v>
          </cell>
        </row>
        <row r="2147">
          <cell r="C2147">
            <v>5040600730</v>
          </cell>
          <cell r="D2147" t="str">
            <v>CNY</v>
          </cell>
          <cell r="E2147" t="str">
            <v>SET</v>
          </cell>
          <cell r="F2147">
            <v>1.7245935000000001</v>
          </cell>
        </row>
        <row r="2148">
          <cell r="C2148">
            <v>5050600380</v>
          </cell>
          <cell r="D2148" t="str">
            <v>CNY</v>
          </cell>
          <cell r="E2148" t="str">
            <v>SET</v>
          </cell>
          <cell r="F2148">
            <v>8.1298139999999997</v>
          </cell>
        </row>
        <row r="2149">
          <cell r="C2149">
            <v>5070100130</v>
          </cell>
          <cell r="D2149" t="str">
            <v>CNY</v>
          </cell>
          <cell r="E2149" t="str">
            <v>SET</v>
          </cell>
          <cell r="F2149">
            <v>8.2825365000000009</v>
          </cell>
        </row>
        <row r="2150">
          <cell r="C2150">
            <v>5070600050</v>
          </cell>
          <cell r="D2150" t="str">
            <v>CNY</v>
          </cell>
          <cell r="E2150" t="str">
            <v>SET</v>
          </cell>
          <cell r="F2150">
            <v>5.2187204999999999</v>
          </cell>
        </row>
        <row r="2151">
          <cell r="C2151">
            <v>5090500520</v>
          </cell>
          <cell r="D2151" t="str">
            <v>CNY</v>
          </cell>
          <cell r="E2151" t="str">
            <v>SET</v>
          </cell>
          <cell r="F2151">
            <v>1.0489710000000001</v>
          </cell>
        </row>
        <row r="2152">
          <cell r="C2152">
            <v>511120115001</v>
          </cell>
          <cell r="D2152" t="str">
            <v>CNY</v>
          </cell>
          <cell r="E2152" t="str">
            <v>SET</v>
          </cell>
          <cell r="F2152">
            <v>357</v>
          </cell>
        </row>
        <row r="2153">
          <cell r="C2153">
            <v>8990012250</v>
          </cell>
          <cell r="D2153" t="str">
            <v>CNY</v>
          </cell>
          <cell r="E2153"/>
          <cell r="F2153">
            <v>38.799999999999997</v>
          </cell>
        </row>
        <row r="2154">
          <cell r="C2154">
            <v>8990031160</v>
          </cell>
          <cell r="D2154" t="str">
            <v>CNY</v>
          </cell>
          <cell r="E2154"/>
          <cell r="F2154">
            <v>14800</v>
          </cell>
        </row>
        <row r="2155">
          <cell r="C2155">
            <v>8990031130</v>
          </cell>
          <cell r="D2155" t="str">
            <v>CNY</v>
          </cell>
          <cell r="E2155"/>
          <cell r="F2155">
            <v>240.5</v>
          </cell>
        </row>
        <row r="2156">
          <cell r="C2156">
            <v>3011901370</v>
          </cell>
          <cell r="D2156" t="str">
            <v>CNY</v>
          </cell>
          <cell r="E2156"/>
          <cell r="F2156">
            <v>8.6999999999999993</v>
          </cell>
        </row>
        <row r="2157">
          <cell r="C2157">
            <v>3011901380</v>
          </cell>
          <cell r="D2157" t="str">
            <v>CNY</v>
          </cell>
          <cell r="E2157"/>
          <cell r="F2157">
            <v>8.6999999999999993</v>
          </cell>
        </row>
        <row r="2158">
          <cell r="C2158">
            <v>8990031300</v>
          </cell>
          <cell r="D2158" t="str">
            <v>CNY</v>
          </cell>
          <cell r="E2158"/>
          <cell r="F2158">
            <v>19.5</v>
          </cell>
        </row>
        <row r="2159">
          <cell r="C2159">
            <v>8990031310</v>
          </cell>
          <cell r="D2159" t="str">
            <v>CNY</v>
          </cell>
          <cell r="E2159"/>
          <cell r="F2159">
            <v>2.1</v>
          </cell>
        </row>
        <row r="2160">
          <cell r="C2160">
            <v>8990031320</v>
          </cell>
          <cell r="D2160" t="str">
            <v>CNY</v>
          </cell>
          <cell r="E2160"/>
          <cell r="F2160">
            <v>13</v>
          </cell>
        </row>
        <row r="2161">
          <cell r="C2161">
            <v>5041201000</v>
          </cell>
          <cell r="D2161" t="str">
            <v>CNY</v>
          </cell>
          <cell r="E2161"/>
          <cell r="F2161">
            <v>0.28000000000000003</v>
          </cell>
        </row>
        <row r="2162">
          <cell r="C2162">
            <v>5041600270</v>
          </cell>
          <cell r="D2162" t="str">
            <v>CNY</v>
          </cell>
          <cell r="E2162"/>
          <cell r="F2162">
            <v>43.47</v>
          </cell>
        </row>
        <row r="2163">
          <cell r="C2163">
            <v>5051400610</v>
          </cell>
          <cell r="D2163" t="str">
            <v>CNY</v>
          </cell>
          <cell r="E2163"/>
          <cell r="F2163">
            <v>6.58</v>
          </cell>
        </row>
        <row r="2164">
          <cell r="C2164">
            <v>5051400600</v>
          </cell>
          <cell r="D2164" t="str">
            <v>CNY</v>
          </cell>
          <cell r="E2164"/>
          <cell r="F2164">
            <v>6.77</v>
          </cell>
        </row>
        <row r="2165">
          <cell r="C2165">
            <v>5051600600</v>
          </cell>
          <cell r="D2165" t="str">
            <v>CNY</v>
          </cell>
          <cell r="E2165"/>
          <cell r="F2165">
            <v>83.79</v>
          </cell>
        </row>
        <row r="2166">
          <cell r="C2166">
            <v>5051600350</v>
          </cell>
          <cell r="D2166" t="str">
            <v>CNY</v>
          </cell>
          <cell r="E2166"/>
          <cell r="F2166">
            <v>69.3</v>
          </cell>
        </row>
        <row r="2167">
          <cell r="C2167" t="str">
            <v>HXB8031ZR21001</v>
          </cell>
          <cell r="D2167" t="str">
            <v>CNY</v>
          </cell>
          <cell r="E2167"/>
          <cell r="F2167">
            <v>18.57</v>
          </cell>
        </row>
        <row r="2168">
          <cell r="C2168">
            <v>5051400660</v>
          </cell>
          <cell r="D2168" t="str">
            <v>CNY</v>
          </cell>
          <cell r="E2168"/>
          <cell r="F2168">
            <v>8.2100000000000009</v>
          </cell>
        </row>
        <row r="2169">
          <cell r="C2169">
            <v>5051400680</v>
          </cell>
          <cell r="D2169" t="str">
            <v>CNY</v>
          </cell>
          <cell r="E2169"/>
          <cell r="F2169">
            <v>8.11</v>
          </cell>
        </row>
        <row r="2170">
          <cell r="C2170">
            <v>5051400670</v>
          </cell>
          <cell r="D2170" t="str">
            <v>CNY</v>
          </cell>
          <cell r="E2170"/>
          <cell r="F2170">
            <v>7.78</v>
          </cell>
        </row>
        <row r="2171">
          <cell r="C2171" t="str">
            <v>HXCUJR13000</v>
          </cell>
          <cell r="D2171" t="str">
            <v>CNY</v>
          </cell>
          <cell r="E2171"/>
          <cell r="F2171">
            <v>36.75</v>
          </cell>
        </row>
        <row r="2172">
          <cell r="C2172" t="str">
            <v>HXAP1000R31043-ENEL</v>
          </cell>
          <cell r="D2172" t="str">
            <v>CNY</v>
          </cell>
          <cell r="E2172"/>
          <cell r="F2172">
            <v>1579.01</v>
          </cell>
        </row>
        <row r="2173">
          <cell r="C2173" t="str">
            <v>MJN72R12222-CPFL</v>
          </cell>
          <cell r="D2173" t="str">
            <v>CNY</v>
          </cell>
          <cell r="E2173"/>
          <cell r="F2173">
            <v>38.82</v>
          </cell>
        </row>
        <row r="2174">
          <cell r="C2174" t="str">
            <v>MLT72R12023</v>
          </cell>
          <cell r="D2174" t="str">
            <v>CNY</v>
          </cell>
          <cell r="E2174"/>
          <cell r="F2174">
            <v>78.7</v>
          </cell>
        </row>
        <row r="2175">
          <cell r="C2175">
            <v>4020122360</v>
          </cell>
          <cell r="D2175" t="str">
            <v>CNY</v>
          </cell>
          <cell r="E2175"/>
          <cell r="F2175">
            <v>2500</v>
          </cell>
        </row>
        <row r="2176">
          <cell r="C2176">
            <v>3061902620</v>
          </cell>
          <cell r="D2176" t="str">
            <v>CNY</v>
          </cell>
          <cell r="E2176"/>
          <cell r="F2176">
            <v>85.09</v>
          </cell>
        </row>
        <row r="2177">
          <cell r="C2177">
            <v>3061902630</v>
          </cell>
          <cell r="D2177" t="str">
            <v>CNY</v>
          </cell>
          <cell r="E2177"/>
          <cell r="F2177">
            <v>9.17</v>
          </cell>
        </row>
        <row r="2178">
          <cell r="C2178">
            <v>3061902640</v>
          </cell>
          <cell r="D2178" t="str">
            <v>CNY</v>
          </cell>
          <cell r="E2178"/>
          <cell r="F2178">
            <v>115.96</v>
          </cell>
        </row>
        <row r="2179">
          <cell r="C2179">
            <v>3080703160</v>
          </cell>
          <cell r="D2179" t="str">
            <v>CNY</v>
          </cell>
          <cell r="E2179"/>
          <cell r="F2179">
            <v>2.1</v>
          </cell>
        </row>
        <row r="2180">
          <cell r="C2180">
            <v>3090528990</v>
          </cell>
          <cell r="D2180" t="str">
            <v>CNY</v>
          </cell>
          <cell r="E2180" t="str">
            <v>PCS</v>
          </cell>
          <cell r="F2180">
            <v>13.608000000000001</v>
          </cell>
        </row>
        <row r="2181">
          <cell r="C2181">
            <v>3111504340</v>
          </cell>
          <cell r="D2181" t="str">
            <v>CNY</v>
          </cell>
          <cell r="E2181"/>
          <cell r="F2181">
            <v>1.21</v>
          </cell>
        </row>
        <row r="2182">
          <cell r="C2182">
            <v>3111504350</v>
          </cell>
          <cell r="D2182" t="str">
            <v>CNY</v>
          </cell>
          <cell r="E2182"/>
          <cell r="F2182">
            <v>14.39</v>
          </cell>
        </row>
        <row r="2183">
          <cell r="C2183" t="str">
            <v>HXAP1000R31092-CPFL</v>
          </cell>
          <cell r="D2183" t="str">
            <v>CNY</v>
          </cell>
          <cell r="E2183"/>
          <cell r="F2183">
            <v>56.44</v>
          </cell>
        </row>
        <row r="2184">
          <cell r="C2184" t="str">
            <v>HXAP1000R31093-COMM</v>
          </cell>
          <cell r="D2184" t="str">
            <v>CNY</v>
          </cell>
          <cell r="E2184"/>
          <cell r="F2184">
            <v>114.91</v>
          </cell>
        </row>
        <row r="2185">
          <cell r="C2185" t="str">
            <v>HXWSG100R21192-CPFL</v>
          </cell>
          <cell r="D2185" t="str">
            <v>CNY</v>
          </cell>
          <cell r="E2185"/>
          <cell r="F2185">
            <v>59.1</v>
          </cell>
        </row>
        <row r="2186">
          <cell r="C2186">
            <v>7020501660</v>
          </cell>
          <cell r="D2186" t="str">
            <v>CNY</v>
          </cell>
          <cell r="E2186"/>
          <cell r="F2186">
            <v>17000</v>
          </cell>
        </row>
        <row r="2187">
          <cell r="C2187">
            <v>7020400080</v>
          </cell>
          <cell r="D2187" t="str">
            <v>CNY</v>
          </cell>
          <cell r="E2187"/>
          <cell r="F2187">
            <v>3800</v>
          </cell>
        </row>
        <row r="2188">
          <cell r="C2188">
            <v>7020400820</v>
          </cell>
          <cell r="D2188" t="str">
            <v>CNY</v>
          </cell>
          <cell r="E2188"/>
          <cell r="F2188">
            <v>160000</v>
          </cell>
        </row>
        <row r="2189">
          <cell r="C2189">
            <v>7020400090</v>
          </cell>
          <cell r="D2189" t="str">
            <v>CNY</v>
          </cell>
          <cell r="E2189"/>
          <cell r="F2189">
            <v>6000</v>
          </cell>
        </row>
        <row r="2190">
          <cell r="C2190">
            <v>7029901530</v>
          </cell>
          <cell r="D2190" t="str">
            <v>CNY</v>
          </cell>
          <cell r="E2190"/>
          <cell r="F2190">
            <v>14000</v>
          </cell>
        </row>
        <row r="2191">
          <cell r="C2191">
            <v>7020400810</v>
          </cell>
          <cell r="D2191" t="str">
            <v>CNY</v>
          </cell>
          <cell r="E2191"/>
          <cell r="F2191">
            <v>80000</v>
          </cell>
        </row>
        <row r="2192">
          <cell r="C2192">
            <v>4032502230</v>
          </cell>
          <cell r="D2192" t="str">
            <v>CNY</v>
          </cell>
          <cell r="E2192"/>
          <cell r="F2192">
            <v>700</v>
          </cell>
        </row>
        <row r="2193">
          <cell r="C2193">
            <v>4020805360</v>
          </cell>
          <cell r="D2193" t="str">
            <v>CNY</v>
          </cell>
          <cell r="E2193"/>
          <cell r="F2193">
            <v>45</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260"/>
  <sheetViews>
    <sheetView showGridLines="0" tabSelected="1" topLeftCell="M156" zoomScaleNormal="100" zoomScaleSheetLayoutView="80" workbookViewId="0">
      <selection activeCell="U203" sqref="U203"/>
    </sheetView>
  </sheetViews>
  <sheetFormatPr defaultColWidth="9.453125" defaultRowHeight="15.5"/>
  <cols>
    <col min="1" max="1" width="21.453125" style="25" customWidth="1"/>
    <col min="2" max="2" width="26.453125" style="25" bestFit="1" customWidth="1"/>
    <col min="3" max="3" width="28" style="25" customWidth="1"/>
    <col min="4" max="5" width="16.54296875" style="25" customWidth="1"/>
    <col min="6" max="6" width="13.54296875" style="25" customWidth="1"/>
    <col min="7" max="7" width="3.54296875" style="25" customWidth="1"/>
    <col min="8" max="8" width="8.54296875" style="26" customWidth="1"/>
    <col min="9" max="9" width="23.453125" style="26" customWidth="1"/>
    <col min="10" max="11" width="9.453125" style="25" customWidth="1"/>
    <col min="12" max="12" width="3.453125" style="25" customWidth="1"/>
    <col min="13" max="13" width="20.54296875" style="27" customWidth="1"/>
    <col min="14" max="14" width="27.54296875" style="85" bestFit="1" customWidth="1"/>
    <col min="15" max="15" width="20.81640625" style="25" bestFit="1" customWidth="1"/>
    <col min="16" max="16" width="18.453125" style="25" bestFit="1" customWidth="1"/>
    <col min="17" max="17" width="27.54296875" style="25" customWidth="1"/>
    <col min="18" max="18" width="9.453125" style="25"/>
    <col min="19" max="19" width="11.54296875" style="25" bestFit="1" customWidth="1"/>
    <col min="20" max="20" width="12" style="25" bestFit="1" customWidth="1"/>
    <col min="21" max="16384" width="9.453125" style="25"/>
  </cols>
  <sheetData>
    <row r="1" spans="1:19" ht="16" thickBot="1"/>
    <row r="2" spans="1:19">
      <c r="A2" s="28" t="s">
        <v>0</v>
      </c>
      <c r="B2" s="78"/>
      <c r="C2" s="29"/>
      <c r="D2" s="29"/>
      <c r="E2" s="29"/>
      <c r="F2" s="29"/>
      <c r="G2" s="29"/>
      <c r="H2" s="142" t="s">
        <v>6</v>
      </c>
      <c r="I2" s="143"/>
      <c r="J2" s="146">
        <v>46155</v>
      </c>
      <c r="K2" s="146"/>
      <c r="L2" s="147"/>
      <c r="M2" s="30"/>
      <c r="N2" s="86"/>
      <c r="O2" s="31"/>
    </row>
    <row r="3" spans="1:19" ht="18.5">
      <c r="A3" s="21" t="s">
        <v>570</v>
      </c>
      <c r="B3" s="22"/>
      <c r="C3" s="22"/>
      <c r="H3" s="144"/>
      <c r="I3" s="145"/>
      <c r="J3" s="148"/>
      <c r="K3" s="148"/>
      <c r="L3" s="149"/>
      <c r="M3" s="32"/>
      <c r="N3" s="87"/>
      <c r="O3" s="33"/>
    </row>
    <row r="4" spans="1:19" ht="18.5">
      <c r="A4" s="21" t="s">
        <v>571</v>
      </c>
      <c r="B4" s="22"/>
      <c r="C4" s="22"/>
      <c r="H4" s="144" t="s">
        <v>5</v>
      </c>
      <c r="I4" s="145"/>
      <c r="J4" s="150" t="s">
        <v>565</v>
      </c>
      <c r="K4" s="150"/>
      <c r="L4" s="151"/>
      <c r="M4" s="32"/>
      <c r="N4" s="87"/>
      <c r="O4" s="33"/>
      <c r="Q4" s="25" t="s">
        <v>63</v>
      </c>
    </row>
    <row r="5" spans="1:19" ht="18.5">
      <c r="A5" s="21" t="s">
        <v>572</v>
      </c>
      <c r="B5" s="22"/>
      <c r="C5" s="22"/>
      <c r="H5" s="144"/>
      <c r="I5" s="145"/>
      <c r="J5" s="150"/>
      <c r="K5" s="150"/>
      <c r="L5" s="151"/>
      <c r="M5" s="32"/>
      <c r="N5" s="87"/>
      <c r="O5" s="33"/>
      <c r="Q5" s="35"/>
      <c r="R5" s="36"/>
    </row>
    <row r="6" spans="1:19" ht="18.5">
      <c r="A6" s="21" t="s">
        <v>559</v>
      </c>
      <c r="B6" s="22"/>
      <c r="C6" s="22"/>
      <c r="H6" s="144" t="s">
        <v>53</v>
      </c>
      <c r="I6" s="145"/>
      <c r="J6" s="150" t="s">
        <v>569</v>
      </c>
      <c r="K6" s="150"/>
      <c r="L6" s="151"/>
      <c r="M6" s="32"/>
      <c r="N6" s="87"/>
      <c r="O6" s="33"/>
      <c r="R6" s="32"/>
    </row>
    <row r="7" spans="1:19" ht="18.5">
      <c r="A7" s="21" t="s">
        <v>573</v>
      </c>
      <c r="H7" s="144"/>
      <c r="I7" s="145"/>
      <c r="J7" s="150"/>
      <c r="K7" s="150"/>
      <c r="L7" s="151"/>
      <c r="M7" s="32"/>
      <c r="N7" s="87"/>
      <c r="O7" s="33"/>
    </row>
    <row r="8" spans="1:19">
      <c r="A8" s="37" t="s">
        <v>1</v>
      </c>
      <c r="B8" s="38"/>
      <c r="C8" s="39"/>
      <c r="D8" s="39"/>
      <c r="E8" s="39"/>
      <c r="F8" s="39"/>
      <c r="G8" s="39"/>
      <c r="H8" s="144" t="s">
        <v>4</v>
      </c>
      <c r="I8" s="145"/>
      <c r="J8" s="150" t="s">
        <v>574</v>
      </c>
      <c r="K8" s="150"/>
      <c r="L8" s="151"/>
      <c r="M8" s="32"/>
      <c r="N8" s="87"/>
      <c r="O8" s="33"/>
    </row>
    <row r="9" spans="1:19" ht="18.5">
      <c r="A9" s="21" t="s">
        <v>13</v>
      </c>
      <c r="H9" s="144"/>
      <c r="I9" s="145"/>
      <c r="J9" s="150"/>
      <c r="K9" s="150"/>
      <c r="L9" s="151"/>
      <c r="M9" s="32"/>
      <c r="N9" s="87"/>
      <c r="O9" s="33"/>
    </row>
    <row r="10" spans="1:19" ht="18.5">
      <c r="A10" s="21" t="s">
        <v>14</v>
      </c>
      <c r="H10" s="144" t="s">
        <v>8</v>
      </c>
      <c r="I10" s="145"/>
      <c r="J10" s="150" t="s">
        <v>561</v>
      </c>
      <c r="K10" s="150"/>
      <c r="L10" s="151"/>
      <c r="M10" s="32"/>
      <c r="N10" s="87"/>
      <c r="O10" s="33"/>
    </row>
    <row r="11" spans="1:19" ht="18.5">
      <c r="A11" s="21" t="s">
        <v>560</v>
      </c>
      <c r="H11" s="144"/>
      <c r="I11" s="145"/>
      <c r="J11" s="150"/>
      <c r="K11" s="150"/>
      <c r="L11" s="151"/>
      <c r="M11" s="32"/>
      <c r="N11" s="87"/>
      <c r="O11" s="33"/>
    </row>
    <row r="12" spans="1:19" ht="18.5">
      <c r="A12" s="21" t="s">
        <v>498</v>
      </c>
      <c r="F12" s="79"/>
      <c r="H12" s="144" t="s">
        <v>54</v>
      </c>
      <c r="I12" s="145"/>
      <c r="J12" s="154">
        <v>46296</v>
      </c>
      <c r="K12" s="155"/>
      <c r="L12" s="156"/>
      <c r="M12" s="32"/>
      <c r="N12" s="87"/>
      <c r="O12" s="33"/>
    </row>
    <row r="13" spans="1:19" ht="16" thickBot="1">
      <c r="A13" s="40"/>
      <c r="B13" s="41"/>
      <c r="C13" s="41"/>
      <c r="D13" s="41"/>
      <c r="E13" s="41"/>
      <c r="F13" s="41"/>
      <c r="G13" s="41"/>
      <c r="H13" s="152"/>
      <c r="I13" s="153"/>
      <c r="J13" s="157"/>
      <c r="K13" s="158"/>
      <c r="L13" s="159"/>
      <c r="M13" s="42"/>
      <c r="N13" s="88"/>
      <c r="O13" s="43"/>
    </row>
    <row r="14" spans="1:19" ht="16" thickBot="1">
      <c r="H14" s="34"/>
      <c r="I14" s="34"/>
      <c r="J14" s="34"/>
      <c r="K14" s="34"/>
      <c r="L14" s="34"/>
      <c r="M14" s="32"/>
      <c r="N14" s="87"/>
      <c r="O14" s="26"/>
    </row>
    <row r="15" spans="1:19">
      <c r="A15" s="124" t="s">
        <v>578</v>
      </c>
      <c r="B15" s="125"/>
      <c r="C15" s="125"/>
      <c r="D15" s="125"/>
      <c r="E15" s="125"/>
      <c r="F15" s="125"/>
      <c r="G15" s="125"/>
      <c r="H15" s="125"/>
      <c r="I15" s="125"/>
      <c r="J15" s="125"/>
      <c r="K15" s="125"/>
      <c r="L15" s="125"/>
      <c r="M15" s="125"/>
      <c r="N15" s="125"/>
      <c r="O15" s="126"/>
      <c r="P15" s="118" t="s">
        <v>46</v>
      </c>
      <c r="Q15" s="119"/>
      <c r="R15" s="119"/>
      <c r="S15" s="120"/>
    </row>
    <row r="16" spans="1:19" ht="16" thickBot="1">
      <c r="A16" s="127"/>
      <c r="B16" s="128"/>
      <c r="C16" s="128"/>
      <c r="D16" s="128"/>
      <c r="E16" s="128"/>
      <c r="F16" s="128"/>
      <c r="G16" s="128"/>
      <c r="H16" s="128"/>
      <c r="I16" s="128"/>
      <c r="J16" s="128"/>
      <c r="K16" s="128"/>
      <c r="L16" s="128"/>
      <c r="M16" s="128"/>
      <c r="N16" s="128"/>
      <c r="O16" s="129"/>
      <c r="P16" s="121"/>
      <c r="Q16" s="122"/>
      <c r="R16" s="122"/>
      <c r="S16" s="123"/>
    </row>
    <row r="18" spans="1:19" s="49" customFormat="1">
      <c r="A18" s="44" t="s">
        <v>9</v>
      </c>
      <c r="B18" s="45" t="s">
        <v>44</v>
      </c>
      <c r="C18" s="46" t="s">
        <v>562</v>
      </c>
      <c r="D18" s="45" t="s">
        <v>45</v>
      </c>
      <c r="E18" s="45" t="s">
        <v>7</v>
      </c>
      <c r="F18" s="130" t="s">
        <v>2</v>
      </c>
      <c r="G18" s="130"/>
      <c r="H18" s="130"/>
      <c r="I18" s="130"/>
      <c r="J18" s="130"/>
      <c r="K18" s="130"/>
      <c r="L18" s="130"/>
      <c r="M18" s="45" t="s">
        <v>3</v>
      </c>
      <c r="N18" s="89" t="s">
        <v>558</v>
      </c>
      <c r="O18" s="47" t="s">
        <v>497</v>
      </c>
      <c r="P18" s="48" t="s">
        <v>47</v>
      </c>
      <c r="Q18" s="48" t="s">
        <v>48</v>
      </c>
      <c r="R18" s="48" t="s">
        <v>49</v>
      </c>
      <c r="S18" s="48" t="s">
        <v>50</v>
      </c>
    </row>
    <row r="19" spans="1:19" s="49" customFormat="1" ht="18" customHeight="1">
      <c r="A19" s="135" t="s">
        <v>577</v>
      </c>
      <c r="B19" s="62">
        <v>1</v>
      </c>
      <c r="C19" s="77">
        <v>2010100040</v>
      </c>
      <c r="D19" s="80">
        <f>VLOOKUP(C19,[1]Database!$B:$E,4,0)</f>
        <v>85332120</v>
      </c>
      <c r="E19" s="62"/>
      <c r="F19" s="74" t="str">
        <f>VLOOKUP(C19,[1]Database!$B:$H,7,0)</f>
        <v>RESISTOR (RESISTeNCIA ELeTRICA FIXA) PRoPRIO PARA MONTAGEM EM SUPERFÍCIE SMD 390K 1por cento 100PPMM POTeNCIA DE 1/4W (R06027) (Ref.2010100040)</v>
      </c>
      <c r="G19" s="75"/>
      <c r="H19" s="75"/>
      <c r="I19" s="75"/>
      <c r="J19" s="75"/>
      <c r="K19" s="75"/>
      <c r="L19" s="76"/>
      <c r="M19" s="83">
        <v>75000</v>
      </c>
      <c r="N19" s="95">
        <f>VLOOKUP(C19,[2]Sheet1!$C:$F,4,0)</f>
        <v>1.0416E-2</v>
      </c>
      <c r="O19" s="63">
        <f>M19*N19</f>
        <v>781.2</v>
      </c>
      <c r="P19" s="64" t="s">
        <v>564</v>
      </c>
      <c r="Q19" s="70" t="s">
        <v>563</v>
      </c>
      <c r="R19" s="64" t="s">
        <v>66</v>
      </c>
      <c r="S19" s="64" t="s">
        <v>65</v>
      </c>
    </row>
    <row r="20" spans="1:19" s="49" customFormat="1" ht="18" customHeight="1">
      <c r="A20" s="136"/>
      <c r="B20" s="62">
        <v>2</v>
      </c>
      <c r="C20" s="77">
        <v>2010100100</v>
      </c>
      <c r="D20" s="80">
        <f>VLOOKUP(C20,[1]Database!$B:$E,4,0)</f>
        <v>85332120</v>
      </c>
      <c r="E20" s="62"/>
      <c r="F20" s="74" t="str">
        <f>VLOOKUP(C20,[1]Database!$B:$H,7,0)</f>
        <v>RESISTOR (RESISTeNCIA ELeTRICA FIXA) PRoPRIO PARA MONTAGEM EM SUPERFÍCIE SMD 200K 1％ 100PPM POTeNCIA DE 1/4W (REF. R06008 - Ref. 2010100100)</v>
      </c>
      <c r="G20" s="75"/>
      <c r="H20" s="75"/>
      <c r="I20" s="75"/>
      <c r="J20" s="75"/>
      <c r="K20" s="75"/>
      <c r="L20" s="76"/>
      <c r="M20" s="83">
        <v>1155000</v>
      </c>
      <c r="N20" s="95">
        <f>VLOOKUP(C20,[2]Sheet1!$C:$F,4,0)</f>
        <v>1.0500000000000001E-2</v>
      </c>
      <c r="O20" s="63">
        <f t="shared" ref="O20:O83" si="0">M20*N20</f>
        <v>12127.5</v>
      </c>
      <c r="P20" s="64" t="s">
        <v>564</v>
      </c>
      <c r="Q20" s="70" t="s">
        <v>563</v>
      </c>
      <c r="R20" s="64" t="s">
        <v>66</v>
      </c>
      <c r="S20" s="64" t="s">
        <v>65</v>
      </c>
    </row>
    <row r="21" spans="1:19" s="49" customFormat="1" ht="18" customHeight="1">
      <c r="A21" s="136"/>
      <c r="B21" s="62">
        <v>3</v>
      </c>
      <c r="C21" s="77">
        <v>2010100130</v>
      </c>
      <c r="D21" s="80">
        <f>VLOOKUP(C21,[1]Database!$B:$E,4,0)</f>
        <v>85332120</v>
      </c>
      <c r="E21" s="62"/>
      <c r="F21" s="74" t="str">
        <f>VLOOKUP(C21,[1]Database!$B:$H,7,0)</f>
        <v>RESISTOR (RESISTeNCIA ELeTRICA FIXA) PRoPRIO PARA MONTAGEM EM SUPERFÍCIE SMD 1.5K 1％ 100PPM POTeNCIA DE 1/8 W (REF. R06004 - Ref. 2010100130)</v>
      </c>
      <c r="G21" s="75"/>
      <c r="H21" s="75"/>
      <c r="I21" s="75"/>
      <c r="J21" s="75"/>
      <c r="K21" s="75"/>
      <c r="L21" s="76"/>
      <c r="M21" s="83">
        <v>4050000</v>
      </c>
      <c r="N21" s="95">
        <f>VLOOKUP(C21,[2]Sheet1!$C:$F,4,0)</f>
        <v>1.0500000000000001E-2</v>
      </c>
      <c r="O21" s="63">
        <f t="shared" si="0"/>
        <v>42525</v>
      </c>
      <c r="P21" s="64" t="s">
        <v>564</v>
      </c>
      <c r="Q21" s="70" t="s">
        <v>563</v>
      </c>
      <c r="R21" s="64" t="s">
        <v>66</v>
      </c>
      <c r="S21" s="64" t="s">
        <v>65</v>
      </c>
    </row>
    <row r="22" spans="1:19" s="49" customFormat="1" ht="18" customHeight="1">
      <c r="A22" s="136"/>
      <c r="B22" s="62">
        <v>4</v>
      </c>
      <c r="C22" s="77">
        <v>2010100370</v>
      </c>
      <c r="D22" s="80">
        <f>VLOOKUP(C22,[1]Database!$B:$E,4,0)</f>
        <v>85332120</v>
      </c>
      <c r="E22" s="62"/>
      <c r="F22" s="74" t="str">
        <f>VLOOKUP(C22,[1]Database!$B:$H,7,0)</f>
        <v>RESISTOR (RESISTeNCIA ELeTRICA FIXA) PRoPRIO PARA MONTAGEM EM SUPERFÍCIE SMD 1K 1por cento 100PPM POTeNCIA DE 1/8 W (REF. R04020 - REf. 2010100370)</v>
      </c>
      <c r="G22" s="75"/>
      <c r="H22" s="75"/>
      <c r="I22" s="75"/>
      <c r="J22" s="75"/>
      <c r="K22" s="75"/>
      <c r="L22" s="76"/>
      <c r="M22" s="83">
        <v>30000</v>
      </c>
      <c r="N22" s="95">
        <f>VLOOKUP(C22,[2]Sheet1!$C:$F,4,0)</f>
        <v>5.8905000000000008E-3</v>
      </c>
      <c r="O22" s="63">
        <f t="shared" si="0"/>
        <v>176.71500000000003</v>
      </c>
      <c r="P22" s="64" t="s">
        <v>564</v>
      </c>
      <c r="Q22" s="70" t="s">
        <v>563</v>
      </c>
      <c r="R22" s="64" t="s">
        <v>66</v>
      </c>
      <c r="S22" s="64" t="s">
        <v>65</v>
      </c>
    </row>
    <row r="23" spans="1:19" s="49" customFormat="1" ht="18" customHeight="1">
      <c r="A23" s="136"/>
      <c r="B23" s="62">
        <v>5</v>
      </c>
      <c r="C23" s="77">
        <v>2010100390</v>
      </c>
      <c r="D23" s="80">
        <f>VLOOKUP(C23,[1]Database!$B:$E,4,0)</f>
        <v>85332120</v>
      </c>
      <c r="E23" s="62"/>
      <c r="F23" s="74" t="str">
        <f>VLOOKUP(C23,[1]Database!$B:$H,7,0)</f>
        <v>RESISTOR (RESISTeNCIA ELeTRICA FIXA) PRoPRIO PARA MONTAGEM EM SUPERFÍCIE SMD 100R 1％ 200PPM POTeNCIA DE 1/8 W (REF. R04008 - Ref. 2010100390)</v>
      </c>
      <c r="G23" s="75"/>
      <c r="H23" s="75"/>
      <c r="I23" s="75"/>
      <c r="J23" s="75"/>
      <c r="K23" s="75"/>
      <c r="L23" s="76"/>
      <c r="M23" s="83">
        <v>125000</v>
      </c>
      <c r="N23" s="95">
        <f>VLOOKUP(C23,[2]Sheet1!$C:$F,4,0)</f>
        <v>4.1055000000000006E-3</v>
      </c>
      <c r="O23" s="63">
        <f t="shared" si="0"/>
        <v>513.18750000000011</v>
      </c>
      <c r="P23" s="64" t="s">
        <v>564</v>
      </c>
      <c r="Q23" s="70" t="s">
        <v>563</v>
      </c>
      <c r="R23" s="64" t="s">
        <v>66</v>
      </c>
      <c r="S23" s="64" t="s">
        <v>65</v>
      </c>
    </row>
    <row r="24" spans="1:19" s="49" customFormat="1" ht="18" customHeight="1">
      <c r="A24" s="136"/>
      <c r="B24" s="62">
        <v>6</v>
      </c>
      <c r="C24" s="77">
        <v>2010100460</v>
      </c>
      <c r="D24" s="80">
        <f>VLOOKUP(C24,[1]Database!$B:$E,4,0)</f>
        <v>85332120</v>
      </c>
      <c r="E24" s="62"/>
      <c r="F24" s="74" t="str">
        <f>VLOOKUP(C24,[1]Database!$B:$H,7,0)</f>
        <v>RESISTOR (RESISTeNCIA ELeTRICA FIXA) PRoPRIO PARA MONTAGEM EM SUPERFÍCIE SMD 0R 5por cento 400PPM DE POTeNCIA 1/8W 0805 (ref. 2010100460)</v>
      </c>
      <c r="G24" s="75"/>
      <c r="H24" s="75"/>
      <c r="I24" s="75"/>
      <c r="J24" s="75"/>
      <c r="K24" s="75"/>
      <c r="L24" s="76"/>
      <c r="M24" s="83">
        <v>85000</v>
      </c>
      <c r="N24" s="95">
        <f>VLOOKUP(C24,[2]Sheet1!$C:$F,4,0)</f>
        <v>5.3549999999999995E-3</v>
      </c>
      <c r="O24" s="63">
        <f t="shared" si="0"/>
        <v>455.17499999999995</v>
      </c>
      <c r="P24" s="64" t="s">
        <v>564</v>
      </c>
      <c r="Q24" s="70" t="s">
        <v>563</v>
      </c>
      <c r="R24" s="64" t="s">
        <v>66</v>
      </c>
      <c r="S24" s="64" t="s">
        <v>65</v>
      </c>
    </row>
    <row r="25" spans="1:19" s="49" customFormat="1" ht="18" customHeight="1">
      <c r="A25" s="136"/>
      <c r="B25" s="62">
        <v>7</v>
      </c>
      <c r="C25" s="77">
        <v>2010100570</v>
      </c>
      <c r="D25" s="80">
        <f>VLOOKUP(C25,[1]Database!$B:$E,4,0)</f>
        <v>85332120</v>
      </c>
      <c r="E25" s="62"/>
      <c r="F25" s="74" t="str">
        <f>VLOOKUP(C25,[1]Database!$B:$H,7,0)</f>
        <v>RESISTOR (RESISTeNCIA ELeTRICA FIXA) PRoPRIO PARA MONTAGEM EM SUPERFÍCIE SMD 39K 1por cento 100PPM POTeNCIA DE 1/10W (REF. R02048 - Ref. 2010100570)</v>
      </c>
      <c r="G25" s="75"/>
      <c r="H25" s="75"/>
      <c r="I25" s="75"/>
      <c r="J25" s="75"/>
      <c r="K25" s="75"/>
      <c r="L25" s="76"/>
      <c r="M25" s="83">
        <v>120000</v>
      </c>
      <c r="N25" s="95">
        <f>VLOOKUP(C25,[2]Sheet1!$C:$F,4,0)</f>
        <v>2.2785000000000001E-3</v>
      </c>
      <c r="O25" s="63">
        <f t="shared" si="0"/>
        <v>273.42</v>
      </c>
      <c r="P25" s="64" t="s">
        <v>564</v>
      </c>
      <c r="Q25" s="70" t="s">
        <v>563</v>
      </c>
      <c r="R25" s="64" t="s">
        <v>66</v>
      </c>
      <c r="S25" s="64" t="s">
        <v>65</v>
      </c>
    </row>
    <row r="26" spans="1:19" s="49" customFormat="1" ht="18" customHeight="1">
      <c r="A26" s="136"/>
      <c r="B26" s="62">
        <v>8</v>
      </c>
      <c r="C26" s="77">
        <v>2010100640</v>
      </c>
      <c r="D26" s="80">
        <f>VLOOKUP(C26,[1]Database!$B:$E,4,0)</f>
        <v>85332120</v>
      </c>
      <c r="E26" s="62"/>
      <c r="F26" s="74" t="str">
        <f>VLOOKUP(C26,[1]Database!$B:$H,7,0)</f>
        <v>RESISTOR (RESISTeNCIA ELeTRICA FIXA) PRoPRIO PARA MONTAGEM EM SUPERFÍCIE SMD 2K 1％ 100PPM POTeNCIA DE 1/10 W (REF. R02025 - REf. 2010100640)</v>
      </c>
      <c r="G26" s="75"/>
      <c r="H26" s="75"/>
      <c r="I26" s="75"/>
      <c r="J26" s="75"/>
      <c r="K26" s="75"/>
      <c r="L26" s="76"/>
      <c r="M26" s="83">
        <v>50000</v>
      </c>
      <c r="N26" s="95">
        <f>VLOOKUP(C26,[2]Sheet1!$C:$F,4,0)</f>
        <v>3.2550000000000001E-3</v>
      </c>
      <c r="O26" s="63">
        <f t="shared" si="0"/>
        <v>162.75</v>
      </c>
      <c r="P26" s="64" t="s">
        <v>564</v>
      </c>
      <c r="Q26" s="70" t="s">
        <v>563</v>
      </c>
      <c r="R26" s="64" t="s">
        <v>66</v>
      </c>
      <c r="S26" s="64" t="s">
        <v>65</v>
      </c>
    </row>
    <row r="27" spans="1:19" s="49" customFormat="1" ht="18" customHeight="1">
      <c r="A27" s="136"/>
      <c r="B27" s="62">
        <v>9</v>
      </c>
      <c r="C27" s="77">
        <v>2010100650</v>
      </c>
      <c r="D27" s="80">
        <f>VLOOKUP(C27,[1]Database!$B:$E,4,0)</f>
        <v>85332120</v>
      </c>
      <c r="E27" s="62"/>
      <c r="F27" s="74" t="str">
        <f>VLOOKUP(C27,[1]Database!$B:$H,7,0)</f>
        <v>RESISTOR (RESISTeNCIA ELeTRICA FIXA) PRoPRIO PARA MONTAGEM EM SUPERFÍCIE SMD 51K 1％ 100PPM POTeNCIA DE 1/10 W (REF. R02020 -Ref. 2010100650)</v>
      </c>
      <c r="G27" s="75"/>
      <c r="H27" s="75"/>
      <c r="I27" s="75"/>
      <c r="J27" s="75"/>
      <c r="K27" s="75"/>
      <c r="L27" s="76"/>
      <c r="M27" s="83">
        <v>45000</v>
      </c>
      <c r="N27" s="95">
        <f>VLOOKUP(C27,[2]Sheet1!$C:$F,4,0)</f>
        <v>2.2785000000000001E-3</v>
      </c>
      <c r="O27" s="63">
        <f t="shared" si="0"/>
        <v>102.53250000000001</v>
      </c>
      <c r="P27" s="64" t="s">
        <v>564</v>
      </c>
      <c r="Q27" s="70" t="s">
        <v>563</v>
      </c>
      <c r="R27" s="64" t="s">
        <v>66</v>
      </c>
      <c r="S27" s="64" t="s">
        <v>65</v>
      </c>
    </row>
    <row r="28" spans="1:19" s="49" customFormat="1" ht="18" customHeight="1">
      <c r="A28" s="136"/>
      <c r="B28" s="62">
        <v>10</v>
      </c>
      <c r="C28" s="77">
        <v>2010100730</v>
      </c>
      <c r="D28" s="80">
        <f>VLOOKUP(C28,[1]Database!$B:$E,4,0)</f>
        <v>85332120</v>
      </c>
      <c r="E28" s="62"/>
      <c r="F28" s="74" t="str">
        <f>VLOOKUP(C28,[1]Database!$B:$H,7,0)</f>
        <v>RESISTOR (RESISTeNCIA ELeTRICA FIXA) PRoPRIO PARA MONTAGEM EM SUPERFÍCIE SMD 10K 1por cento 100PPM POTeNCIA DE 1/10W (REF. R02007 - Ref. 2010100730)</v>
      </c>
      <c r="G28" s="75"/>
      <c r="H28" s="75"/>
      <c r="I28" s="75"/>
      <c r="J28" s="75"/>
      <c r="K28" s="75"/>
      <c r="L28" s="76"/>
      <c r="M28" s="83">
        <v>80000</v>
      </c>
      <c r="N28" s="95">
        <f>VLOOKUP(C28,[2]Sheet1!$C:$F,4,0)</f>
        <v>2.2785000000000001E-3</v>
      </c>
      <c r="O28" s="63">
        <f t="shared" si="0"/>
        <v>182.28</v>
      </c>
      <c r="P28" s="64" t="s">
        <v>564</v>
      </c>
      <c r="Q28" s="70" t="s">
        <v>563</v>
      </c>
      <c r="R28" s="64" t="s">
        <v>66</v>
      </c>
      <c r="S28" s="64" t="s">
        <v>65</v>
      </c>
    </row>
    <row r="29" spans="1:19" s="49" customFormat="1" ht="18" customHeight="1">
      <c r="A29" s="136"/>
      <c r="B29" s="62">
        <v>11</v>
      </c>
      <c r="C29" s="77">
        <v>2010100750</v>
      </c>
      <c r="D29" s="80">
        <f>VLOOKUP(C29,[1]Database!$B:$E,4,0)</f>
        <v>85332120</v>
      </c>
      <c r="E29" s="62"/>
      <c r="F29" s="74" t="str">
        <f>VLOOKUP(C29,[1]Database!$B:$H,7,0)</f>
        <v>RESISTOR (RESISTeNCIA ELeTRICA FIXA) PRoPRIO PARA MONTAGEM EM SUPERFÍCIE SMD 1K 1por cento 100PPM POTeNCIA DE 1/10W (REF. R02002 - Ref. 2010100750)</v>
      </c>
      <c r="G29" s="75"/>
      <c r="H29" s="75"/>
      <c r="I29" s="75"/>
      <c r="J29" s="75"/>
      <c r="K29" s="75"/>
      <c r="L29" s="76"/>
      <c r="M29" s="83">
        <v>830000</v>
      </c>
      <c r="N29" s="95">
        <f>VLOOKUP(C29,[2]Sheet1!$C:$F,4,0)</f>
        <v>3.2550000000000001E-3</v>
      </c>
      <c r="O29" s="63">
        <f t="shared" si="0"/>
        <v>2701.65</v>
      </c>
      <c r="P29" s="64" t="s">
        <v>564</v>
      </c>
      <c r="Q29" s="70" t="s">
        <v>563</v>
      </c>
      <c r="R29" s="64" t="s">
        <v>66</v>
      </c>
      <c r="S29" s="64" t="s">
        <v>65</v>
      </c>
    </row>
    <row r="30" spans="1:19" s="49" customFormat="1" ht="18" customHeight="1">
      <c r="A30" s="136"/>
      <c r="B30" s="62">
        <v>12</v>
      </c>
      <c r="C30" s="77">
        <v>2010100780</v>
      </c>
      <c r="D30" s="80">
        <f>VLOOKUP(C30,[1]Database!$B:$E,4,0)</f>
        <v>85332120</v>
      </c>
      <c r="E30" s="62"/>
      <c r="F30" s="74" t="str">
        <f>VLOOKUP(C30,[1]Database!$B:$H,7,0)</f>
        <v>RESISTOR (RESISTeNCIA ELeTRICA FIXA) PRoPRIO PARA MONTAGEM EM SUPERFÍCIE SMD 0R 5por cento 100PPM POTeNCIA DE 1/10W (REF. R01050 - Ref. 2010100780)</v>
      </c>
      <c r="G30" s="75"/>
      <c r="H30" s="75"/>
      <c r="I30" s="75"/>
      <c r="J30" s="75"/>
      <c r="K30" s="75"/>
      <c r="L30" s="76"/>
      <c r="M30" s="83">
        <v>15000</v>
      </c>
      <c r="N30" s="95">
        <f>VLOOKUP(C30,[2]Sheet1!$C:$F,4,0)</f>
        <v>2.8770000000000002E-3</v>
      </c>
      <c r="O30" s="63">
        <f t="shared" si="0"/>
        <v>43.155000000000001</v>
      </c>
      <c r="P30" s="64" t="s">
        <v>564</v>
      </c>
      <c r="Q30" s="70" t="s">
        <v>563</v>
      </c>
      <c r="R30" s="64" t="s">
        <v>66</v>
      </c>
      <c r="S30" s="64" t="s">
        <v>65</v>
      </c>
    </row>
    <row r="31" spans="1:19" s="49" customFormat="1" ht="18" customHeight="1">
      <c r="A31" s="136"/>
      <c r="B31" s="62">
        <v>13</v>
      </c>
      <c r="C31" s="99">
        <v>2010107240</v>
      </c>
      <c r="D31" s="80">
        <f>VLOOKUP(C31,[1]Database!$B:$E,4,0)</f>
        <v>85332120</v>
      </c>
      <c r="E31" s="62"/>
      <c r="F31" s="74" t="str">
        <f>VLOOKUP(C31,[1]Database!$B:$H,7,0)</f>
        <v>RESISTOR (RESISTeNCIA ELeTRICA FIXA) PRoPRIO PARA MONTAGEM EM SUPERFÍCIE SMD  5.1kO 1por cento 100ppm POTeNCIA DE 1/16W 0402 (2010107240) SMD</v>
      </c>
      <c r="G31" s="75"/>
      <c r="H31" s="75"/>
      <c r="I31" s="75"/>
      <c r="J31" s="75"/>
      <c r="K31" s="75"/>
      <c r="L31" s="76"/>
      <c r="M31" s="83">
        <v>2520000</v>
      </c>
      <c r="N31" s="95">
        <f>VLOOKUP(C31,[2]Sheet1!$C:$F,4,0)</f>
        <v>1.7849999999999999E-3</v>
      </c>
      <c r="O31" s="63">
        <f t="shared" si="0"/>
        <v>4498.2</v>
      </c>
      <c r="P31" s="64" t="s">
        <v>564</v>
      </c>
      <c r="Q31" s="70" t="s">
        <v>563</v>
      </c>
      <c r="R31" s="64" t="s">
        <v>66</v>
      </c>
      <c r="S31" s="64" t="s">
        <v>65</v>
      </c>
    </row>
    <row r="32" spans="1:19" s="49" customFormat="1" ht="18" customHeight="1">
      <c r="A32" s="136"/>
      <c r="B32" s="62">
        <v>14</v>
      </c>
      <c r="C32" s="77">
        <v>2010101680</v>
      </c>
      <c r="D32" s="80">
        <f>VLOOKUP(C32,[1]Database!$B:$E,4,0)</f>
        <v>85332120</v>
      </c>
      <c r="E32" s="62"/>
      <c r="F32" s="74" t="str">
        <f>VLOOKUP(C32,[1]Database!$B:$H,7,0)</f>
        <v>RESISTOR (RESISTeNCIA ELeTRICA FIXA) PRoPRIO PARA MONTAGEM EM SUPERFÍCIE SMD 2MO 5por cento 100ppm POTeNCIA DE 1/16W 0402 (2010101680) SMD</v>
      </c>
      <c r="G32" s="75"/>
      <c r="H32" s="75"/>
      <c r="I32" s="75"/>
      <c r="J32" s="75"/>
      <c r="K32" s="75"/>
      <c r="L32" s="76"/>
      <c r="M32" s="83">
        <v>340000</v>
      </c>
      <c r="N32" s="95">
        <f>VLOOKUP(C32,[2]Sheet1!$C:$F,4,0)</f>
        <v>1.5330000000000001E-3</v>
      </c>
      <c r="O32" s="63">
        <f t="shared" si="0"/>
        <v>521.22</v>
      </c>
      <c r="P32" s="64" t="s">
        <v>564</v>
      </c>
      <c r="Q32" s="70" t="s">
        <v>563</v>
      </c>
      <c r="R32" s="64" t="s">
        <v>66</v>
      </c>
      <c r="S32" s="64" t="s">
        <v>65</v>
      </c>
    </row>
    <row r="33" spans="1:19" s="49" customFormat="1" ht="18" customHeight="1">
      <c r="A33" s="136"/>
      <c r="B33" s="62">
        <v>15</v>
      </c>
      <c r="C33" s="77">
        <v>2010101770</v>
      </c>
      <c r="D33" s="80">
        <f>VLOOKUP(C33,[1]Database!$B:$E,4,0)</f>
        <v>85332120</v>
      </c>
      <c r="E33" s="62"/>
      <c r="F33" s="74" t="str">
        <f>VLOOKUP(C33,[1]Database!$B:$H,7,0)</f>
        <v>RESISTOR (RESISTeNCIA ELeTRICA FIXA) PRoPRIO PARA MONTAGEM EM SUPERFÍCIE SMD  2M 1por cento 100ppm POTeNCIA DE 1/16W 0402 (2010101770) (SMD)</v>
      </c>
      <c r="G33" s="75"/>
      <c r="H33" s="75"/>
      <c r="I33" s="75"/>
      <c r="J33" s="75"/>
      <c r="K33" s="75"/>
      <c r="L33" s="76"/>
      <c r="M33" s="83">
        <v>650000</v>
      </c>
      <c r="N33" s="95">
        <f>VLOOKUP(C33,[2]Sheet1!$C:$F,4,0)</f>
        <v>2.0474999999999998E-3</v>
      </c>
      <c r="O33" s="63">
        <f t="shared" si="0"/>
        <v>1330.875</v>
      </c>
      <c r="P33" s="64" t="s">
        <v>564</v>
      </c>
      <c r="Q33" s="70" t="s">
        <v>563</v>
      </c>
      <c r="R33" s="64" t="s">
        <v>66</v>
      </c>
      <c r="S33" s="64" t="s">
        <v>65</v>
      </c>
    </row>
    <row r="34" spans="1:19" s="49" customFormat="1" ht="18" customHeight="1">
      <c r="A34" s="136"/>
      <c r="B34" s="62">
        <v>16</v>
      </c>
      <c r="C34" s="77">
        <v>2010101800</v>
      </c>
      <c r="D34" s="80">
        <f>VLOOKUP(C34,[1]Database!$B:$E,4,0)</f>
        <v>85332120</v>
      </c>
      <c r="E34" s="62"/>
      <c r="F34" s="74" t="str">
        <f>VLOOKUP(C34,[1]Database!$B:$H,7,0)</f>
        <v>RESISTOR (RESISTeNCIA ELeTRICA FIXA)  PRoPRIO PARA MONTAGEM EM SUPERFÍCIE SMD 750R 1por cento 100ppm POTeNCIA DE 1/16W 0402 (2010101800) SMD</v>
      </c>
      <c r="G34" s="75"/>
      <c r="H34" s="75"/>
      <c r="I34" s="75"/>
      <c r="J34" s="75"/>
      <c r="K34" s="75"/>
      <c r="L34" s="76"/>
      <c r="M34" s="83">
        <v>640000</v>
      </c>
      <c r="N34" s="95">
        <f>VLOOKUP(C34,[2]Sheet1!$C:$F,4,0)</f>
        <v>1.7849999999999999E-3</v>
      </c>
      <c r="O34" s="63">
        <f t="shared" si="0"/>
        <v>1142.3999999999999</v>
      </c>
      <c r="P34" s="64" t="s">
        <v>564</v>
      </c>
      <c r="Q34" s="70" t="s">
        <v>563</v>
      </c>
      <c r="R34" s="64" t="s">
        <v>66</v>
      </c>
      <c r="S34" s="64" t="s">
        <v>65</v>
      </c>
    </row>
    <row r="35" spans="1:19" s="49" customFormat="1" ht="18" customHeight="1">
      <c r="A35" s="136"/>
      <c r="B35" s="62">
        <v>17</v>
      </c>
      <c r="C35" s="77">
        <v>2010101950</v>
      </c>
      <c r="D35" s="80">
        <f>VLOOKUP(C35,[1]Database!$B:$E,4,0)</f>
        <v>85332120</v>
      </c>
      <c r="E35" s="62"/>
      <c r="F35" s="74" t="str">
        <f>VLOOKUP(C35,[1]Database!$B:$H,7,0)</f>
        <v>RESISTOR (RESISTeNCIA ELeTRICA FIXA) PRoPRIO PARA MONTAGEM EM SUPERFÍCIE SMD  127k 1por cento 100.0ppm POTeNCIA DE 1/16W 0402 (2010101950) SMD</v>
      </c>
      <c r="G35" s="75"/>
      <c r="H35" s="75"/>
      <c r="I35" s="75"/>
      <c r="J35" s="75"/>
      <c r="K35" s="75"/>
      <c r="L35" s="76"/>
      <c r="M35" s="83">
        <v>40000</v>
      </c>
      <c r="N35" s="95">
        <f>VLOOKUP(C35,[2]Sheet1!$C:$F,4,0)</f>
        <v>1.7849999999999999E-3</v>
      </c>
      <c r="O35" s="63">
        <f t="shared" si="0"/>
        <v>71.399999999999991</v>
      </c>
      <c r="P35" s="64" t="s">
        <v>564</v>
      </c>
      <c r="Q35" s="70" t="s">
        <v>563</v>
      </c>
      <c r="R35" s="64" t="s">
        <v>66</v>
      </c>
      <c r="S35" s="64" t="s">
        <v>65</v>
      </c>
    </row>
    <row r="36" spans="1:19" s="49" customFormat="1" ht="18" customHeight="1">
      <c r="A36" s="136"/>
      <c r="B36" s="62">
        <v>18</v>
      </c>
      <c r="C36" s="99">
        <v>2010105520</v>
      </c>
      <c r="D36" s="80">
        <f>VLOOKUP(C36,[1]Database!$B:$E,4,0)</f>
        <v>85332120</v>
      </c>
      <c r="E36" s="62"/>
      <c r="F36" s="74" t="str">
        <f>VLOOKUP(C36,[1]Database!$B:$H,7,0)</f>
        <v>RESISTOR (RESISTeNCIA ELeTRICA FIXA) PRoPRIO PARA MONTAGEM EM SUPERFÍCIE SMD 1K 1por cento 100PPM 50V DE POTeNCIA 1/16W 0402 (ref.2010105520)</v>
      </c>
      <c r="G36" s="75"/>
      <c r="H36" s="75"/>
      <c r="I36" s="75"/>
      <c r="J36" s="75"/>
      <c r="K36" s="75"/>
      <c r="L36" s="76"/>
      <c r="M36" s="83">
        <v>1370000</v>
      </c>
      <c r="N36" s="95">
        <f>VLOOKUP(C36,[2]Sheet1!$C:$F,4,0)</f>
        <v>1.7849999999999999E-3</v>
      </c>
      <c r="O36" s="63">
        <f t="shared" si="0"/>
        <v>2445.4499999999998</v>
      </c>
      <c r="P36" s="64" t="s">
        <v>564</v>
      </c>
      <c r="Q36" s="70" t="s">
        <v>563</v>
      </c>
      <c r="R36" s="64" t="s">
        <v>66</v>
      </c>
      <c r="S36" s="64" t="s">
        <v>65</v>
      </c>
    </row>
    <row r="37" spans="1:19" s="49" customFormat="1" ht="18" customHeight="1">
      <c r="A37" s="136"/>
      <c r="B37" s="62">
        <v>19</v>
      </c>
      <c r="C37" s="77">
        <v>2010101990</v>
      </c>
      <c r="D37" s="80">
        <f>VLOOKUP(C37,[1]Database!$B:$E,4,0)</f>
        <v>85332120</v>
      </c>
      <c r="E37" s="62"/>
      <c r="F37" s="74" t="str">
        <f>VLOOKUP(C37,[1]Database!$B:$H,7,0)</f>
        <v>RESISTOR (RESISTeNCIA ELeTRICA FIXA) PRoPRIO PARA MONTAGEM EM SUPERFÍCIE SMD 3.3K 1por cento 100PPM DE POTeNCIA 1/16W 0402 (ref.2010101990)</v>
      </c>
      <c r="G37" s="75"/>
      <c r="H37" s="75"/>
      <c r="I37" s="75"/>
      <c r="J37" s="75"/>
      <c r="K37" s="75"/>
      <c r="L37" s="76"/>
      <c r="M37" s="83">
        <v>40000</v>
      </c>
      <c r="N37" s="95">
        <f>VLOOKUP(C37,[2]Sheet1!$C:$F,4,0)</f>
        <v>1.7849999999999999E-3</v>
      </c>
      <c r="O37" s="63">
        <f t="shared" si="0"/>
        <v>71.399999999999991</v>
      </c>
      <c r="P37" s="64" t="s">
        <v>564</v>
      </c>
      <c r="Q37" s="70" t="s">
        <v>563</v>
      </c>
      <c r="R37" s="64" t="s">
        <v>66</v>
      </c>
      <c r="S37" s="64" t="s">
        <v>65</v>
      </c>
    </row>
    <row r="38" spans="1:19" s="49" customFormat="1" ht="18" customHeight="1">
      <c r="A38" s="136"/>
      <c r="B38" s="62">
        <v>20</v>
      </c>
      <c r="C38" s="77">
        <v>2010102000</v>
      </c>
      <c r="D38" s="80">
        <f>VLOOKUP(C38,[1]Database!$B:$E,4,0)</f>
        <v>85332120</v>
      </c>
      <c r="E38" s="62"/>
      <c r="F38" s="74" t="str">
        <f>VLOOKUP(C38,[1]Database!$B:$H,7,0)</f>
        <v>RESISTOR (RESISTeNCIA ELeTRICA FIXA) PRoPRIO PARA MONTAGEM EM SUPERFÍCIE SMD 12K 1por cento 100PPM DE POTeNCIA 1/16W 0402 (ref.2010102000)</v>
      </c>
      <c r="G38" s="75"/>
      <c r="H38" s="75"/>
      <c r="I38" s="75"/>
      <c r="J38" s="75"/>
      <c r="K38" s="75"/>
      <c r="L38" s="76"/>
      <c r="M38" s="83">
        <v>50000</v>
      </c>
      <c r="N38" s="95">
        <f>VLOOKUP(C38,[2]Sheet1!$C:$F,4,0)</f>
        <v>1.7849999999999999E-3</v>
      </c>
      <c r="O38" s="63">
        <f t="shared" si="0"/>
        <v>89.25</v>
      </c>
      <c r="P38" s="64" t="s">
        <v>564</v>
      </c>
      <c r="Q38" s="70" t="s">
        <v>563</v>
      </c>
      <c r="R38" s="64" t="s">
        <v>66</v>
      </c>
      <c r="S38" s="64" t="s">
        <v>65</v>
      </c>
    </row>
    <row r="39" spans="1:19" s="49" customFormat="1" ht="18" customHeight="1">
      <c r="A39" s="136"/>
      <c r="B39" s="62">
        <v>21</v>
      </c>
      <c r="C39" s="77">
        <v>2010102020</v>
      </c>
      <c r="D39" s="80">
        <f>VLOOKUP(C39,[1]Database!$B:$E,4,0)</f>
        <v>85332120</v>
      </c>
      <c r="E39" s="62"/>
      <c r="F39" s="74" t="str">
        <f>VLOOKUP(C39,[1]Database!$B:$H,7,0)</f>
        <v>RESISTOR (RESISTeNCIA ELeTRICA FIXA) PRoPRIO PARA MONTAGEM EM SUPERFÍCIE SMD 100K 1por cento 100ppm DE POTeNCIA 1/16W 0402 (ref.2010102020)</v>
      </c>
      <c r="G39" s="75"/>
      <c r="H39" s="75"/>
      <c r="I39" s="75"/>
      <c r="J39" s="75"/>
      <c r="K39" s="75"/>
      <c r="L39" s="76"/>
      <c r="M39" s="83">
        <v>740000</v>
      </c>
      <c r="N39" s="95">
        <f>VLOOKUP(C39,[2]Sheet1!$C:$F,4,0)</f>
        <v>1.7849999999999999E-3</v>
      </c>
      <c r="O39" s="63">
        <f t="shared" si="0"/>
        <v>1320.8999999999999</v>
      </c>
      <c r="P39" s="64" t="s">
        <v>564</v>
      </c>
      <c r="Q39" s="70" t="s">
        <v>563</v>
      </c>
      <c r="R39" s="64" t="s">
        <v>66</v>
      </c>
      <c r="S39" s="64" t="s">
        <v>65</v>
      </c>
    </row>
    <row r="40" spans="1:19" s="49" customFormat="1" ht="18" customHeight="1">
      <c r="A40" s="136"/>
      <c r="B40" s="62">
        <v>22</v>
      </c>
      <c r="C40" s="77">
        <v>2010102300</v>
      </c>
      <c r="D40" s="80">
        <f>VLOOKUP(C40,[1]Database!$B:$E,4,0)</f>
        <v>85332120</v>
      </c>
      <c r="E40" s="62"/>
      <c r="F40" s="74" t="str">
        <f>VLOOKUP(C40,[1]Database!$B:$H,7,0)</f>
        <v>RESISTOR (RESISTeNCIA ELeTRICA FIXA) PRoPRIO PARA MONTAGEM EM SUPERFÍCIE SMD 820R 1por cento 100.0ppm POTeNCIA DE 1/10W 0603 (2010102300) SMD</v>
      </c>
      <c r="G40" s="75"/>
      <c r="H40" s="75"/>
      <c r="I40" s="75"/>
      <c r="J40" s="75"/>
      <c r="K40" s="75"/>
      <c r="L40" s="76"/>
      <c r="M40" s="83">
        <v>60000</v>
      </c>
      <c r="N40" s="95">
        <f>VLOOKUP(C40,[2]Sheet1!$C:$F,4,0)</f>
        <v>3.2550000000000001E-3</v>
      </c>
      <c r="O40" s="63">
        <f t="shared" si="0"/>
        <v>195.3</v>
      </c>
      <c r="P40" s="64" t="s">
        <v>564</v>
      </c>
      <c r="Q40" s="70" t="s">
        <v>563</v>
      </c>
      <c r="R40" s="64" t="s">
        <v>66</v>
      </c>
      <c r="S40" s="64" t="s">
        <v>65</v>
      </c>
    </row>
    <row r="41" spans="1:19" s="49" customFormat="1" ht="18" customHeight="1">
      <c r="A41" s="136"/>
      <c r="B41" s="62">
        <v>23</v>
      </c>
      <c r="C41" s="77">
        <v>2010102540</v>
      </c>
      <c r="D41" s="80">
        <f>VLOOKUP(C41,[1]Database!$B:$E,4,0)</f>
        <v>85332120</v>
      </c>
      <c r="E41" s="62"/>
      <c r="F41" s="74" t="str">
        <f>VLOOKUP(C41,[1]Database!$B:$H,7,0)</f>
        <v>Resistor proprio para montagem em superfície (SMD),encapsulamento 0603, resistencia de 100 ohms, tolerAncia 1por cento, potencia 0,1 (1/10)W</v>
      </c>
      <c r="G41" s="75"/>
      <c r="H41" s="75"/>
      <c r="I41" s="75"/>
      <c r="J41" s="75"/>
      <c r="K41" s="75"/>
      <c r="L41" s="76"/>
      <c r="M41" s="83">
        <v>55000</v>
      </c>
      <c r="N41" s="95">
        <f>VLOOKUP(C41,[2]Sheet1!$C:$F,4,0)</f>
        <v>2.2785000000000001E-3</v>
      </c>
      <c r="O41" s="63">
        <f t="shared" si="0"/>
        <v>125.31750000000001</v>
      </c>
      <c r="P41" s="64" t="s">
        <v>564</v>
      </c>
      <c r="Q41" s="70" t="s">
        <v>563</v>
      </c>
      <c r="R41" s="64" t="s">
        <v>66</v>
      </c>
      <c r="S41" s="64" t="s">
        <v>65</v>
      </c>
    </row>
    <row r="42" spans="1:19" s="49" customFormat="1" ht="18" customHeight="1">
      <c r="A42" s="136"/>
      <c r="B42" s="62">
        <v>24</v>
      </c>
      <c r="C42" s="77">
        <v>2010102550</v>
      </c>
      <c r="D42" s="80">
        <f>VLOOKUP(C42,[1]Database!$B:$E,4,0)</f>
        <v>85332120</v>
      </c>
      <c r="E42" s="62"/>
      <c r="F42" s="74" t="str">
        <f>VLOOKUP(C42,[1]Database!$B:$H,7,0)</f>
        <v>RESISTOR (RESISTeNCIA ELeTRICA FIXA) PRoPRIO PARA MONTAGEM EM SUPERFÍCIE SMD 360R 1por cento 100.0ppm POTeNCIA DE 1/10W 0603 (2010102550) SMD</v>
      </c>
      <c r="G42" s="75"/>
      <c r="H42" s="75"/>
      <c r="I42" s="75"/>
      <c r="J42" s="75"/>
      <c r="K42" s="75"/>
      <c r="L42" s="76"/>
      <c r="M42" s="83">
        <v>955000</v>
      </c>
      <c r="N42" s="95">
        <f>VLOOKUP(C42,[2]Sheet1!$C:$F,4,0)</f>
        <v>3.2550000000000001E-3</v>
      </c>
      <c r="O42" s="63">
        <f t="shared" si="0"/>
        <v>3108.5250000000001</v>
      </c>
      <c r="P42" s="64" t="s">
        <v>564</v>
      </c>
      <c r="Q42" s="70" t="s">
        <v>563</v>
      </c>
      <c r="R42" s="64" t="s">
        <v>66</v>
      </c>
      <c r="S42" s="64" t="s">
        <v>65</v>
      </c>
    </row>
    <row r="43" spans="1:19" s="49" customFormat="1" ht="18" customHeight="1">
      <c r="A43" s="136"/>
      <c r="B43" s="62">
        <v>25</v>
      </c>
      <c r="C43" s="77">
        <v>2010103280</v>
      </c>
      <c r="D43" s="80">
        <f>VLOOKUP(C43,[1]Database!$B:$E,4,0)</f>
        <v>85332120</v>
      </c>
      <c r="E43" s="62"/>
      <c r="F43" s="74" t="str">
        <f>VLOOKUP(C43,[1]Database!$B:$H,7,0)</f>
        <v>RESISTOR (RESISTeNCIA ELeTRICA FIXA) PRoPRIO PARA MONTAGEM EM SUPERFÍCIE SMD  1.5R 5por cento 200.0ppm POTeNCIA DE 1/8W 0805 (2010103280) SMD</v>
      </c>
      <c r="G43" s="75"/>
      <c r="H43" s="75"/>
      <c r="I43" s="75"/>
      <c r="J43" s="75"/>
      <c r="K43" s="75"/>
      <c r="L43" s="76"/>
      <c r="M43" s="83">
        <v>160000</v>
      </c>
      <c r="N43" s="95">
        <f>VLOOKUP(C43,[2]Sheet1!$C:$F,4,0)</f>
        <v>1.3965000000000002E-2</v>
      </c>
      <c r="O43" s="63">
        <f t="shared" si="0"/>
        <v>2234.4</v>
      </c>
      <c r="P43" s="64" t="s">
        <v>564</v>
      </c>
      <c r="Q43" s="70" t="s">
        <v>563</v>
      </c>
      <c r="R43" s="64" t="s">
        <v>66</v>
      </c>
      <c r="S43" s="64" t="s">
        <v>65</v>
      </c>
    </row>
    <row r="44" spans="1:19" s="49" customFormat="1" ht="18" customHeight="1">
      <c r="A44" s="136"/>
      <c r="B44" s="62">
        <v>26</v>
      </c>
      <c r="C44" s="77">
        <v>2010103960</v>
      </c>
      <c r="D44" s="80">
        <f>VLOOKUP(C44,[1]Database!$B:$E,4,0)</f>
        <v>85332120</v>
      </c>
      <c r="E44" s="62"/>
      <c r="F44" s="74" t="str">
        <f>VLOOKUP(C44,[1]Database!$B:$H,7,0)</f>
        <v>Resistor proprio para montagem em superfície (SMD), encapsulamento 0805, resistencia de 2 ohms, tolerAncia 1por cento, potencia 0,125 (1/8)W</v>
      </c>
      <c r="G44" s="75"/>
      <c r="H44" s="75"/>
      <c r="I44" s="75"/>
      <c r="J44" s="75"/>
      <c r="K44" s="75"/>
      <c r="L44" s="76"/>
      <c r="M44" s="83">
        <v>300000</v>
      </c>
      <c r="N44" s="95">
        <f>VLOOKUP(C44,[2]Sheet1!$C:$F,4,0)</f>
        <v>5.8905000000000008E-3</v>
      </c>
      <c r="O44" s="63">
        <f t="shared" si="0"/>
        <v>1767.1500000000003</v>
      </c>
      <c r="P44" s="64" t="s">
        <v>564</v>
      </c>
      <c r="Q44" s="70" t="s">
        <v>563</v>
      </c>
      <c r="R44" s="64" t="s">
        <v>66</v>
      </c>
      <c r="S44" s="64" t="s">
        <v>65</v>
      </c>
    </row>
    <row r="45" spans="1:19" s="49" customFormat="1" ht="18" customHeight="1">
      <c r="A45" s="136"/>
      <c r="B45" s="62">
        <v>27</v>
      </c>
      <c r="C45" s="77">
        <v>2010103970</v>
      </c>
      <c r="D45" s="80">
        <f>VLOOKUP(C45,[1]Database!$B:$E,4,0)</f>
        <v>85332120</v>
      </c>
      <c r="E45" s="62"/>
      <c r="F45" s="74" t="str">
        <f>VLOOKUP(C45,[1]Database!$B:$H,7,0)</f>
        <v>Resistor proprio para montagem em superfície (SMD), encapsulamento 0805, resistencia de 2M ohms, tolerAncia 1por cento, potencia 0,125 (1/8)W</v>
      </c>
      <c r="G45" s="75"/>
      <c r="H45" s="75"/>
      <c r="I45" s="75"/>
      <c r="J45" s="75"/>
      <c r="K45" s="75"/>
      <c r="L45" s="76"/>
      <c r="M45" s="83">
        <v>20000</v>
      </c>
      <c r="N45" s="95">
        <f>VLOOKUP(C45,[2]Sheet1!$C:$F,4,0)</f>
        <v>7.8960000000000002E-3</v>
      </c>
      <c r="O45" s="63">
        <f t="shared" si="0"/>
        <v>157.92000000000002</v>
      </c>
      <c r="P45" s="64" t="s">
        <v>564</v>
      </c>
      <c r="Q45" s="70" t="s">
        <v>563</v>
      </c>
      <c r="R45" s="64" t="s">
        <v>66</v>
      </c>
      <c r="S45" s="64" t="s">
        <v>65</v>
      </c>
    </row>
    <row r="46" spans="1:19" s="49" customFormat="1" ht="18" customHeight="1">
      <c r="A46" s="136"/>
      <c r="B46" s="62">
        <v>28</v>
      </c>
      <c r="C46" s="77">
        <v>2010104200</v>
      </c>
      <c r="D46" s="80">
        <f>VLOOKUP(C46,[1]Database!$B:$E,4,0)</f>
        <v>85332120</v>
      </c>
      <c r="E46" s="62"/>
      <c r="F46" s="74" t="str">
        <f>VLOOKUP(C46,[1]Database!$B:$H,7,0)</f>
        <v>RESISTOR (RESISTeNCIA ELeTRICA FIXA) PRoPRIO PARA MONTAGEM EM SUPERFÍCIE SMD  3k 1por cento 100.0ppm POTeNCIA DE 1/8W 0805 SMD (2010104200)</v>
      </c>
      <c r="G46" s="75"/>
      <c r="H46" s="75"/>
      <c r="I46" s="75"/>
      <c r="J46" s="75"/>
      <c r="K46" s="75"/>
      <c r="L46" s="76"/>
      <c r="M46" s="83">
        <v>160000</v>
      </c>
      <c r="N46" s="95">
        <f>VLOOKUP(C46,[2]Sheet1!$C:$F,4,0)</f>
        <v>5.8905000000000008E-3</v>
      </c>
      <c r="O46" s="63">
        <f t="shared" si="0"/>
        <v>942.48000000000013</v>
      </c>
      <c r="P46" s="64" t="s">
        <v>564</v>
      </c>
      <c r="Q46" s="70" t="s">
        <v>563</v>
      </c>
      <c r="R46" s="64" t="s">
        <v>66</v>
      </c>
      <c r="S46" s="64" t="s">
        <v>65</v>
      </c>
    </row>
    <row r="47" spans="1:19" s="49" customFormat="1" ht="18" customHeight="1">
      <c r="A47" s="136"/>
      <c r="B47" s="62">
        <v>29</v>
      </c>
      <c r="C47" s="77">
        <v>2010104520</v>
      </c>
      <c r="D47" s="80">
        <f>VLOOKUP(C47,[1]Database!$B:$E,4,0)</f>
        <v>85332120</v>
      </c>
      <c r="E47" s="62"/>
      <c r="F47" s="74" t="str">
        <f>VLOOKUP(C47,[1]Database!$B:$H,7,0)</f>
        <v>RESISTOR (RESISTeNCIA ELeTRICA FIXA) PRoPRIO PARA MONTAGEM EM SUPERFÍCIE SMD 100K  5por cento 100PPM DE POTeNCIA 1/4W 1206 (ref.2010104520)</v>
      </c>
      <c r="G47" s="75"/>
      <c r="H47" s="75"/>
      <c r="I47" s="75"/>
      <c r="J47" s="75"/>
      <c r="K47" s="75"/>
      <c r="L47" s="76"/>
      <c r="M47" s="83">
        <v>315000</v>
      </c>
      <c r="N47" s="95">
        <f>VLOOKUP(C47,[2]Sheet1!$C:$F,4,0)</f>
        <v>9.2400000000000017E-3</v>
      </c>
      <c r="O47" s="63">
        <f t="shared" si="0"/>
        <v>2910.6000000000004</v>
      </c>
      <c r="P47" s="64" t="s">
        <v>564</v>
      </c>
      <c r="Q47" s="70" t="s">
        <v>563</v>
      </c>
      <c r="R47" s="64" t="s">
        <v>66</v>
      </c>
      <c r="S47" s="64" t="s">
        <v>65</v>
      </c>
    </row>
    <row r="48" spans="1:19" s="49" customFormat="1" ht="18" customHeight="1">
      <c r="A48" s="136"/>
      <c r="B48" s="62">
        <v>30</v>
      </c>
      <c r="C48" s="77">
        <v>2010104590</v>
      </c>
      <c r="D48" s="80">
        <f>VLOOKUP(C48,[1]Database!$B:$E,4,0)</f>
        <v>85332120</v>
      </c>
      <c r="E48" s="62"/>
      <c r="F48" s="74" t="str">
        <f>VLOOKUP(C48,[1]Database!$B:$H,7,0)</f>
        <v>RESISTOR (RESISTeNCIA ELeTRICA FIXA) PRoPRIO PARA MONTAGEM EM SUPERFÍCIE SMD 0R 5por cento 300PPM DE POTeNCIA 1/4W 1206 (ref.2010104590)</v>
      </c>
      <c r="G48" s="75"/>
      <c r="H48" s="75"/>
      <c r="I48" s="75"/>
      <c r="J48" s="75"/>
      <c r="K48" s="75"/>
      <c r="L48" s="76"/>
      <c r="M48" s="83">
        <v>110000</v>
      </c>
      <c r="N48" s="95">
        <f>VLOOKUP(C48,[2]Sheet1!$C:$F,4,0)</f>
        <v>9.2400000000000017E-3</v>
      </c>
      <c r="O48" s="63">
        <f t="shared" si="0"/>
        <v>1016.4000000000002</v>
      </c>
      <c r="P48" s="64" t="s">
        <v>564</v>
      </c>
      <c r="Q48" s="70" t="s">
        <v>563</v>
      </c>
      <c r="R48" s="64" t="s">
        <v>66</v>
      </c>
      <c r="S48" s="64" t="s">
        <v>65</v>
      </c>
    </row>
    <row r="49" spans="1:19" s="49" customFormat="1" ht="18" customHeight="1">
      <c r="A49" s="136"/>
      <c r="B49" s="62">
        <v>31</v>
      </c>
      <c r="C49" s="77">
        <v>2010104630</v>
      </c>
      <c r="D49" s="80">
        <f>VLOOKUP(C49,[1]Database!$B:$E,4,0)</f>
        <v>85332120</v>
      </c>
      <c r="E49" s="62"/>
      <c r="F49" s="74" t="str">
        <f>VLOOKUP(C49,[1]Database!$B:$H,7,0)</f>
        <v>RESISTOR (RESISTeNCIA ELeTRICA FIXA) PRoPRIO PARA MONTAGEM EM SUPERFÍCIE SMD 510K 5por cento 100PPM DE POTeNCIA 1/4W 1206 (ref.2010104630)</v>
      </c>
      <c r="G49" s="75"/>
      <c r="H49" s="75"/>
      <c r="I49" s="75"/>
      <c r="J49" s="75"/>
      <c r="K49" s="75"/>
      <c r="L49" s="76"/>
      <c r="M49" s="83">
        <v>145000</v>
      </c>
      <c r="N49" s="95">
        <f>VLOOKUP(C49,[2]Sheet1!$C:$F,4,0)</f>
        <v>9.2400000000000017E-3</v>
      </c>
      <c r="O49" s="63">
        <f t="shared" si="0"/>
        <v>1339.8000000000002</v>
      </c>
      <c r="P49" s="64" t="s">
        <v>564</v>
      </c>
      <c r="Q49" s="70" t="s">
        <v>563</v>
      </c>
      <c r="R49" s="64" t="s">
        <v>66</v>
      </c>
      <c r="S49" s="64" t="s">
        <v>65</v>
      </c>
    </row>
    <row r="50" spans="1:19" s="49" customFormat="1" ht="18" customHeight="1">
      <c r="A50" s="136"/>
      <c r="B50" s="62">
        <v>32</v>
      </c>
      <c r="C50" s="77">
        <v>2010104730</v>
      </c>
      <c r="D50" s="80">
        <f>VLOOKUP(C50,[1]Database!$B:$E,4,0)</f>
        <v>85332120</v>
      </c>
      <c r="E50" s="62"/>
      <c r="F50" s="74" t="str">
        <f>VLOOKUP(C50,[1]Database!$B:$H,7,0)</f>
        <v>RESISTOR (RESISTeNCIA ELeTRICA FIXA) PRoPRIO PARA MONTAGEM EM SUPERFÍCIE SMD  2kO 5por cento 100ppm POTeNCIA DE 1/4W 1206 SMD (2010104730)</v>
      </c>
      <c r="G50" s="75"/>
      <c r="H50" s="75"/>
      <c r="I50" s="75"/>
      <c r="J50" s="75"/>
      <c r="K50" s="75"/>
      <c r="L50" s="76"/>
      <c r="M50" s="83">
        <v>55000</v>
      </c>
      <c r="N50" s="95">
        <f>VLOOKUP(C50,[2]Sheet1!$C:$F,4,0)</f>
        <v>9.2400000000000017E-3</v>
      </c>
      <c r="O50" s="63">
        <f t="shared" si="0"/>
        <v>508.2000000000001</v>
      </c>
      <c r="P50" s="64" t="s">
        <v>564</v>
      </c>
      <c r="Q50" s="70" t="s">
        <v>563</v>
      </c>
      <c r="R50" s="64" t="s">
        <v>66</v>
      </c>
      <c r="S50" s="64" t="s">
        <v>65</v>
      </c>
    </row>
    <row r="51" spans="1:19" s="49" customFormat="1" ht="18" customHeight="1">
      <c r="A51" s="136"/>
      <c r="B51" s="62">
        <v>33</v>
      </c>
      <c r="C51" s="77">
        <v>2010104770</v>
      </c>
      <c r="D51" s="80">
        <f>VLOOKUP(C51,[1]Database!$B:$E,4,0)</f>
        <v>85332120</v>
      </c>
      <c r="E51" s="62"/>
      <c r="F51" s="74" t="str">
        <f>VLOOKUP(C51,[1]Database!$B:$H,7,0)</f>
        <v>RESISTOR (RESISTeNCIA ELeTRICA FIXA) PRoPRIO PARA MONTAGEM EM SUPERFÍCIE SMD  220kO 0por cento 100ppm POTeNCIA DE 1/4W 1206 (2010104770) SMD</v>
      </c>
      <c r="G51" s="75"/>
      <c r="H51" s="75"/>
      <c r="I51" s="75"/>
      <c r="J51" s="75"/>
      <c r="K51" s="75"/>
      <c r="L51" s="76"/>
      <c r="M51" s="83">
        <v>90000</v>
      </c>
      <c r="N51" s="95">
        <f>VLOOKUP(C51,[2]Sheet1!$C:$F,4,0)</f>
        <v>1.0500000000000001E-2</v>
      </c>
      <c r="O51" s="63">
        <f t="shared" si="0"/>
        <v>945.00000000000011</v>
      </c>
      <c r="P51" s="64" t="s">
        <v>564</v>
      </c>
      <c r="Q51" s="70" t="s">
        <v>563</v>
      </c>
      <c r="R51" s="64" t="s">
        <v>66</v>
      </c>
      <c r="S51" s="64" t="s">
        <v>65</v>
      </c>
    </row>
    <row r="52" spans="1:19" s="49" customFormat="1" ht="18" customHeight="1">
      <c r="A52" s="136"/>
      <c r="B52" s="62">
        <v>34</v>
      </c>
      <c r="C52" s="77">
        <v>2010104830</v>
      </c>
      <c r="D52" s="80">
        <f>VLOOKUP(C52,[1]Database!$B:$E,4,0)</f>
        <v>85332120</v>
      </c>
      <c r="E52" s="62"/>
      <c r="F52" s="74" t="str">
        <f>VLOOKUP(C52,[1]Database!$B:$H,7,0)</f>
        <v>RESISTOR (RESISTeNCIA ELeTRICA FIXA) PRoPRIO PARA MONTAGEM EM SUPERFÍCIE SMD 20R 1por cento 100PPM DE POTeNCIA 1/4W 1206 (ref.2010104830)</v>
      </c>
      <c r="G52" s="75"/>
      <c r="H52" s="75"/>
      <c r="I52" s="75"/>
      <c r="J52" s="75"/>
      <c r="K52" s="75"/>
      <c r="L52" s="76"/>
      <c r="M52" s="83">
        <v>75000</v>
      </c>
      <c r="N52" s="95">
        <f>VLOOKUP(C52,[2]Sheet1!$C:$F,4,0)</f>
        <v>1.0500000000000001E-2</v>
      </c>
      <c r="O52" s="63">
        <f t="shared" si="0"/>
        <v>787.5</v>
      </c>
      <c r="P52" s="64" t="s">
        <v>564</v>
      </c>
      <c r="Q52" s="70" t="s">
        <v>563</v>
      </c>
      <c r="R52" s="64" t="s">
        <v>66</v>
      </c>
      <c r="S52" s="64" t="s">
        <v>65</v>
      </c>
    </row>
    <row r="53" spans="1:19" s="49" customFormat="1" ht="18" customHeight="1">
      <c r="A53" s="136"/>
      <c r="B53" s="62">
        <v>35</v>
      </c>
      <c r="C53" s="77">
        <v>2010104910</v>
      </c>
      <c r="D53" s="80">
        <f>VLOOKUP(C53,[1]Database!$B:$E,4,0)</f>
        <v>85332120</v>
      </c>
      <c r="E53" s="62"/>
      <c r="F53" s="74" t="str">
        <f>VLOOKUP(C53,[1]Database!$B:$H,7,0)</f>
        <v>Resistor proprio para montagem em superfície (SMD), encapsulamento 1206, resistencia 51k ohms,  tolerAncia 1por cento,  potencia 0,25 (1/4) W</v>
      </c>
      <c r="G53" s="75"/>
      <c r="H53" s="75"/>
      <c r="I53" s="75"/>
      <c r="J53" s="75"/>
      <c r="K53" s="75"/>
      <c r="L53" s="76"/>
      <c r="M53" s="83">
        <v>480000</v>
      </c>
      <c r="N53" s="95">
        <f>VLOOKUP(C53,[2]Sheet1!$C:$F,4,0)</f>
        <v>1.0500000000000001E-2</v>
      </c>
      <c r="O53" s="63">
        <f t="shared" si="0"/>
        <v>5040</v>
      </c>
      <c r="P53" s="64" t="s">
        <v>564</v>
      </c>
      <c r="Q53" s="70" t="s">
        <v>563</v>
      </c>
      <c r="R53" s="64" t="s">
        <v>66</v>
      </c>
      <c r="S53" s="64" t="s">
        <v>65</v>
      </c>
    </row>
    <row r="54" spans="1:19" s="49" customFormat="1" ht="18" customHeight="1">
      <c r="A54" s="136"/>
      <c r="B54" s="62">
        <v>36</v>
      </c>
      <c r="C54" s="77">
        <v>2010105520</v>
      </c>
      <c r="D54" s="80">
        <f>VLOOKUP(C54,[1]Database!$B:$E,4,0)</f>
        <v>85332120</v>
      </c>
      <c r="E54" s="62"/>
      <c r="F54" s="74" t="str">
        <f>VLOOKUP(C54,[1]Database!$B:$H,7,0)</f>
        <v>RESISTOR (RESISTeNCIA ELeTRICA FIXA) PRoPRIO PARA MONTAGEM EM SUPERFÍCIE SMD 1K 1por cento 100PPM 50V DE POTeNCIA 1/16W 0402 (ref.2010105520)</v>
      </c>
      <c r="G54" s="75"/>
      <c r="H54" s="75"/>
      <c r="I54" s="75"/>
      <c r="J54" s="75"/>
      <c r="K54" s="75"/>
      <c r="L54" s="76"/>
      <c r="M54" s="83">
        <v>90000</v>
      </c>
      <c r="N54" s="95">
        <f>VLOOKUP(C54,[2]Sheet1!$C:$F,4,0)</f>
        <v>1.7849999999999999E-3</v>
      </c>
      <c r="O54" s="63">
        <f t="shared" si="0"/>
        <v>160.65</v>
      </c>
      <c r="P54" s="64" t="s">
        <v>564</v>
      </c>
      <c r="Q54" s="70" t="s">
        <v>563</v>
      </c>
      <c r="R54" s="64" t="s">
        <v>66</v>
      </c>
      <c r="S54" s="64" t="s">
        <v>65</v>
      </c>
    </row>
    <row r="55" spans="1:19" s="49" customFormat="1" ht="18" customHeight="1">
      <c r="A55" s="136"/>
      <c r="B55" s="62">
        <v>37</v>
      </c>
      <c r="C55" s="77">
        <v>2010105560</v>
      </c>
      <c r="D55" s="80">
        <f>VLOOKUP(C55,[1]Database!$B:$E,4,0)</f>
        <v>85332120</v>
      </c>
      <c r="E55" s="62"/>
      <c r="F55" s="74" t="str">
        <f>VLOOKUP(C55,[1]Database!$B:$H,7,0)</f>
        <v>RESISTOR (RESISTeNCIA ELeTRICA FIXA) PRoPRIO PARA MONTAGEM EM SUPERFÍCIE SMD  10R 1por cento 200.0ppm POTeNCIA DE 1/16W 0402 (2010105560) SMD</v>
      </c>
      <c r="G55" s="75"/>
      <c r="H55" s="75"/>
      <c r="I55" s="75"/>
      <c r="J55" s="75"/>
      <c r="K55" s="75"/>
      <c r="L55" s="76"/>
      <c r="M55" s="83">
        <v>180000</v>
      </c>
      <c r="N55" s="95">
        <f>VLOOKUP(C55,[2]Sheet1!$C:$F,4,0)</f>
        <v>2.0369999999999997E-3</v>
      </c>
      <c r="O55" s="63">
        <f t="shared" si="0"/>
        <v>366.65999999999997</v>
      </c>
      <c r="P55" s="64" t="s">
        <v>564</v>
      </c>
      <c r="Q55" s="70" t="s">
        <v>563</v>
      </c>
      <c r="R55" s="64" t="s">
        <v>66</v>
      </c>
      <c r="S55" s="64" t="s">
        <v>65</v>
      </c>
    </row>
    <row r="56" spans="1:19" s="49" customFormat="1" ht="18" customHeight="1">
      <c r="A56" s="136"/>
      <c r="B56" s="62">
        <v>38</v>
      </c>
      <c r="C56" s="77">
        <v>2010105600</v>
      </c>
      <c r="D56" s="80">
        <f>VLOOKUP(C56,[1]Database!$B:$E,4,0)</f>
        <v>85332120</v>
      </c>
      <c r="E56" s="62"/>
      <c r="F56" s="74" t="str">
        <f>VLOOKUP(C56,[1]Database!$B:$H,7,0)</f>
        <v>RESISTOR (RESISTeNCIA ELeTRICA FIXA) PRoPRIO PARA MONTAGEM EM SUPERFÍCIE SMD  510O 5por cento 100ppm POTeNCIA DE 1/16W 0402 (2010105600 ) SMD</v>
      </c>
      <c r="G56" s="75"/>
      <c r="H56" s="75"/>
      <c r="I56" s="75"/>
      <c r="J56" s="75"/>
      <c r="K56" s="75"/>
      <c r="L56" s="76"/>
      <c r="M56" s="83">
        <v>820000</v>
      </c>
      <c r="N56" s="95">
        <f>VLOOKUP(C56,[2]Sheet1!$C:$F,4,0)</f>
        <v>1.5330000000000001E-3</v>
      </c>
      <c r="O56" s="63">
        <f t="shared" si="0"/>
        <v>1257.0600000000002</v>
      </c>
      <c r="P56" s="64" t="s">
        <v>564</v>
      </c>
      <c r="Q56" s="70" t="s">
        <v>563</v>
      </c>
      <c r="R56" s="64" t="s">
        <v>66</v>
      </c>
      <c r="S56" s="64" t="s">
        <v>65</v>
      </c>
    </row>
    <row r="57" spans="1:19" s="49" customFormat="1" ht="18" customHeight="1">
      <c r="A57" s="136"/>
      <c r="B57" s="62">
        <v>39</v>
      </c>
      <c r="C57" s="77">
        <v>2010105610</v>
      </c>
      <c r="D57" s="80">
        <f>VLOOKUP(C57,[1]Database!$B:$E,4,0)</f>
        <v>85332120</v>
      </c>
      <c r="E57" s="62"/>
      <c r="F57" s="74" t="str">
        <f>VLOOKUP(C57,[1]Database!$B:$H,7,0)</f>
        <v>RESISTOR (RESISTeNCIA ELeTRICA FIXA) PRoPRIO PARA MONTAGEM EM SUPERFÍCIE SMD 100R 5por cento 100PPM DE POTeNCIA 1/16W 0402 (ref.2010105610)</v>
      </c>
      <c r="G57" s="75"/>
      <c r="H57" s="75"/>
      <c r="I57" s="75"/>
      <c r="J57" s="75"/>
      <c r="K57" s="75"/>
      <c r="L57" s="76"/>
      <c r="M57" s="83">
        <v>940000</v>
      </c>
      <c r="N57" s="95">
        <f>VLOOKUP(C57,[2]Sheet1!$C:$F,4,0)</f>
        <v>1.5330000000000001E-3</v>
      </c>
      <c r="O57" s="63">
        <f t="shared" si="0"/>
        <v>1441.02</v>
      </c>
      <c r="P57" s="64" t="s">
        <v>564</v>
      </c>
      <c r="Q57" s="70" t="s">
        <v>563</v>
      </c>
      <c r="R57" s="64" t="s">
        <v>66</v>
      </c>
      <c r="S57" s="64" t="s">
        <v>65</v>
      </c>
    </row>
    <row r="58" spans="1:19" s="49" customFormat="1" ht="18" customHeight="1">
      <c r="A58" s="136"/>
      <c r="B58" s="62">
        <v>40</v>
      </c>
      <c r="C58" s="77">
        <v>2010107120</v>
      </c>
      <c r="D58" s="80">
        <f>VLOOKUP(C58,[1]Database!$B:$E,4,0)</f>
        <v>85332120</v>
      </c>
      <c r="E58" s="62"/>
      <c r="F58" s="74" t="str">
        <f>VLOOKUP(C58,[1]Database!$B:$H,7,0)</f>
        <v>RESISTOR (RESISTENCIA ELETRICA FIXA) PROPRIO PARA MONTAGEM EM SUPERFÍCIE SMD 10KO 1POR CENTO 100PPM POTENCIA DE 1/16W 0402 (2010107120) SMD</v>
      </c>
      <c r="G58" s="75"/>
      <c r="H58" s="75"/>
      <c r="I58" s="75"/>
      <c r="J58" s="75"/>
      <c r="K58" s="75"/>
      <c r="L58" s="76"/>
      <c r="M58" s="83">
        <v>780000</v>
      </c>
      <c r="N58" s="95">
        <f>VLOOKUP(C58,[2]Sheet1!$C:$F,4,0)</f>
        <v>1.7849999999999999E-3</v>
      </c>
      <c r="O58" s="63">
        <f t="shared" si="0"/>
        <v>1392.3</v>
      </c>
      <c r="P58" s="64" t="s">
        <v>564</v>
      </c>
      <c r="Q58" s="70" t="s">
        <v>563</v>
      </c>
      <c r="R58" s="64" t="s">
        <v>66</v>
      </c>
      <c r="S58" s="64" t="s">
        <v>65</v>
      </c>
    </row>
    <row r="59" spans="1:19" s="49" customFormat="1" ht="18" customHeight="1">
      <c r="A59" s="136"/>
      <c r="B59" s="62">
        <v>41</v>
      </c>
      <c r="C59" s="77">
        <v>2010105720</v>
      </c>
      <c r="D59" s="80">
        <f>VLOOKUP(C59,[1]Database!$B:$E,4,0)</f>
        <v>85332120</v>
      </c>
      <c r="E59" s="62"/>
      <c r="F59" s="74" t="str">
        <f>VLOOKUP(C59,[1]Database!$B:$H,7,0)</f>
        <v>RESISTOR (RESISTeNCIA ELeTRICA FIXA) PRoPRIO PARA MONTAGEM EM SUPERFÍCIE SMD 2K 5por cento 100ppm DE POTeNCIA 1/16W 0402 (ref.2010105720)</v>
      </c>
      <c r="G59" s="75"/>
      <c r="H59" s="75"/>
      <c r="I59" s="75"/>
      <c r="J59" s="75"/>
      <c r="K59" s="75"/>
      <c r="L59" s="76"/>
      <c r="M59" s="83">
        <v>850000</v>
      </c>
      <c r="N59" s="95">
        <f>VLOOKUP(C59,[2]Sheet1!$C:$F,4,0)</f>
        <v>1.5330000000000001E-3</v>
      </c>
      <c r="O59" s="63">
        <f t="shared" si="0"/>
        <v>1303.05</v>
      </c>
      <c r="P59" s="64" t="s">
        <v>564</v>
      </c>
      <c r="Q59" s="70" t="s">
        <v>563</v>
      </c>
      <c r="R59" s="64" t="s">
        <v>66</v>
      </c>
      <c r="S59" s="64" t="s">
        <v>65</v>
      </c>
    </row>
    <row r="60" spans="1:19" s="49" customFormat="1" ht="18" customHeight="1">
      <c r="A60" s="136"/>
      <c r="B60" s="62">
        <v>42</v>
      </c>
      <c r="C60" s="77">
        <v>2010105810</v>
      </c>
      <c r="D60" s="80">
        <f>VLOOKUP(C60,[1]Database!$B:$E,4,0)</f>
        <v>85332120</v>
      </c>
      <c r="E60" s="62"/>
      <c r="F60" s="74" t="str">
        <f>VLOOKUP(C60,[1]Database!$B:$H,7,0)</f>
        <v>RESISTOR (RESISTeNCIA ELeTRICA FIXA) PRoPRIO PARA MONTAGEM EM SUPERFÍCIE SMD 1.5R 1por cento 400PPM DE POTeNCIA 1/4W (ref.2010105810)</v>
      </c>
      <c r="G60" s="75"/>
      <c r="H60" s="75"/>
      <c r="I60" s="75"/>
      <c r="J60" s="75"/>
      <c r="K60" s="75"/>
      <c r="L60" s="76"/>
      <c r="M60" s="83">
        <v>185000</v>
      </c>
      <c r="N60" s="95">
        <f>VLOOKUP(C60,[2]Sheet1!$C:$F,4,0)</f>
        <v>2.7300000000000001E-2</v>
      </c>
      <c r="O60" s="63">
        <f t="shared" si="0"/>
        <v>5050.5</v>
      </c>
      <c r="P60" s="64" t="s">
        <v>564</v>
      </c>
      <c r="Q60" s="70" t="s">
        <v>563</v>
      </c>
      <c r="R60" s="64" t="s">
        <v>66</v>
      </c>
      <c r="S60" s="64" t="s">
        <v>65</v>
      </c>
    </row>
    <row r="61" spans="1:19" s="49" customFormat="1" ht="18" customHeight="1">
      <c r="A61" s="136"/>
      <c r="B61" s="62">
        <v>43</v>
      </c>
      <c r="C61" s="77">
        <v>2010105870</v>
      </c>
      <c r="D61" s="80">
        <f>VLOOKUP(C61,[1]Database!$B:$E,4,0)</f>
        <v>85332120</v>
      </c>
      <c r="E61" s="62"/>
      <c r="F61" s="74" t="str">
        <f>VLOOKUP(C61,[1]Database!$B:$H,7,0)</f>
        <v>RESISTOR (RESISTeNCIA ELeTRICA FIXA) PRoPRIO PARA MONTAGEM EM SUPERFÍCIE SMD 10R 1por cento 100PPM POTeNCIA DE 1/4W (REF. R06005 - Ref. 2010105870)</v>
      </c>
      <c r="G61" s="75"/>
      <c r="H61" s="75"/>
      <c r="I61" s="75"/>
      <c r="J61" s="75"/>
      <c r="K61" s="75"/>
      <c r="L61" s="76"/>
      <c r="M61" s="83">
        <v>50000</v>
      </c>
      <c r="N61" s="95">
        <f>VLOOKUP(C61,[2]Sheet1!$C:$F,4,0)</f>
        <v>1.3891500000000001E-2</v>
      </c>
      <c r="O61" s="63">
        <f t="shared" si="0"/>
        <v>694.57500000000005</v>
      </c>
      <c r="P61" s="64" t="s">
        <v>564</v>
      </c>
      <c r="Q61" s="70" t="s">
        <v>563</v>
      </c>
      <c r="R61" s="64" t="s">
        <v>66</v>
      </c>
      <c r="S61" s="64" t="s">
        <v>65</v>
      </c>
    </row>
    <row r="62" spans="1:19" s="49" customFormat="1" ht="18" customHeight="1">
      <c r="A62" s="136"/>
      <c r="B62" s="62">
        <v>44</v>
      </c>
      <c r="C62" s="77">
        <v>2010106030</v>
      </c>
      <c r="D62" s="80">
        <f>VLOOKUP(C62,[1]Database!$B:$E,4,0)</f>
        <v>85332120</v>
      </c>
      <c r="E62" s="62"/>
      <c r="F62" s="74" t="str">
        <f>VLOOKUP(C62,[1]Database!$B:$H,7,0)</f>
        <v>Resistor proprio para montagem em superfície (SMD), encapsulamento 0402, resistencia de 2.2k ohms, tolerAncia 1por cento, potencia 0,0625 (1/16)W</v>
      </c>
      <c r="G62" s="75"/>
      <c r="H62" s="75"/>
      <c r="I62" s="75"/>
      <c r="J62" s="75"/>
      <c r="K62" s="75"/>
      <c r="L62" s="76"/>
      <c r="M62" s="83">
        <v>650000</v>
      </c>
      <c r="N62" s="95">
        <f>VLOOKUP(C62,[2]Sheet1!$C:$F,4,0)</f>
        <v>1.7849999999999999E-3</v>
      </c>
      <c r="O62" s="63">
        <f t="shared" si="0"/>
        <v>1160.25</v>
      </c>
      <c r="P62" s="64" t="s">
        <v>564</v>
      </c>
      <c r="Q62" s="70" t="s">
        <v>563</v>
      </c>
      <c r="R62" s="64" t="s">
        <v>66</v>
      </c>
      <c r="S62" s="64" t="s">
        <v>65</v>
      </c>
    </row>
    <row r="63" spans="1:19" s="49" customFormat="1" ht="18" customHeight="1">
      <c r="A63" s="136"/>
      <c r="B63" s="62">
        <v>45</v>
      </c>
      <c r="C63" s="77">
        <v>2010106110</v>
      </c>
      <c r="D63" s="80">
        <f>VLOOKUP(C63,[1]Database!$B:$E,4,0)</f>
        <v>85332120</v>
      </c>
      <c r="E63" s="62"/>
      <c r="F63" s="74" t="str">
        <f>VLOOKUP(C63,[1]Database!$B:$H,7,0)</f>
        <v>RESISTOR (RESISTeNCIA ELeTRICA FIXA) PRoPRIO PARA MONTAGEM EM SUPERFÍCIE SMD  20kO 1por cento 100ppm POTeNCIA DE 1/16W 0402 (2010106110) SMD</v>
      </c>
      <c r="G63" s="75"/>
      <c r="H63" s="75"/>
      <c r="I63" s="75"/>
      <c r="J63" s="75"/>
      <c r="K63" s="75"/>
      <c r="L63" s="76"/>
      <c r="M63" s="83">
        <v>80000</v>
      </c>
      <c r="N63" s="95">
        <f>VLOOKUP(C63,[2]Sheet1!$C:$F,4,0)</f>
        <v>1.7849999999999999E-3</v>
      </c>
      <c r="O63" s="63">
        <f t="shared" si="0"/>
        <v>142.79999999999998</v>
      </c>
      <c r="P63" s="64" t="s">
        <v>564</v>
      </c>
      <c r="Q63" s="70" t="s">
        <v>563</v>
      </c>
      <c r="R63" s="64" t="s">
        <v>66</v>
      </c>
      <c r="S63" s="64" t="s">
        <v>65</v>
      </c>
    </row>
    <row r="64" spans="1:19" s="49" customFormat="1" ht="18" customHeight="1">
      <c r="A64" s="136"/>
      <c r="B64" s="62">
        <v>46</v>
      </c>
      <c r="C64" s="77">
        <v>2010107040</v>
      </c>
      <c r="D64" s="80">
        <f>VLOOKUP(C64,[1]Database!$B:$E,4,0)</f>
        <v>85332120</v>
      </c>
      <c r="E64" s="62"/>
      <c r="F64" s="74" t="str">
        <f>VLOOKUP(C64,[1]Database!$B:$H,7,0)</f>
        <v>RESISTOR (RESISTeNCIA ELeTRICA FIXA) PRoPRIO PARA MONTAGEM EM SUPERFÍCIE SMD  3kO 5por cento 100ppm POTeNCIA DE 1/16W 0402 (2010107040) SMD</v>
      </c>
      <c r="G64" s="75"/>
      <c r="H64" s="75"/>
      <c r="I64" s="75"/>
      <c r="J64" s="75"/>
      <c r="K64" s="75"/>
      <c r="L64" s="76"/>
      <c r="M64" s="83">
        <v>550000</v>
      </c>
      <c r="N64" s="95">
        <f>VLOOKUP(C64,[2]Sheet1!$C:$F,4,0)</f>
        <v>1.5330000000000001E-3</v>
      </c>
      <c r="O64" s="63">
        <f t="shared" si="0"/>
        <v>843.15000000000009</v>
      </c>
      <c r="P64" s="64" t="s">
        <v>564</v>
      </c>
      <c r="Q64" s="70" t="s">
        <v>563</v>
      </c>
      <c r="R64" s="64" t="s">
        <v>66</v>
      </c>
      <c r="S64" s="64" t="s">
        <v>65</v>
      </c>
    </row>
    <row r="65" spans="1:19" s="49" customFormat="1" ht="17.5" customHeight="1">
      <c r="A65" s="136"/>
      <c r="B65" s="62">
        <v>47</v>
      </c>
      <c r="C65" s="77">
        <v>2010107170</v>
      </c>
      <c r="D65" s="80">
        <f>VLOOKUP(C65,[1]Database!$B:$E,4,0)</f>
        <v>85332120</v>
      </c>
      <c r="E65" s="62"/>
      <c r="F65" s="74" t="str">
        <f>VLOOKUP(C65,[1]Database!$B:$H,7,0)</f>
        <v>RESISTOR (RESISTeNCIA ELeTRICA FIXA) PRoPRIO PARA MONTAGEM EM SUPERFÍCIE SMD  47K 1por cento 100.0ppm POTeNCIA DE 1/10W 0603 (2010107170) SMD</v>
      </c>
      <c r="G65" s="75"/>
      <c r="H65" s="75"/>
      <c r="I65" s="75"/>
      <c r="J65" s="75"/>
      <c r="K65" s="75"/>
      <c r="L65" s="76"/>
      <c r="M65" s="83">
        <v>75000</v>
      </c>
      <c r="N65" s="95">
        <f>VLOOKUP(C65,[2]Sheet1!$C:$F,4,0)</f>
        <v>3.2550000000000001E-3</v>
      </c>
      <c r="O65" s="63">
        <f t="shared" si="0"/>
        <v>244.125</v>
      </c>
      <c r="P65" s="64" t="s">
        <v>564</v>
      </c>
      <c r="Q65" s="70" t="s">
        <v>563</v>
      </c>
      <c r="R65" s="64" t="s">
        <v>66</v>
      </c>
      <c r="S65" s="64" t="s">
        <v>65</v>
      </c>
    </row>
    <row r="66" spans="1:19" s="49" customFormat="1" ht="17.5" customHeight="1">
      <c r="A66" s="136"/>
      <c r="B66" s="62">
        <v>48</v>
      </c>
      <c r="C66" s="77">
        <v>2010109520</v>
      </c>
      <c r="D66" s="80">
        <f>VLOOKUP(C66,[1]Database!$B:$E,4,0)</f>
        <v>85332120</v>
      </c>
      <c r="E66" s="62"/>
      <c r="F66" s="74" t="str">
        <f>VLOOKUP(C66,[1]Database!$B:$H,7,0)</f>
        <v>RESISTOR (RESISTeNCIA ELeTRICA FIXA) PRoPRIO PARA MONTAGEM EM SUPERFÍCIE SMD  1.8k 1por cento 100.0ppm POTeNCIA DE 1/16W 0402 SMD (2010109520)</v>
      </c>
      <c r="G66" s="75"/>
      <c r="H66" s="75"/>
      <c r="I66" s="75"/>
      <c r="J66" s="75"/>
      <c r="K66" s="75"/>
      <c r="L66" s="76"/>
      <c r="M66" s="83">
        <v>60000</v>
      </c>
      <c r="N66" s="95">
        <f>VLOOKUP(C66,[2]Sheet1!$C:$F,4,0)</f>
        <v>1.1655000000000001E-3</v>
      </c>
      <c r="O66" s="63">
        <f t="shared" si="0"/>
        <v>69.930000000000007</v>
      </c>
      <c r="P66" s="64" t="s">
        <v>564</v>
      </c>
      <c r="Q66" s="70" t="s">
        <v>563</v>
      </c>
      <c r="R66" s="64" t="s">
        <v>66</v>
      </c>
      <c r="S66" s="64" t="s">
        <v>65</v>
      </c>
    </row>
    <row r="67" spans="1:19" s="49" customFormat="1" ht="17.5" customHeight="1">
      <c r="A67" s="136"/>
      <c r="B67" s="62">
        <v>49</v>
      </c>
      <c r="C67" s="77">
        <v>2010109640</v>
      </c>
      <c r="D67" s="80">
        <f>VLOOKUP(C67,[1]Database!$B:$E,4,0)</f>
        <v>85332120</v>
      </c>
      <c r="E67" s="62"/>
      <c r="F67" s="74" t="str">
        <f>VLOOKUP(C67,[1]Database!$B:$H,7,0)</f>
        <v>RESISTOR (RESISTeNCIA ELeTRICA FIXA) PRoPRIO PARA MONTAGEM EM SUPERFÍCIE SMD  1.5kO 1por cento 100ppm POTeNCIA DE 1/16W 0402 (2010109640) SMD</v>
      </c>
      <c r="G67" s="75"/>
      <c r="H67" s="75"/>
      <c r="I67" s="75"/>
      <c r="J67" s="75"/>
      <c r="K67" s="75"/>
      <c r="L67" s="76"/>
      <c r="M67" s="83">
        <v>30000</v>
      </c>
      <c r="N67" s="95">
        <f>VLOOKUP(C67,[2]Sheet1!$C:$F,4,0)</f>
        <v>1.7849999999999999E-3</v>
      </c>
      <c r="O67" s="63">
        <f t="shared" si="0"/>
        <v>53.55</v>
      </c>
      <c r="P67" s="64" t="s">
        <v>564</v>
      </c>
      <c r="Q67" s="70" t="s">
        <v>563</v>
      </c>
      <c r="R67" s="64" t="s">
        <v>66</v>
      </c>
      <c r="S67" s="64" t="s">
        <v>65</v>
      </c>
    </row>
    <row r="68" spans="1:19" s="49" customFormat="1" ht="17.5" customHeight="1">
      <c r="A68" s="136"/>
      <c r="B68" s="62">
        <v>50</v>
      </c>
      <c r="C68" s="77">
        <v>2010110500</v>
      </c>
      <c r="D68" s="80">
        <f>VLOOKUP(C68,[1]Database!$B:$E,4,0)</f>
        <v>85332120</v>
      </c>
      <c r="E68" s="62"/>
      <c r="F68" s="74" t="str">
        <f>VLOOKUP(C68,[1]Database!$B:$H,7,0)</f>
        <v>RESISTOR (RESISTeNCIA ELeTRICA FIXA) PRoPRIO PARA MONTAGEM EM SUPERFÍCIE SMD  1M 1por cento 100.0ppm POTeNCIA DE 1/16W 0402 (2010110500) SMD</v>
      </c>
      <c r="G68" s="75"/>
      <c r="H68" s="75"/>
      <c r="I68" s="75"/>
      <c r="J68" s="75"/>
      <c r="K68" s="75"/>
      <c r="L68" s="76"/>
      <c r="M68" s="83">
        <v>60000</v>
      </c>
      <c r="N68" s="95">
        <f>VLOOKUP(C68,[2]Sheet1!$C:$F,4,0)</f>
        <v>1.7849999999999999E-3</v>
      </c>
      <c r="O68" s="63">
        <f t="shared" si="0"/>
        <v>107.1</v>
      </c>
      <c r="P68" s="64" t="s">
        <v>564</v>
      </c>
      <c r="Q68" s="70" t="s">
        <v>563</v>
      </c>
      <c r="R68" s="64" t="s">
        <v>66</v>
      </c>
      <c r="S68" s="64" t="s">
        <v>65</v>
      </c>
    </row>
    <row r="69" spans="1:19" s="49" customFormat="1" ht="17.5" customHeight="1">
      <c r="A69" s="136"/>
      <c r="B69" s="62">
        <v>51</v>
      </c>
      <c r="C69" s="77">
        <v>2010111340</v>
      </c>
      <c r="D69" s="80">
        <f>VLOOKUP(C69,[1]Database!$B:$E,4,0)</f>
        <v>85332120</v>
      </c>
      <c r="E69" s="62"/>
      <c r="F69" s="74" t="str">
        <f>VLOOKUP(C69,[1]Database!$B:$H,7,0)</f>
        <v>Resistor proprio para montagem em superfície (SMD), encapsulamento 0805, resistencia 33 ohms,  tolerAncia 1por cento,  potencia 0,125 (1/8) W</v>
      </c>
      <c r="G69" s="75"/>
      <c r="H69" s="75"/>
      <c r="I69" s="75"/>
      <c r="J69" s="75"/>
      <c r="K69" s="75"/>
      <c r="L69" s="76"/>
      <c r="M69" s="83">
        <v>15000</v>
      </c>
      <c r="N69" s="95">
        <f>VLOOKUP(C69,[2]Sheet1!$C:$F,4,0)</f>
        <v>4.1055000000000006E-3</v>
      </c>
      <c r="O69" s="63">
        <f t="shared" si="0"/>
        <v>61.58250000000001</v>
      </c>
      <c r="P69" s="64" t="s">
        <v>564</v>
      </c>
      <c r="Q69" s="70" t="s">
        <v>563</v>
      </c>
      <c r="R69" s="64" t="s">
        <v>66</v>
      </c>
      <c r="S69" s="64" t="s">
        <v>65</v>
      </c>
    </row>
    <row r="70" spans="1:19" s="49" customFormat="1" ht="17.5" customHeight="1">
      <c r="A70" s="136"/>
      <c r="B70" s="62">
        <v>52</v>
      </c>
      <c r="C70" s="77">
        <v>2010111700</v>
      </c>
      <c r="D70" s="80">
        <f>VLOOKUP(C70,[1]Database!$B:$E,4,0)</f>
        <v>85332120</v>
      </c>
      <c r="E70" s="62"/>
      <c r="F70" s="74" t="str">
        <f>VLOOKUP(C70,[1]Database!$B:$H,7,0)</f>
        <v>Resistor proprio para montagem SMD; Resistencia 1M ohms; encapsulamento 1206; TolerAncia 1por cento;  potencia 0,25 (1/4) W</v>
      </c>
      <c r="G70" s="75"/>
      <c r="H70" s="75"/>
      <c r="I70" s="75"/>
      <c r="J70" s="75"/>
      <c r="K70" s="75"/>
      <c r="L70" s="76"/>
      <c r="M70" s="83">
        <v>285000</v>
      </c>
      <c r="N70" s="95">
        <f>VLOOKUP(C70,[2]Sheet1!$C:$F,4,0)</f>
        <v>1.0500000000000001E-2</v>
      </c>
      <c r="O70" s="63">
        <f t="shared" si="0"/>
        <v>2992.5</v>
      </c>
      <c r="P70" s="64" t="s">
        <v>564</v>
      </c>
      <c r="Q70" s="70" t="s">
        <v>563</v>
      </c>
      <c r="R70" s="64" t="s">
        <v>66</v>
      </c>
      <c r="S70" s="64" t="s">
        <v>65</v>
      </c>
    </row>
    <row r="71" spans="1:19" s="49" customFormat="1" ht="17.5" customHeight="1">
      <c r="A71" s="136"/>
      <c r="B71" s="62">
        <v>53</v>
      </c>
      <c r="C71" s="77">
        <v>2010500032</v>
      </c>
      <c r="D71" s="80">
        <f>VLOOKUP(C71,[1]Database!$B:$E,4,0)</f>
        <v>85332190</v>
      </c>
      <c r="E71" s="62"/>
      <c r="F71" s="74" t="str">
        <f>VLOOKUP(C71,[1]Database!$B:$H,7,0)</f>
        <v>RESISTOR (RESISTeNCIA ELeTRICA FIXA) PRoPRIO PARA MONTAGEM EM SUPERFÍCIE PTH, DE POTeNCIA 3W PTH 150R 5por cento 300PPM ?5.5*15mm</v>
      </c>
      <c r="G71" s="75"/>
      <c r="H71" s="75"/>
      <c r="I71" s="75"/>
      <c r="J71" s="75"/>
      <c r="K71" s="75"/>
      <c r="L71" s="76"/>
      <c r="M71" s="83">
        <v>330000</v>
      </c>
      <c r="N71" s="95">
        <f>VLOOKUP(C71,[2]Sheet1!$C:$F,4,0)</f>
        <v>6.615E-2</v>
      </c>
      <c r="O71" s="63">
        <f t="shared" si="0"/>
        <v>21829.5</v>
      </c>
      <c r="P71" s="64" t="s">
        <v>564</v>
      </c>
      <c r="Q71" s="70" t="s">
        <v>563</v>
      </c>
      <c r="R71" s="64" t="s">
        <v>66</v>
      </c>
      <c r="S71" s="64" t="s">
        <v>65</v>
      </c>
    </row>
    <row r="72" spans="1:19" s="49" customFormat="1" ht="17.5" customHeight="1">
      <c r="A72" s="136"/>
      <c r="B72" s="62">
        <v>54</v>
      </c>
      <c r="C72" s="77">
        <v>2010500141</v>
      </c>
      <c r="D72" s="80">
        <f>VLOOKUP(C72,[1]Database!$B:$E,4,0)</f>
        <v>85332190</v>
      </c>
      <c r="E72" s="62"/>
      <c r="F72" s="74" t="str">
        <f>VLOOKUP(C72,[1]Database!$B:$H,7,0)</f>
        <v>RESISTOR (RESISTeNCIA ELeTRICA FIXA) PRoPRIO PARA MONTAGEM EM SUPERFÍCIE PTH, DE POTeNCIA 3W 22R 5por cento 300PPM</v>
      </c>
      <c r="G72" s="75"/>
      <c r="H72" s="75"/>
      <c r="I72" s="75"/>
      <c r="J72" s="75"/>
      <c r="K72" s="75"/>
      <c r="L72" s="76"/>
      <c r="M72" s="83">
        <v>133000</v>
      </c>
      <c r="N72" s="95">
        <f>VLOOKUP(C72,[2]Sheet1!$C:$F,4,0)</f>
        <v>6.615E-2</v>
      </c>
      <c r="O72" s="63">
        <f t="shared" si="0"/>
        <v>8797.9500000000007</v>
      </c>
      <c r="P72" s="64" t="s">
        <v>564</v>
      </c>
      <c r="Q72" s="70" t="s">
        <v>563</v>
      </c>
      <c r="R72" s="64" t="s">
        <v>66</v>
      </c>
      <c r="S72" s="64" t="s">
        <v>65</v>
      </c>
    </row>
    <row r="73" spans="1:19" s="49" customFormat="1" ht="17.5" customHeight="1">
      <c r="A73" s="136"/>
      <c r="B73" s="62">
        <v>55</v>
      </c>
      <c r="C73" s="77">
        <v>2010500202</v>
      </c>
      <c r="D73" s="80">
        <f>VLOOKUP(C73,[1]Database!$B:$E,4,0)</f>
        <v>85332190</v>
      </c>
      <c r="E73" s="62"/>
      <c r="F73" s="74" t="str">
        <f>VLOOKUP(C73,[1]Database!$B:$H,7,0)</f>
        <v>RESISTOR (RESISTeNCIA ELeTRICA FIXA) PRoPRIO PARA MONTAGEM EM SUPERFÍCIE PTH, DE POTeNCIA 3W 51R 5por cento 5.5*15mm Anti-Surto (2010500202)</v>
      </c>
      <c r="G73" s="75"/>
      <c r="H73" s="75"/>
      <c r="I73" s="75"/>
      <c r="J73" s="75"/>
      <c r="K73" s="75"/>
      <c r="L73" s="76"/>
      <c r="M73" s="83">
        <v>43000</v>
      </c>
      <c r="N73" s="95">
        <f>VLOOKUP(C73,[2]Sheet1!$C:$F,4,0)</f>
        <v>6.615E-2</v>
      </c>
      <c r="O73" s="63">
        <f t="shared" si="0"/>
        <v>2844.45</v>
      </c>
      <c r="P73" s="64" t="s">
        <v>564</v>
      </c>
      <c r="Q73" s="70" t="s">
        <v>563</v>
      </c>
      <c r="R73" s="64" t="s">
        <v>66</v>
      </c>
      <c r="S73" s="64" t="s">
        <v>65</v>
      </c>
    </row>
    <row r="74" spans="1:19" s="49" customFormat="1" ht="17.5" customHeight="1">
      <c r="A74" s="136"/>
      <c r="B74" s="62">
        <v>56</v>
      </c>
      <c r="C74" s="77">
        <v>2011100161</v>
      </c>
      <c r="D74" s="80">
        <f>VLOOKUP(C74,[1]Database!$B:$E,4,0)</f>
        <v>85334012</v>
      </c>
      <c r="E74" s="62"/>
      <c r="F74" s="74" t="str">
        <f>VLOOKUP(C74,[1]Database!$B:$H,7,0)</f>
        <v>VARISTOR (RESISTeNCIA ELeTRICA VARIaVEL NAO LINEAR SEMICONDUTORA) PARA TENSAO DE 680V 10por cento 6000A 320pF F15.6 RAD-7.5mm ± 1 3.5+/-0.5mm PTH (Ref.2011100161)</v>
      </c>
      <c r="G74" s="75"/>
      <c r="H74" s="75"/>
      <c r="I74" s="75"/>
      <c r="J74" s="75"/>
      <c r="K74" s="75"/>
      <c r="L74" s="76"/>
      <c r="M74" s="83">
        <v>34000</v>
      </c>
      <c r="N74" s="95">
        <f>VLOOKUP(C74,[2]Sheet1!$C:$F,4,0)</f>
        <v>0.252</v>
      </c>
      <c r="O74" s="63">
        <f t="shared" si="0"/>
        <v>8568</v>
      </c>
      <c r="P74" s="64" t="s">
        <v>564</v>
      </c>
      <c r="Q74" s="70" t="s">
        <v>563</v>
      </c>
      <c r="R74" s="64" t="s">
        <v>66</v>
      </c>
      <c r="S74" s="64" t="s">
        <v>65</v>
      </c>
    </row>
    <row r="75" spans="1:19" s="49" customFormat="1" ht="17.5" customHeight="1">
      <c r="A75" s="136"/>
      <c r="B75" s="62">
        <v>57</v>
      </c>
      <c r="C75" s="77">
        <v>2011100213</v>
      </c>
      <c r="D75" s="80">
        <f>VLOOKUP(C75,[1]Database!$B:$E,4,0)</f>
        <v>85334012</v>
      </c>
      <c r="E75" s="62"/>
      <c r="F75" s="74" t="str">
        <f>VLOOKUP(C75,[1]Database!$B:$H,7,0)</f>
        <v>VARISTOR (RESISTeNCIA ELeTRICA VARIaVEL NAO LINEAR SEMICONDUTORA) PARA TENSAO DE 820V 10000A 10por cento F18mm/8.4mm (Ref. 2011100213)</v>
      </c>
      <c r="G75" s="75"/>
      <c r="H75" s="75"/>
      <c r="I75" s="75"/>
      <c r="J75" s="75"/>
      <c r="K75" s="75"/>
      <c r="L75" s="76"/>
      <c r="M75" s="83">
        <v>181200</v>
      </c>
      <c r="N75" s="95">
        <f>VLOOKUP(C75,[2]Sheet1!$C:$F,4,0)</f>
        <v>0.45150000000000001</v>
      </c>
      <c r="O75" s="63">
        <f t="shared" si="0"/>
        <v>81811.8</v>
      </c>
      <c r="P75" s="64" t="s">
        <v>564</v>
      </c>
      <c r="Q75" s="70" t="s">
        <v>563</v>
      </c>
      <c r="R75" s="64" t="s">
        <v>66</v>
      </c>
      <c r="S75" s="64" t="s">
        <v>65</v>
      </c>
    </row>
    <row r="76" spans="1:19" s="49" customFormat="1" ht="17.5" customHeight="1">
      <c r="A76" s="136"/>
      <c r="B76" s="62">
        <v>58</v>
      </c>
      <c r="C76" s="77">
        <v>2011500020</v>
      </c>
      <c r="D76" s="80">
        <f>VLOOKUP(C76,[1]Database!$B:$E,4,0)</f>
        <v>85332120</v>
      </c>
      <c r="E76" s="62"/>
      <c r="F76" s="74" t="str">
        <f>VLOOKUP(C76,[1]Database!$B:$H,7,0)</f>
        <v>Resistor proprio para montagem em superfície (SMD), encapsulamento melf 0204, resistencia 3 ohms,  tolerAncia 1por cento,  potencia 0,4 (2/5) W</v>
      </c>
      <c r="G76" s="75"/>
      <c r="H76" s="75"/>
      <c r="I76" s="75"/>
      <c r="J76" s="75"/>
      <c r="K76" s="75"/>
      <c r="L76" s="76"/>
      <c r="M76" s="83">
        <v>312000</v>
      </c>
      <c r="N76" s="95">
        <f>VLOOKUP(C76,[2]Sheet1!$C:$F,4,0)</f>
        <v>6.615E-2</v>
      </c>
      <c r="O76" s="63">
        <f t="shared" si="0"/>
        <v>20638.8</v>
      </c>
      <c r="P76" s="64" t="s">
        <v>564</v>
      </c>
      <c r="Q76" s="70" t="s">
        <v>563</v>
      </c>
      <c r="R76" s="64" t="s">
        <v>66</v>
      </c>
      <c r="S76" s="64" t="s">
        <v>65</v>
      </c>
    </row>
    <row r="77" spans="1:19" s="49" customFormat="1" ht="17.5" customHeight="1">
      <c r="A77" s="136"/>
      <c r="B77" s="62">
        <v>59</v>
      </c>
      <c r="C77" s="77">
        <v>2020100010</v>
      </c>
      <c r="D77" s="80">
        <f>VLOOKUP(C77,[1]Database!$B:$E,4,0)</f>
        <v>85322310</v>
      </c>
      <c r="E77" s="62"/>
      <c r="F77" s="74" t="str">
        <f>VLOOKUP(C77,[1]Database!$B:$H,7,0)</f>
        <v>CAPACITOR (CONDENSDOR ELeTRICO FIXO) COM DIELeTRICO DE CERAMICA DE UMA So CAMADA PRoPRIO PARA MONTAGEM EM SUPERFÍCIE SMD 4.7uF 10por cento 10V X5R 0603 (REF. C01034 - ref.2020100010)</v>
      </c>
      <c r="G77" s="75"/>
      <c r="H77" s="75"/>
      <c r="I77" s="75"/>
      <c r="J77" s="75"/>
      <c r="K77" s="75"/>
      <c r="L77" s="76"/>
      <c r="M77" s="83">
        <v>212000</v>
      </c>
      <c r="N77" s="95">
        <f>VLOOKUP(C77,[2]Sheet1!$C:$F,4,0)</f>
        <v>1.1655E-2</v>
      </c>
      <c r="O77" s="63">
        <f t="shared" si="0"/>
        <v>2470.86</v>
      </c>
      <c r="P77" s="64" t="s">
        <v>564</v>
      </c>
      <c r="Q77" s="70" t="s">
        <v>563</v>
      </c>
      <c r="R77" s="64" t="s">
        <v>66</v>
      </c>
      <c r="S77" s="64" t="s">
        <v>65</v>
      </c>
    </row>
    <row r="78" spans="1:19" s="49" customFormat="1" ht="17.5" customHeight="1">
      <c r="A78" s="136"/>
      <c r="B78" s="62">
        <v>60</v>
      </c>
      <c r="C78" s="77">
        <v>2020100090</v>
      </c>
      <c r="D78" s="80">
        <f>VLOOKUP(C78,[1]Database!$B:$E,4,0)</f>
        <v>85322310</v>
      </c>
      <c r="E78" s="62"/>
      <c r="F78" s="74" t="str">
        <f>VLOOKUP(C78,[1]Database!$B:$H,7,0)</f>
        <v>CAPACITOR (CONDENSDOR ELeTRICO FIXO) COM DIELeTRICO DE CERAMICA DE UMA So CAMADA  PRoPRIO PARA MONTAGEM EM SUPERFÍCIE SMD 10nF 10por cento 50V X7R (REF. C02006 - ref.2020100090)</v>
      </c>
      <c r="G78" s="75"/>
      <c r="H78" s="75"/>
      <c r="I78" s="75"/>
      <c r="J78" s="75"/>
      <c r="K78" s="75"/>
      <c r="L78" s="76"/>
      <c r="M78" s="83">
        <v>772000</v>
      </c>
      <c r="N78" s="95">
        <f>VLOOKUP(C78,[2]Sheet1!$C:$F,4,0)</f>
        <v>5.3549999999999995E-3</v>
      </c>
      <c r="O78" s="63">
        <f t="shared" si="0"/>
        <v>4134.0599999999995</v>
      </c>
      <c r="P78" s="64" t="s">
        <v>564</v>
      </c>
      <c r="Q78" s="70" t="s">
        <v>563</v>
      </c>
      <c r="R78" s="64" t="s">
        <v>66</v>
      </c>
      <c r="S78" s="64" t="s">
        <v>65</v>
      </c>
    </row>
    <row r="79" spans="1:19" s="49" customFormat="1" ht="17.5" customHeight="1">
      <c r="A79" s="136"/>
      <c r="B79" s="62">
        <v>61</v>
      </c>
      <c r="C79" s="77">
        <v>2020100100</v>
      </c>
      <c r="D79" s="80">
        <f>VLOOKUP(C79,[1]Database!$B:$E,4,0)</f>
        <v>85322410</v>
      </c>
      <c r="E79" s="62"/>
      <c r="F79" s="74" t="str">
        <f>VLOOKUP(C79,[1]Database!$B:$H,7,0)</f>
        <v>CAPACITOR (CONDENSADOR ELeTRICO FIXO) COM DIELeTRICO DE CERAMICA, DE CAMADAS MuLTIPLAS, PRoPRIO PARA MONTAGEM EM SUPERFÍCIE SMD - 2.2nF 10por cento X7R 50V 0603 (2020100100)</v>
      </c>
      <c r="G79" s="75"/>
      <c r="H79" s="75"/>
      <c r="I79" s="75"/>
      <c r="J79" s="75"/>
      <c r="K79" s="75"/>
      <c r="L79" s="76"/>
      <c r="M79" s="83">
        <v>84000</v>
      </c>
      <c r="N79" s="95">
        <f>VLOOKUP(C79,[2]Sheet1!$C:$F,4,0)</f>
        <v>5.6700000000000006E-3</v>
      </c>
      <c r="O79" s="63">
        <f t="shared" si="0"/>
        <v>476.28000000000003</v>
      </c>
      <c r="P79" s="64" t="s">
        <v>564</v>
      </c>
      <c r="Q79" s="70" t="s">
        <v>563</v>
      </c>
      <c r="R79" s="64" t="s">
        <v>66</v>
      </c>
      <c r="S79" s="64" t="s">
        <v>65</v>
      </c>
    </row>
    <row r="80" spans="1:19" s="49" customFormat="1" ht="17.5" customHeight="1">
      <c r="A80" s="136"/>
      <c r="B80" s="62">
        <v>62</v>
      </c>
      <c r="C80" s="77">
        <v>2020100110</v>
      </c>
      <c r="D80" s="80">
        <f>VLOOKUP(C80,[1]Database!$B:$E,4,0)</f>
        <v>85322310</v>
      </c>
      <c r="E80" s="62"/>
      <c r="F80" s="74" t="str">
        <f>VLOOKUP(C80,[1]Database!$B:$H,7,0)</f>
        <v>CAPACITOR (CONDENSDOR ELeTRICO FIXO) COM DIELeTRICO DE CERAMICA DE UMA So CAMADA  PRoPRIO PARA MONTAGEM EM SUPERFÍCIE SMD 33nF  10por cento 50V X7R (REF. C02002 - ref.2020100110)</v>
      </c>
      <c r="G80" s="75"/>
      <c r="H80" s="75"/>
      <c r="I80" s="75"/>
      <c r="J80" s="75"/>
      <c r="K80" s="75"/>
      <c r="L80" s="76"/>
      <c r="M80" s="83">
        <v>1676000</v>
      </c>
      <c r="N80" s="95">
        <f>VLOOKUP(C80,[2]Sheet1!$C:$F,4,0)</f>
        <v>5.7749999999999998E-3</v>
      </c>
      <c r="O80" s="63">
        <f t="shared" si="0"/>
        <v>9678.9</v>
      </c>
      <c r="P80" s="64" t="s">
        <v>564</v>
      </c>
      <c r="Q80" s="70" t="s">
        <v>563</v>
      </c>
      <c r="R80" s="64" t="s">
        <v>66</v>
      </c>
      <c r="S80" s="64" t="s">
        <v>65</v>
      </c>
    </row>
    <row r="81" spans="1:19" s="49" customFormat="1" ht="17.5" customHeight="1">
      <c r="A81" s="136"/>
      <c r="B81" s="62">
        <v>63</v>
      </c>
      <c r="C81" s="77">
        <v>2020100120</v>
      </c>
      <c r="D81" s="80">
        <f>VLOOKUP(C81,[1]Database!$B:$E,4,0)</f>
        <v>85322310</v>
      </c>
      <c r="E81" s="62"/>
      <c r="F81" s="74" t="str">
        <f>VLOOKUP(C81,[1]Database!$B:$H,7,0)</f>
        <v>CAPACITOR (CONDENSDOR ELETRICO FIXO) COM DIELETRICO DE CERAMICA DE UMA SO CAMADA  PROPRIO PARA MONTAGEM EM SUPERFICIE SMD 100nF 10por cento 50V X7R (REF. C02001 - ref.2020100120)</v>
      </c>
      <c r="G81" s="75"/>
      <c r="H81" s="75"/>
      <c r="I81" s="75"/>
      <c r="J81" s="75"/>
      <c r="K81" s="75"/>
      <c r="L81" s="76"/>
      <c r="M81" s="83">
        <v>1184000</v>
      </c>
      <c r="N81" s="95">
        <f>VLOOKUP(C81,[2]Sheet1!$C:$F,4,0)</f>
        <v>5.7749999999999998E-3</v>
      </c>
      <c r="O81" s="63">
        <f t="shared" si="0"/>
        <v>6837.5999999999995</v>
      </c>
      <c r="P81" s="64" t="s">
        <v>564</v>
      </c>
      <c r="Q81" s="70" t="s">
        <v>563</v>
      </c>
      <c r="R81" s="64" t="s">
        <v>66</v>
      </c>
      <c r="S81" s="64" t="s">
        <v>65</v>
      </c>
    </row>
    <row r="82" spans="1:19" s="49" customFormat="1" ht="17.5" customHeight="1">
      <c r="A82" s="136"/>
      <c r="B82" s="62">
        <v>64</v>
      </c>
      <c r="C82" s="77">
        <v>2020100160</v>
      </c>
      <c r="D82" s="80">
        <f>VLOOKUP(C82,[1]Database!$B:$E,4,0)</f>
        <v>85322310</v>
      </c>
      <c r="E82" s="62"/>
      <c r="F82" s="74" t="str">
        <f>VLOOKUP(C82,[1]Database!$B:$H,7,0)</f>
        <v>CAPACITOR (CONDENSDOR ELeTRICO FIXO) COM DIELeTRICO DE CERAMICA DE UMA So CAMADA  PRoPRIO PARA MONTAGEM EM SUPERFÍCIE SMD 4.7nF 5por cento 50V NPO (REF. C01012 - ref.2020100160)</v>
      </c>
      <c r="G82" s="75"/>
      <c r="H82" s="75"/>
      <c r="I82" s="75"/>
      <c r="J82" s="75"/>
      <c r="K82" s="75"/>
      <c r="L82" s="76"/>
      <c r="M82" s="83">
        <v>28000</v>
      </c>
      <c r="N82" s="95">
        <f>VLOOKUP(C82,[2]Sheet1!$C:$F,4,0)</f>
        <v>5.9850000000000007E-3</v>
      </c>
      <c r="O82" s="63">
        <f t="shared" si="0"/>
        <v>167.58</v>
      </c>
      <c r="P82" s="64" t="s">
        <v>564</v>
      </c>
      <c r="Q82" s="70" t="s">
        <v>563</v>
      </c>
      <c r="R82" s="64" t="s">
        <v>66</v>
      </c>
      <c r="S82" s="64" t="s">
        <v>65</v>
      </c>
    </row>
    <row r="83" spans="1:19" s="49" customFormat="1" ht="17.5" customHeight="1">
      <c r="A83" s="136"/>
      <c r="B83" s="62">
        <v>65</v>
      </c>
      <c r="C83" s="77">
        <v>2020100320</v>
      </c>
      <c r="D83" s="80">
        <f>VLOOKUP(C83,[1]Database!$B:$E,4,0)</f>
        <v>85322410</v>
      </c>
      <c r="E83" s="62"/>
      <c r="F83" s="74" t="str">
        <f>VLOOKUP(C83,[1]Database!$B:$H,7,0)</f>
        <v>CAPACITOR (CONDENSADOR ELeTRICO FIXO) COM DIELeTRICO DE CERAMICA, DE CAMADAS MuLTIPLAS, PRoPRIO PARA MONTAGEM EM SUPERFÍCIE SMD - 1.0µF 10por cento X5R 16.0V 0603 (2020100320)</v>
      </c>
      <c r="G83" s="75"/>
      <c r="H83" s="75"/>
      <c r="I83" s="75"/>
      <c r="J83" s="75"/>
      <c r="K83" s="75"/>
      <c r="L83" s="76"/>
      <c r="M83" s="83">
        <v>204000</v>
      </c>
      <c r="N83" s="95">
        <f>VLOOKUP(C83,[2]Sheet1!$C:$F,4,0)</f>
        <v>1.4857500000000003E-2</v>
      </c>
      <c r="O83" s="63">
        <f t="shared" si="0"/>
        <v>3030.9300000000007</v>
      </c>
      <c r="P83" s="64" t="s">
        <v>564</v>
      </c>
      <c r="Q83" s="70" t="s">
        <v>563</v>
      </c>
      <c r="R83" s="64" t="s">
        <v>66</v>
      </c>
      <c r="S83" s="64" t="s">
        <v>65</v>
      </c>
    </row>
    <row r="84" spans="1:19" s="49" customFormat="1" ht="17.5" customHeight="1">
      <c r="A84" s="136"/>
      <c r="B84" s="62">
        <v>66</v>
      </c>
      <c r="C84" s="77">
        <v>2020100400</v>
      </c>
      <c r="D84" s="80">
        <f>VLOOKUP(C84,[1]Database!$B:$E,4,0)</f>
        <v>85322410</v>
      </c>
      <c r="E84" s="62"/>
      <c r="F84" s="74" t="str">
        <f>VLOOKUP(C84,[1]Database!$B:$H,7,0)</f>
        <v>CAPACITOR (CONDENSADOR ELeTRICO FIXO) COM DIELeTRICO DE CERAMICA, DE CAMADAS MuLTIPLAS, PRoPRIO PARA MONTAGEM EM SUPERFÍCIE SMD CERAMICO 68nF 10por cento X7R 50V 0603 (2020100400) SMD</v>
      </c>
      <c r="G84" s="75"/>
      <c r="H84" s="75"/>
      <c r="I84" s="75"/>
      <c r="J84" s="75"/>
      <c r="K84" s="75"/>
      <c r="L84" s="76"/>
      <c r="M84" s="83">
        <v>44000</v>
      </c>
      <c r="N84" s="95">
        <f>VLOOKUP(C84,[2]Sheet1!$C:$F,4,0)</f>
        <v>6.6150000000000002E-3</v>
      </c>
      <c r="O84" s="63">
        <f t="shared" ref="O84:O147" si="1">M84*N84</f>
        <v>291.06</v>
      </c>
      <c r="P84" s="64" t="s">
        <v>564</v>
      </c>
      <c r="Q84" s="70" t="s">
        <v>563</v>
      </c>
      <c r="R84" s="64" t="s">
        <v>66</v>
      </c>
      <c r="S84" s="64" t="s">
        <v>65</v>
      </c>
    </row>
    <row r="85" spans="1:19" s="49" customFormat="1" ht="17.5" customHeight="1">
      <c r="A85" s="136"/>
      <c r="B85" s="62">
        <v>67</v>
      </c>
      <c r="C85" s="77">
        <v>2020100690</v>
      </c>
      <c r="D85" s="80">
        <f>VLOOKUP(C85,[1]Database!$B:$E,4,0)</f>
        <v>85322310</v>
      </c>
      <c r="E85" s="62"/>
      <c r="F85" s="74" t="str">
        <f>VLOOKUP(C85,[1]Database!$B:$H,7,0)</f>
        <v>CAPACITOR (CONDENSDOR ELeTRICO FIXO) COM DIELeTRICO DE CERAMICA DE UMA So CAMADA PRoPRIO PARA MONTAGEM EM SUPERFÍCIE SMD 1µF 10por cento X7R 25V 0603 (2020100690) SMD</v>
      </c>
      <c r="G85" s="75"/>
      <c r="H85" s="75"/>
      <c r="I85" s="75"/>
      <c r="J85" s="75"/>
      <c r="K85" s="75"/>
      <c r="L85" s="76"/>
      <c r="M85" s="83">
        <v>276000</v>
      </c>
      <c r="N85" s="95">
        <f>VLOOKUP(C85,[2]Sheet1!$C:$F,4,0)</f>
        <v>1.218E-2</v>
      </c>
      <c r="O85" s="63">
        <f t="shared" si="1"/>
        <v>3361.68</v>
      </c>
      <c r="P85" s="64" t="s">
        <v>564</v>
      </c>
      <c r="Q85" s="70" t="s">
        <v>563</v>
      </c>
      <c r="R85" s="64" t="s">
        <v>66</v>
      </c>
      <c r="S85" s="64" t="s">
        <v>65</v>
      </c>
    </row>
    <row r="86" spans="1:19" s="49" customFormat="1" ht="17.5" customHeight="1">
      <c r="A86" s="136"/>
      <c r="B86" s="62">
        <v>68</v>
      </c>
      <c r="C86" s="77">
        <v>2020101190</v>
      </c>
      <c r="D86" s="80">
        <f>VLOOKUP(C86,[1]Database!$B:$E,4,0)</f>
        <v>85322200</v>
      </c>
      <c r="E86" s="62"/>
      <c r="F86" s="74" t="str">
        <f>VLOOKUP(C86,[1]Database!$B:$H,7,0)</f>
        <v>CAPACITOR (CONDENSADOR ELeTRICO FIXO) ELETROLITICO DE ALUMÍNIO 1nF ±10por cento 1KV X7R 1206 (2020101190)</v>
      </c>
      <c r="G86" s="75"/>
      <c r="H86" s="75"/>
      <c r="I86" s="75"/>
      <c r="J86" s="75"/>
      <c r="K86" s="75"/>
      <c r="L86" s="76"/>
      <c r="M86" s="83">
        <v>180000</v>
      </c>
      <c r="N86" s="95">
        <f>VLOOKUP(C86,[2]Sheet1!$C:$F,4,0)</f>
        <v>3.5700000000000003E-2</v>
      </c>
      <c r="O86" s="63">
        <f t="shared" si="1"/>
        <v>6426.0000000000009</v>
      </c>
      <c r="P86" s="64" t="s">
        <v>564</v>
      </c>
      <c r="Q86" s="70" t="s">
        <v>563</v>
      </c>
      <c r="R86" s="64" t="s">
        <v>66</v>
      </c>
      <c r="S86" s="64" t="s">
        <v>65</v>
      </c>
    </row>
    <row r="87" spans="1:19" s="49" customFormat="1" ht="17.5" customHeight="1">
      <c r="A87" s="136"/>
      <c r="B87" s="62">
        <v>69</v>
      </c>
      <c r="C87" s="77">
        <v>2020101230</v>
      </c>
      <c r="D87" s="80">
        <f>VLOOKUP(C87,[1]Database!$B:$E,4,0)</f>
        <v>85322410</v>
      </c>
      <c r="E87" s="62"/>
      <c r="F87" s="74" t="str">
        <f>VLOOKUP(C87,[1]Database!$B:$H,7,0)</f>
        <v>CAPACITOR (CONDENSADOR ELeTRICO FIXO) COM DIELeTRICO DE CERAMICA, DE CAMADAS MuLTIPLAS, PRoPRIO PARA MONTAGEM EM SUPERFÍCIE SMD - 2.2nF 10por cento X7R 1KV 1206 (2020101230)</v>
      </c>
      <c r="G87" s="75"/>
      <c r="H87" s="75"/>
      <c r="I87" s="75"/>
      <c r="J87" s="75"/>
      <c r="K87" s="75"/>
      <c r="L87" s="76"/>
      <c r="M87" s="83">
        <v>84000</v>
      </c>
      <c r="N87" s="95">
        <f>VLOOKUP(C87,[2]Sheet1!$C:$F,4,0)</f>
        <v>4.2105000000000004E-2</v>
      </c>
      <c r="O87" s="63">
        <f t="shared" si="1"/>
        <v>3536.82</v>
      </c>
      <c r="P87" s="64" t="s">
        <v>564</v>
      </c>
      <c r="Q87" s="70" t="s">
        <v>563</v>
      </c>
      <c r="R87" s="64" t="s">
        <v>66</v>
      </c>
      <c r="S87" s="64" t="s">
        <v>65</v>
      </c>
    </row>
    <row r="88" spans="1:19" s="49" customFormat="1" ht="17.5" customHeight="1">
      <c r="A88" s="136"/>
      <c r="B88" s="62">
        <v>70</v>
      </c>
      <c r="C88" s="77">
        <v>2020101290</v>
      </c>
      <c r="D88" s="80">
        <f>VLOOKUP(C88,[1]Database!$B:$E,4,0)</f>
        <v>85322410</v>
      </c>
      <c r="E88" s="62"/>
      <c r="F88" s="74" t="str">
        <f>VLOOKUP(C88,[1]Database!$B:$H,7,0)</f>
        <v>CAPACITOR (CONDENSADOR ELeTRICO FIXO) COM DIELeTRICO DE CERAMICA, DE CAMADAS MuLTIPLAS, PRoPRIO PARA MONTAGEM EM SUPERFÍCIE SMD - 220nF 10por cento X7R 25V 0603 (2020101290)</v>
      </c>
      <c r="G88" s="75"/>
      <c r="H88" s="75"/>
      <c r="I88" s="75"/>
      <c r="J88" s="75"/>
      <c r="K88" s="75"/>
      <c r="L88" s="76"/>
      <c r="M88" s="83">
        <v>64000</v>
      </c>
      <c r="N88" s="95">
        <f>VLOOKUP(C88,[2]Sheet1!$C:$F,4,0)</f>
        <v>2.0369999999999999E-2</v>
      </c>
      <c r="O88" s="63">
        <f t="shared" si="1"/>
        <v>1303.6799999999998</v>
      </c>
      <c r="P88" s="64" t="s">
        <v>564</v>
      </c>
      <c r="Q88" s="70" t="s">
        <v>563</v>
      </c>
      <c r="R88" s="64" t="s">
        <v>66</v>
      </c>
      <c r="S88" s="64" t="s">
        <v>65</v>
      </c>
    </row>
    <row r="89" spans="1:19" s="49" customFormat="1" ht="17.5" customHeight="1">
      <c r="A89" s="136"/>
      <c r="B89" s="62">
        <v>71</v>
      </c>
      <c r="C89" s="77">
        <v>2020101330</v>
      </c>
      <c r="D89" s="80">
        <f>VLOOKUP(C89,[1]Database!$B:$E,4,0)</f>
        <v>85322310</v>
      </c>
      <c r="E89" s="62"/>
      <c r="F89" s="74" t="str">
        <f>VLOOKUP(C89,[1]Database!$B:$H,7,0)</f>
        <v>CAPACITOR (CONDENSDOR ELeTRICO FIXO) COM DIELeTRICO DE CERAMICA DE UMA So CAMADA PRoPRIO PARA MONTAGEM EM SUPERFÍCIE SMD 220pF 5por cento NPO 50V 0402 (2020101330) SMD</v>
      </c>
      <c r="G89" s="75"/>
      <c r="H89" s="75"/>
      <c r="I89" s="75"/>
      <c r="J89" s="75"/>
      <c r="K89" s="75"/>
      <c r="L89" s="76"/>
      <c r="M89" s="83">
        <v>770000</v>
      </c>
      <c r="N89" s="95">
        <f>VLOOKUP(C89,[2]Sheet1!$C:$F,4,0)</f>
        <v>5.2500000000000003E-3</v>
      </c>
      <c r="O89" s="63">
        <f t="shared" si="1"/>
        <v>4042.5000000000005</v>
      </c>
      <c r="P89" s="64" t="s">
        <v>564</v>
      </c>
      <c r="Q89" s="70" t="s">
        <v>563</v>
      </c>
      <c r="R89" s="64" t="s">
        <v>66</v>
      </c>
      <c r="S89" s="64" t="s">
        <v>65</v>
      </c>
    </row>
    <row r="90" spans="1:19" s="49" customFormat="1" ht="17.5" customHeight="1">
      <c r="A90" s="136"/>
      <c r="B90" s="62">
        <v>72</v>
      </c>
      <c r="C90" s="77">
        <v>2020101350</v>
      </c>
      <c r="D90" s="80">
        <f>VLOOKUP(C90,[1]Database!$B:$E,4,0)</f>
        <v>85322310</v>
      </c>
      <c r="E90" s="62"/>
      <c r="F90" s="74" t="str">
        <f>VLOOKUP(C90,[1]Database!$B:$H,7,0)</f>
        <v>CAPACITOR (CONDENSDOR ELeTRICO FIXO) COM DIELeTRICO DE CERAMICA DE UMA So CAMADA PRoPRIO PARA MONTAGEM EM SUPERFÍCIE SMD 1nF 10por cento 50V X7R (ref.2020101350)</v>
      </c>
      <c r="G90" s="75"/>
      <c r="H90" s="75"/>
      <c r="I90" s="75"/>
      <c r="J90" s="75"/>
      <c r="K90" s="75"/>
      <c r="L90" s="76"/>
      <c r="M90" s="83">
        <v>1080000</v>
      </c>
      <c r="N90" s="95">
        <f>VLOOKUP(C90,[2]Sheet1!$C:$F,4,0)</f>
        <v>2.0474999999999998E-3</v>
      </c>
      <c r="O90" s="63">
        <f t="shared" si="1"/>
        <v>2211.2999999999997</v>
      </c>
      <c r="P90" s="64" t="s">
        <v>564</v>
      </c>
      <c r="Q90" s="70" t="s">
        <v>563</v>
      </c>
      <c r="R90" s="64" t="s">
        <v>66</v>
      </c>
      <c r="S90" s="64" t="s">
        <v>65</v>
      </c>
    </row>
    <row r="91" spans="1:19" s="49" customFormat="1" ht="17.5" customHeight="1">
      <c r="A91" s="136"/>
      <c r="B91" s="62">
        <v>73</v>
      </c>
      <c r="C91" s="77">
        <v>2020101420</v>
      </c>
      <c r="D91" s="80">
        <f>VLOOKUP(C91,[1]Database!$B:$E,4,0)</f>
        <v>85322310</v>
      </c>
      <c r="E91" s="62"/>
      <c r="F91" s="74" t="str">
        <f>VLOOKUP(C91,[1]Database!$B:$H,7,0)</f>
        <v>CAPACITOR (CONDENSDOR ELeTRICO FIXO) COM DIELeTRICO DE CERAMICA DE UMA So CAMADA PRoPRIO PARA MONTAGEM EM SUPERFÍCIE SMD 12pF 5por cento 50V NPO 0402 (ref.2020101420)</v>
      </c>
      <c r="G91" s="75"/>
      <c r="H91" s="75"/>
      <c r="I91" s="75"/>
      <c r="J91" s="75"/>
      <c r="K91" s="75"/>
      <c r="L91" s="76"/>
      <c r="M91" s="83">
        <v>230000</v>
      </c>
      <c r="N91" s="95">
        <f>VLOOKUP(C91,[2]Sheet1!$C:$F,4,0)</f>
        <v>2.3100000000000004E-3</v>
      </c>
      <c r="O91" s="63">
        <f t="shared" si="1"/>
        <v>531.30000000000007</v>
      </c>
      <c r="P91" s="64" t="s">
        <v>564</v>
      </c>
      <c r="Q91" s="70" t="s">
        <v>563</v>
      </c>
      <c r="R91" s="64" t="s">
        <v>66</v>
      </c>
      <c r="S91" s="64" t="s">
        <v>65</v>
      </c>
    </row>
    <row r="92" spans="1:19" s="49" customFormat="1" ht="17.5" customHeight="1">
      <c r="A92" s="136"/>
      <c r="B92" s="62">
        <v>74</v>
      </c>
      <c r="C92" s="77">
        <v>2020101520</v>
      </c>
      <c r="D92" s="80">
        <f>VLOOKUP(C92,[1]Database!$B:$E,4,0)</f>
        <v>85322310</v>
      </c>
      <c r="E92" s="62"/>
      <c r="F92" s="74" t="str">
        <f>VLOOKUP(C92,[1]Database!$B:$H,7,0)</f>
        <v>CAPACITOR (CONDENSDOR ELeTRICO FIXO) COM DIELeTRICO DE CERAMICA DE UMA So CAMADA PRoPRIO PARA MONTAGEM EM SUPERFÍCIE SMD 100pF 5por cento 50V NPO 0402 (ref.2020101520)</v>
      </c>
      <c r="G92" s="75"/>
      <c r="H92" s="75"/>
      <c r="I92" s="75"/>
      <c r="J92" s="75"/>
      <c r="K92" s="75"/>
      <c r="L92" s="76"/>
      <c r="M92" s="83">
        <v>2810000</v>
      </c>
      <c r="N92" s="95">
        <f>VLOOKUP(C92,[2]Sheet1!$C:$F,4,0)</f>
        <v>2.0474999999999998E-3</v>
      </c>
      <c r="O92" s="63">
        <f t="shared" si="1"/>
        <v>5753.4749999999995</v>
      </c>
      <c r="P92" s="64" t="s">
        <v>564</v>
      </c>
      <c r="Q92" s="70" t="s">
        <v>563</v>
      </c>
      <c r="R92" s="64" t="s">
        <v>66</v>
      </c>
      <c r="S92" s="64" t="s">
        <v>65</v>
      </c>
    </row>
    <row r="93" spans="1:19" s="49" customFormat="1" ht="17.5" customHeight="1">
      <c r="A93" s="136"/>
      <c r="B93" s="62">
        <v>75</v>
      </c>
      <c r="C93" s="77">
        <v>2020101610</v>
      </c>
      <c r="D93" s="80">
        <f>VLOOKUP(C93,[1]Database!$B:$E,4,0)</f>
        <v>85322410</v>
      </c>
      <c r="E93" s="62"/>
      <c r="F93" s="74" t="str">
        <f>VLOOKUP(C93,[1]Database!$B:$H,7,0)</f>
        <v>Capacitor (condensador eletrico fixo) com dieletrico de cerAmica, de camadas multiplas, proprios para montagem em superfície SMD; CapacitAncia 47pF; TensAo nominal 50.0Vdc; TolerAncia 5por cento; Encapsulamento 0402</v>
      </c>
      <c r="G93" s="75"/>
      <c r="H93" s="75"/>
      <c r="I93" s="75"/>
      <c r="J93" s="75"/>
      <c r="K93" s="75"/>
      <c r="L93" s="76"/>
      <c r="M93" s="83">
        <v>20000</v>
      </c>
      <c r="N93" s="95">
        <f>VLOOKUP(C93,[2]Sheet1!$C:$F,4,0)</f>
        <v>2.3100000000000004E-3</v>
      </c>
      <c r="O93" s="63">
        <f t="shared" si="1"/>
        <v>46.20000000000001</v>
      </c>
      <c r="P93" s="64" t="s">
        <v>564</v>
      </c>
      <c r="Q93" s="70" t="s">
        <v>563</v>
      </c>
      <c r="R93" s="64" t="s">
        <v>66</v>
      </c>
      <c r="S93" s="64" t="s">
        <v>65</v>
      </c>
    </row>
    <row r="94" spans="1:19" s="49" customFormat="1" ht="17.5" customHeight="1">
      <c r="A94" s="136"/>
      <c r="B94" s="62">
        <v>76</v>
      </c>
      <c r="C94" s="77">
        <v>2020101690</v>
      </c>
      <c r="D94" s="80">
        <f>VLOOKUP(C94,[1]Database!$B:$E,4,0)</f>
        <v>85322410</v>
      </c>
      <c r="E94" s="62"/>
      <c r="F94" s="74" t="str">
        <f>VLOOKUP(C94,[1]Database!$B:$H,7,0)</f>
        <v>CAPACITOR (CONDENSADOR ELeTRICO FIXO) COM DIELeTRICO DE CERAMICA, DE CAMADAS MuLTIPLAS, PRoPRIO PARA MONTAGEM EM SUPERFÍCIE SMD; CapacitAncia 220nF; TensAo nominal 10.0Vdc; TolerAncia 10por cento; Encapsulamento 0402</v>
      </c>
      <c r="G94" s="75"/>
      <c r="H94" s="75"/>
      <c r="I94" s="75"/>
      <c r="J94" s="75"/>
      <c r="K94" s="75"/>
      <c r="L94" s="76"/>
      <c r="M94" s="83">
        <v>80000</v>
      </c>
      <c r="N94" s="95">
        <f>VLOOKUP(C94,[2]Sheet1!$C:$F,4,0)</f>
        <v>7.980000000000001E-3</v>
      </c>
      <c r="O94" s="63">
        <f t="shared" si="1"/>
        <v>638.40000000000009</v>
      </c>
      <c r="P94" s="64" t="s">
        <v>564</v>
      </c>
      <c r="Q94" s="70" t="s">
        <v>563</v>
      </c>
      <c r="R94" s="64" t="s">
        <v>66</v>
      </c>
      <c r="S94" s="64" t="s">
        <v>65</v>
      </c>
    </row>
    <row r="95" spans="1:19" s="49" customFormat="1" ht="17.5" customHeight="1">
      <c r="A95" s="136"/>
      <c r="B95" s="62">
        <v>77</v>
      </c>
      <c r="C95" s="77">
        <v>2020101870</v>
      </c>
      <c r="D95" s="80">
        <f>VLOOKUP(C95,[1]Database!$B:$E,4,0)</f>
        <v>85322410</v>
      </c>
      <c r="E95" s="62"/>
      <c r="F95" s="74" t="str">
        <f>VLOOKUP(C95,[1]Database!$B:$H,7,0)</f>
        <v>CAPACITOR (CONDENSADOR ELeTRICO FIXO) COM DIELeTRICO DE CERAMICA, DE CAMADAS MuLTIPLAS, PRoPRIO PARA MONTAGEM EM SUPERFÍCIE SMD CERAMICO 51pF 5por cento NPO 50V 0402 SMD (2020101870)</v>
      </c>
      <c r="G95" s="75"/>
      <c r="H95" s="75"/>
      <c r="I95" s="75"/>
      <c r="J95" s="75"/>
      <c r="K95" s="75"/>
      <c r="L95" s="76"/>
      <c r="M95" s="83">
        <v>20000</v>
      </c>
      <c r="N95" s="95">
        <f>VLOOKUP(C95,[2]Sheet1!$C:$F,4,0)</f>
        <v>2.3100000000000004E-3</v>
      </c>
      <c r="O95" s="63">
        <f t="shared" si="1"/>
        <v>46.20000000000001</v>
      </c>
      <c r="P95" s="64" t="s">
        <v>564</v>
      </c>
      <c r="Q95" s="70" t="s">
        <v>563</v>
      </c>
      <c r="R95" s="64" t="s">
        <v>66</v>
      </c>
      <c r="S95" s="64" t="s">
        <v>65</v>
      </c>
    </row>
    <row r="96" spans="1:19" s="49" customFormat="1" ht="17.5" customHeight="1">
      <c r="A96" s="136"/>
      <c r="B96" s="62">
        <v>78</v>
      </c>
      <c r="C96" s="77">
        <v>2020101970</v>
      </c>
      <c r="D96" s="80">
        <f>VLOOKUP(C96,[1]Database!$B:$E,4,0)</f>
        <v>85322410</v>
      </c>
      <c r="E96" s="62"/>
      <c r="F96" s="74" t="str">
        <f>VLOOKUP(C96,[1]Database!$B:$H,7,0)</f>
        <v>Capacitor (condesador eletrico fixo) com dieletrico de cerAmica, de camadas multiplas, proprios para montagem em superfície SMD; CapacitAncia 470.0nF; TensAo nominal 10.0Vdc; TolerAncia 10por cento; Encapsulamento 0402</v>
      </c>
      <c r="G96" s="75"/>
      <c r="H96" s="75"/>
      <c r="I96" s="75"/>
      <c r="J96" s="75"/>
      <c r="K96" s="75"/>
      <c r="L96" s="76"/>
      <c r="M96" s="83">
        <v>10000</v>
      </c>
      <c r="N96" s="95">
        <f>VLOOKUP(C96,[2]Sheet1!$C:$F,4,0)</f>
        <v>5.4599999999999996E-3</v>
      </c>
      <c r="O96" s="63">
        <f t="shared" si="1"/>
        <v>54.599999999999994</v>
      </c>
      <c r="P96" s="64" t="s">
        <v>564</v>
      </c>
      <c r="Q96" s="70" t="s">
        <v>563</v>
      </c>
      <c r="R96" s="64" t="s">
        <v>66</v>
      </c>
      <c r="S96" s="64" t="s">
        <v>65</v>
      </c>
    </row>
    <row r="97" spans="1:19" s="49" customFormat="1" ht="17.5" customHeight="1">
      <c r="A97" s="136"/>
      <c r="B97" s="62">
        <v>79</v>
      </c>
      <c r="C97" s="99">
        <v>2020104970</v>
      </c>
      <c r="D97" s="80">
        <f>VLOOKUP(C97,[1]Database!$B:$E,4,0)</f>
        <v>85322410</v>
      </c>
      <c r="E97" s="62"/>
      <c r="F97" s="74" t="str">
        <f>VLOOKUP(C97,[1]Database!$B:$H,7,0)</f>
        <v>Capacitor (condensador eletrico fixo) com dieletrico de cerAmica, de camadas multiplas, proprios para montagem em superfície SMD; CapacitAncia 1uF; TensAo nominal 25Vdc; TolerAncia 10por cento; Encapsulamento 0402</v>
      </c>
      <c r="G97" s="75"/>
      <c r="H97" s="75"/>
      <c r="I97" s="75"/>
      <c r="J97" s="75"/>
      <c r="K97" s="75"/>
      <c r="L97" s="76"/>
      <c r="M97" s="83">
        <v>210000</v>
      </c>
      <c r="N97" s="95">
        <f>VLOOKUP(C97,[2]Sheet1!$C:$F,4,0)</f>
        <v>7.0350000000000005E-3</v>
      </c>
      <c r="O97" s="63">
        <f t="shared" si="1"/>
        <v>1477.3500000000001</v>
      </c>
      <c r="P97" s="64" t="s">
        <v>564</v>
      </c>
      <c r="Q97" s="70" t="s">
        <v>563</v>
      </c>
      <c r="R97" s="64" t="s">
        <v>66</v>
      </c>
      <c r="S97" s="64" t="s">
        <v>65</v>
      </c>
    </row>
    <row r="98" spans="1:19" s="49" customFormat="1" ht="17.5" customHeight="1">
      <c r="A98" s="136"/>
      <c r="B98" s="62">
        <v>80</v>
      </c>
      <c r="C98" s="77">
        <v>2020102040</v>
      </c>
      <c r="D98" s="80">
        <f>VLOOKUP(C98,[1]Database!$B:$E,4,0)</f>
        <v>85322310</v>
      </c>
      <c r="E98" s="62"/>
      <c r="F98" s="74" t="str">
        <f>VLOOKUP(C98,[1]Database!$B:$H,7,0)</f>
        <v>CAPACITOR (CONDENSDOR ELeTRICO FIXO) COM DIELeTRICO DE CERAMICA DE UMA So CAMADA PRoPRIO PARA MONTAGEM EM SUPERFÍCIE SMD 10nF 10por cento 50V X7R 0402 (ref.2020102040)</v>
      </c>
      <c r="G98" s="75"/>
      <c r="H98" s="75"/>
      <c r="I98" s="75"/>
      <c r="J98" s="75"/>
      <c r="K98" s="75"/>
      <c r="L98" s="76"/>
      <c r="M98" s="83">
        <v>110000</v>
      </c>
      <c r="N98" s="95">
        <f>VLOOKUP(C98,[2]Sheet1!$C:$F,4,0)</f>
        <v>2.2260000000000001E-3</v>
      </c>
      <c r="O98" s="63">
        <f t="shared" si="1"/>
        <v>244.86</v>
      </c>
      <c r="P98" s="64" t="s">
        <v>564</v>
      </c>
      <c r="Q98" s="70" t="s">
        <v>563</v>
      </c>
      <c r="R98" s="64" t="s">
        <v>66</v>
      </c>
      <c r="S98" s="64" t="s">
        <v>65</v>
      </c>
    </row>
    <row r="99" spans="1:19" s="49" customFormat="1" ht="17.5" customHeight="1">
      <c r="A99" s="136"/>
      <c r="B99" s="62">
        <v>81</v>
      </c>
      <c r="C99" s="77">
        <v>2020102060</v>
      </c>
      <c r="D99" s="80">
        <f>VLOOKUP(C99,[1]Database!$B:$E,4,0)</f>
        <v>85322310</v>
      </c>
      <c r="E99" s="62"/>
      <c r="F99" s="74" t="str">
        <f>VLOOKUP(C99,[1]Database!$B:$H,7,0)</f>
        <v>CAPACITOR (CONDENSDOR ELeTRICO FIXO) COM DIELeTRICO DE CERAMICA DE UMA So CAMADA PRoPRIO PARA MONTAGEM EM SUPERFÍCIE SMD 22pF 5por cento 50V NPO 0402 (ref.2020102060)</v>
      </c>
      <c r="G99" s="75"/>
      <c r="H99" s="75"/>
      <c r="I99" s="75"/>
      <c r="J99" s="75"/>
      <c r="K99" s="75"/>
      <c r="L99" s="76"/>
      <c r="M99" s="83">
        <v>120000</v>
      </c>
      <c r="N99" s="95">
        <f>VLOOKUP(C99,[2]Sheet1!$C:$F,4,0)</f>
        <v>2.3100000000000004E-3</v>
      </c>
      <c r="O99" s="63">
        <f t="shared" si="1"/>
        <v>277.20000000000005</v>
      </c>
      <c r="P99" s="64" t="s">
        <v>564</v>
      </c>
      <c r="Q99" s="70" t="s">
        <v>563</v>
      </c>
      <c r="R99" s="64" t="s">
        <v>66</v>
      </c>
      <c r="S99" s="64" t="s">
        <v>65</v>
      </c>
    </row>
    <row r="100" spans="1:19" s="49" customFormat="1" ht="17.5" customHeight="1">
      <c r="A100" s="136"/>
      <c r="B100" s="62">
        <v>82</v>
      </c>
      <c r="C100" s="77">
        <v>2020102150</v>
      </c>
      <c r="D100" s="80">
        <f>VLOOKUP(C100,[1]Database!$B:$E,4,0)</f>
        <v>85322310</v>
      </c>
      <c r="E100" s="62"/>
      <c r="F100" s="74" t="str">
        <f>VLOOKUP(C100,[1]Database!$B:$H,7,0)</f>
        <v>CAPACITOR (CONDENSDOR ELeTRICO FIXO) COM DIELeTRICO DE CERAMICA DE UMA So CAMADA PRoPRIO PARA MONTAGEM EM SUPERFÍCIE SMD 10uF 20por cento 10V X5R 0603 (ref.2020102150)</v>
      </c>
      <c r="G100" s="75"/>
      <c r="H100" s="75"/>
      <c r="I100" s="75"/>
      <c r="J100" s="75"/>
      <c r="K100" s="75"/>
      <c r="L100" s="76"/>
      <c r="M100" s="83">
        <v>660000</v>
      </c>
      <c r="N100" s="95">
        <f>VLOOKUP(C100,[2]Sheet1!$C:$F,4,0)</f>
        <v>1.4070000000000001E-2</v>
      </c>
      <c r="O100" s="63">
        <f t="shared" si="1"/>
        <v>9286.2000000000007</v>
      </c>
      <c r="P100" s="64" t="s">
        <v>564</v>
      </c>
      <c r="Q100" s="70" t="s">
        <v>563</v>
      </c>
      <c r="R100" s="64" t="s">
        <v>66</v>
      </c>
      <c r="S100" s="64" t="s">
        <v>65</v>
      </c>
    </row>
    <row r="101" spans="1:19" s="49" customFormat="1" ht="17.5" customHeight="1">
      <c r="A101" s="136"/>
      <c r="B101" s="62">
        <v>83</v>
      </c>
      <c r="C101" s="77">
        <v>2020102200</v>
      </c>
      <c r="D101" s="80">
        <f>VLOOKUP(C101,[1]Database!$B:$E,4,0)</f>
        <v>85322410</v>
      </c>
      <c r="E101" s="62"/>
      <c r="F101" s="74" t="str">
        <f>VLOOKUP(C101,[1]Database!$B:$H,7,0)</f>
        <v>CAPACITOR (CONDENSADOR ELeTRICO FIXO) COM DIELeTRICO DE CERAMICA, DE CAMADAS MuLTIPLAS, PRoPRIO PARA MONTAGEM EM SUPERFÍCIE SMD - 10uF 10por cento X5R 25V 0805  (2020102200)</v>
      </c>
      <c r="G101" s="75"/>
      <c r="H101" s="75"/>
      <c r="I101" s="75"/>
      <c r="J101" s="75"/>
      <c r="K101" s="75"/>
      <c r="L101" s="76"/>
      <c r="M101" s="83">
        <v>180000</v>
      </c>
      <c r="N101" s="95">
        <f>VLOOKUP(C101,[2]Sheet1!$C:$F,4,0)</f>
        <v>2.6565000000000002E-2</v>
      </c>
      <c r="O101" s="63">
        <f t="shared" si="1"/>
        <v>4781.7000000000007</v>
      </c>
      <c r="P101" s="64" t="s">
        <v>564</v>
      </c>
      <c r="Q101" s="70" t="s">
        <v>563</v>
      </c>
      <c r="R101" s="64" t="s">
        <v>66</v>
      </c>
      <c r="S101" s="64" t="s">
        <v>65</v>
      </c>
    </row>
    <row r="102" spans="1:19" s="49" customFormat="1" ht="17.5" customHeight="1">
      <c r="A102" s="136"/>
      <c r="B102" s="62">
        <v>84</v>
      </c>
      <c r="C102" s="82">
        <v>2020104920</v>
      </c>
      <c r="D102" s="80">
        <f>VLOOKUP(C102,[1]Database!$B:$E,4,0)</f>
        <v>85322410</v>
      </c>
      <c r="E102" s="81"/>
      <c r="F102" s="74" t="str">
        <f>VLOOKUP(C102,[1]Database!$B:$H,7,0)</f>
        <v>Capacitor  (CONDENSADOR ELeTRICO FIXO) Com dielétrico de cerâmica, de camadas múltiplas, próprios para montagem em superfície SMD; Capacitância 100.0nF; Tensão nominal 25Vdc; Tolerância 10%; Encapsulamento 0402</v>
      </c>
      <c r="G102" s="75"/>
      <c r="H102" s="75"/>
      <c r="I102" s="75"/>
      <c r="J102" s="75"/>
      <c r="K102" s="75"/>
      <c r="L102" s="76"/>
      <c r="M102" s="83">
        <v>2900000</v>
      </c>
      <c r="N102" s="95">
        <f>VLOOKUP(C102,[2]Sheet1!$C:$F,4,0)</f>
        <v>3.9900000000000005E-3</v>
      </c>
      <c r="O102" s="63">
        <f t="shared" si="1"/>
        <v>11571.000000000002</v>
      </c>
      <c r="P102" s="64" t="s">
        <v>564</v>
      </c>
      <c r="Q102" s="70" t="s">
        <v>563</v>
      </c>
      <c r="R102" s="64" t="s">
        <v>66</v>
      </c>
      <c r="S102" s="64" t="s">
        <v>65</v>
      </c>
    </row>
    <row r="103" spans="1:19" s="49" customFormat="1" ht="17.5" customHeight="1">
      <c r="A103" s="136"/>
      <c r="B103" s="62">
        <v>85</v>
      </c>
      <c r="C103" s="82">
        <v>2020104970</v>
      </c>
      <c r="D103" s="80">
        <f>VLOOKUP(C103,[1]Database!$B:$E,4,0)</f>
        <v>85322410</v>
      </c>
      <c r="E103" s="81"/>
      <c r="F103" s="74" t="str">
        <f>VLOOKUP(C103,[1]Database!$B:$H,7,0)</f>
        <v>Capacitor (condensador eletrico fixo) com dieletrico de cerAmica, de camadas multiplas, proprios para montagem em superfície SMD; CapacitAncia 1uF; TensAo nominal 25Vdc; TolerAncia 10por cento; Encapsulamento 0402</v>
      </c>
      <c r="G103" s="75"/>
      <c r="H103" s="75"/>
      <c r="I103" s="75"/>
      <c r="J103" s="75"/>
      <c r="K103" s="75"/>
      <c r="L103" s="76"/>
      <c r="M103" s="83">
        <v>620000</v>
      </c>
      <c r="N103" s="95">
        <f>VLOOKUP(C103,[2]Sheet1!$C:$F,4,0)</f>
        <v>7.0350000000000005E-3</v>
      </c>
      <c r="O103" s="63">
        <f t="shared" si="1"/>
        <v>4361.7000000000007</v>
      </c>
      <c r="P103" s="64" t="s">
        <v>564</v>
      </c>
      <c r="Q103" s="70" t="s">
        <v>563</v>
      </c>
      <c r="R103" s="64" t="s">
        <v>66</v>
      </c>
      <c r="S103" s="64" t="s">
        <v>65</v>
      </c>
    </row>
    <row r="104" spans="1:19" s="49" customFormat="1" ht="17.5" customHeight="1">
      <c r="A104" s="136"/>
      <c r="B104" s="62">
        <v>86</v>
      </c>
      <c r="C104" s="82">
        <v>2020302563</v>
      </c>
      <c r="D104" s="80">
        <f>VLOOKUP(C104,[1]Database!$B:$E,4,0)</f>
        <v>85322200</v>
      </c>
      <c r="E104" s="81"/>
      <c r="F104" s="74" t="str">
        <f>VLOOKUP(C104,[1]Database!$B:$H,7,0)</f>
        <v>CAPACITOR (CONDENSADOR ELeTRICO FIXO) ELETROLÍTICO DE ALUMÍNIO 470uF 25V 20por cento GH 10000h RAD-5mm/F10*12.5mm PTH (2020302563)</v>
      </c>
      <c r="G104" s="75"/>
      <c r="H104" s="75"/>
      <c r="I104" s="75"/>
      <c r="J104" s="75"/>
      <c r="K104" s="75"/>
      <c r="L104" s="76"/>
      <c r="M104" s="101">
        <v>264000</v>
      </c>
      <c r="N104" s="95">
        <f>VLOOKUP(C104,[2]Sheet1!$C:$F,4,0)</f>
        <v>0.15855</v>
      </c>
      <c r="O104" s="63">
        <f t="shared" si="1"/>
        <v>41857.199999999997</v>
      </c>
      <c r="P104" s="64" t="s">
        <v>564</v>
      </c>
      <c r="Q104" s="70" t="s">
        <v>563</v>
      </c>
      <c r="R104" s="64" t="s">
        <v>66</v>
      </c>
      <c r="S104" s="64" t="s">
        <v>65</v>
      </c>
    </row>
    <row r="105" spans="1:19" s="49" customFormat="1" ht="17.5" customHeight="1">
      <c r="A105" s="136"/>
      <c r="B105" s="62">
        <v>87</v>
      </c>
      <c r="C105" s="82">
        <v>2020300722</v>
      </c>
      <c r="D105" s="80">
        <f>VLOOKUP(C105,[1]Database!$B:$E,4,0)</f>
        <v>85322200</v>
      </c>
      <c r="E105" s="81"/>
      <c r="F105" s="74" t="str">
        <f>VLOOKUP(C105,[1]Database!$B:$H,7,0)</f>
        <v>CAPACITOR (CONDENSADOR ELeTRICO FIXO) ELETROLITICO  DE ALUMÍNIO  220uF 20por cento 25V GH 5000h RAD-2.5mm/6.3*11mm PTH (2020300722)</v>
      </c>
      <c r="G105" s="75"/>
      <c r="H105" s="75"/>
      <c r="I105" s="75"/>
      <c r="J105" s="75"/>
      <c r="K105" s="75"/>
      <c r="L105" s="76"/>
      <c r="M105" s="83">
        <v>234000</v>
      </c>
      <c r="N105" s="95">
        <f>VLOOKUP(C105,[2]Sheet1!$C:$F,4,0)</f>
        <v>9.2399999999999996E-2</v>
      </c>
      <c r="O105" s="63">
        <f t="shared" si="1"/>
        <v>21621.599999999999</v>
      </c>
      <c r="P105" s="64" t="s">
        <v>564</v>
      </c>
      <c r="Q105" s="70" t="s">
        <v>563</v>
      </c>
      <c r="R105" s="64" t="s">
        <v>66</v>
      </c>
      <c r="S105" s="64" t="s">
        <v>65</v>
      </c>
    </row>
    <row r="106" spans="1:19" s="49" customFormat="1" ht="17.5" customHeight="1">
      <c r="A106" s="136"/>
      <c r="B106" s="62">
        <v>88</v>
      </c>
      <c r="C106" s="82">
        <v>2020303211</v>
      </c>
      <c r="D106" s="80">
        <f>VLOOKUP(C106,[1]Database!$B:$E,4,0)</f>
        <v>85322200</v>
      </c>
      <c r="E106" s="81"/>
      <c r="F106" s="74" t="str">
        <f>VLOOKUP(C106,[1]Database!$B:$H,7,0)</f>
        <v>CAPACITOR (CONDENSADOR ELETRICO FIXO) ELETROLITICO DE ALUMINIO PARA MONTAGEM PTH; CAPACITENCIA 22UF; TENSÃO NOMINAL 400VDC; TOLERANCIA 20%; TERMINAL RADIAL; DIAMETRO 5MM; COMPRIMENTO 20MM</v>
      </c>
      <c r="G106" s="75"/>
      <c r="H106" s="75"/>
      <c r="I106" s="75"/>
      <c r="J106" s="75"/>
      <c r="K106" s="75"/>
      <c r="L106" s="76"/>
      <c r="M106" s="101">
        <v>77600</v>
      </c>
      <c r="N106" s="95">
        <f>VLOOKUP(C106,[2]Sheet1!$C:$F,4,0)</f>
        <v>0.72555000000000003</v>
      </c>
      <c r="O106" s="63">
        <f t="shared" si="1"/>
        <v>56302.68</v>
      </c>
      <c r="P106" s="64" t="s">
        <v>564</v>
      </c>
      <c r="Q106" s="70" t="s">
        <v>563</v>
      </c>
      <c r="R106" s="64" t="s">
        <v>66</v>
      </c>
      <c r="S106" s="64" t="s">
        <v>65</v>
      </c>
    </row>
    <row r="107" spans="1:19" s="49" customFormat="1" ht="17.5" customHeight="1">
      <c r="A107" s="136"/>
      <c r="B107" s="62">
        <v>89</v>
      </c>
      <c r="C107" s="82">
        <v>2020302772</v>
      </c>
      <c r="D107" s="80">
        <f>VLOOKUP(C107,[1]Database!$B:$E,4,0)</f>
        <v>85322200</v>
      </c>
      <c r="E107" s="81"/>
      <c r="F107" s="74" t="str">
        <f>VLOOKUP(C107,[1]Database!$B:$H,7,0)</f>
        <v>Capacitor (condensador eletrico fixo) eletrolítico de alumínio para montagem PTH; CapacitAncia 220uF; TensAo nominal 35Vdc; TolerAncia 20por cento; Terminal radial; DiAmetro 3,5mm; Comprimento 12mm</v>
      </c>
      <c r="G107" s="75"/>
      <c r="H107" s="75"/>
      <c r="I107" s="75"/>
      <c r="J107" s="75"/>
      <c r="K107" s="75"/>
      <c r="L107" s="76"/>
      <c r="M107" s="83">
        <v>9500</v>
      </c>
      <c r="N107" s="95">
        <f>VLOOKUP(C107,[2]Sheet1!$C:$F,4,0)</f>
        <v>0.12495000000000001</v>
      </c>
      <c r="O107" s="63">
        <f t="shared" si="1"/>
        <v>1187.0250000000001</v>
      </c>
      <c r="P107" s="64" t="s">
        <v>564</v>
      </c>
      <c r="Q107" s="70" t="s">
        <v>563</v>
      </c>
      <c r="R107" s="64" t="s">
        <v>66</v>
      </c>
      <c r="S107" s="64" t="s">
        <v>65</v>
      </c>
    </row>
    <row r="108" spans="1:19" s="49" customFormat="1" ht="17.5" customHeight="1">
      <c r="A108" s="136"/>
      <c r="B108" s="62">
        <v>90</v>
      </c>
      <c r="C108" s="82">
        <v>2020300033</v>
      </c>
      <c r="D108" s="80">
        <f>VLOOKUP(C108,[1]Database!$B:$E,4,0)</f>
        <v>85322200</v>
      </c>
      <c r="E108" s="81"/>
      <c r="F108" s="74" t="str">
        <f>VLOOKUP(C108,[1]Database!$B:$H,7,0)</f>
        <v>CAPACITOR (CONDENSADOR ELeTRICO FIXO) ELETROLÍTICO  DE ALUMÍNIO  10uF 50V 20por cento GH 5000h RAD-2mm/F5*11mm PTH (2020300033)</v>
      </c>
      <c r="G108" s="75"/>
      <c r="H108" s="75"/>
      <c r="I108" s="75"/>
      <c r="J108" s="75"/>
      <c r="K108" s="75"/>
      <c r="L108" s="76"/>
      <c r="M108" s="83">
        <v>40000</v>
      </c>
      <c r="N108" s="95">
        <f>VLOOKUP(C108,[2]Sheet1!$C:$F,4,0)</f>
        <v>5.1450000000000003E-2</v>
      </c>
      <c r="O108" s="63">
        <f t="shared" si="1"/>
        <v>2058</v>
      </c>
      <c r="P108" s="64" t="s">
        <v>564</v>
      </c>
      <c r="Q108" s="70" t="s">
        <v>563</v>
      </c>
      <c r="R108" s="64" t="s">
        <v>66</v>
      </c>
      <c r="S108" s="64" t="s">
        <v>65</v>
      </c>
    </row>
    <row r="109" spans="1:19" s="49" customFormat="1" ht="17.5" customHeight="1">
      <c r="A109" s="136"/>
      <c r="B109" s="62">
        <v>91</v>
      </c>
      <c r="C109" s="82">
        <v>2020301005</v>
      </c>
      <c r="D109" s="80">
        <f>VLOOKUP(C109,[1]Database!$B:$E,4,0)</f>
        <v>85322200</v>
      </c>
      <c r="E109" s="81"/>
      <c r="F109" s="74" t="str">
        <f>VLOOKUP(C109,[1]Database!$B:$H,7,0)</f>
        <v>CAPACITOR (CONDENSADOR ELeTRICO FIXO) ELETROLÍTICO DE ALUMÍNIO 1000uF 20por cento 25V GH 7000h RAD-5mm/p10*20mm PTH (2020301005)</v>
      </c>
      <c r="G109" s="75"/>
      <c r="H109" s="75"/>
      <c r="I109" s="75"/>
      <c r="J109" s="75"/>
      <c r="K109" s="75"/>
      <c r="L109" s="76"/>
      <c r="M109" s="83">
        <v>229200</v>
      </c>
      <c r="N109" s="95">
        <f>VLOOKUP(C109,[2]Sheet1!$C:$F,4,0)</f>
        <v>0.29924999999999996</v>
      </c>
      <c r="O109" s="63">
        <f t="shared" si="1"/>
        <v>68588.099999999991</v>
      </c>
      <c r="P109" s="64" t="s">
        <v>564</v>
      </c>
      <c r="Q109" s="70" t="s">
        <v>563</v>
      </c>
      <c r="R109" s="64" t="s">
        <v>66</v>
      </c>
      <c r="S109" s="64" t="s">
        <v>65</v>
      </c>
    </row>
    <row r="110" spans="1:19" s="49" customFormat="1" ht="17.5" customHeight="1">
      <c r="A110" s="136"/>
      <c r="B110" s="62">
        <v>92</v>
      </c>
      <c r="C110" s="82">
        <v>2020302542</v>
      </c>
      <c r="D110" s="80">
        <f>VLOOKUP(C110,[1]Database!$B:$E,4,0)</f>
        <v>85322200</v>
      </c>
      <c r="E110" s="81"/>
      <c r="F110" s="74" t="str">
        <f>VLOOKUP(C110,[1]Database!$B:$H,7,0)</f>
        <v>Capacitor (condensador eletrico) fixo 10.0uF 20por cento 400V  RAD-5mm com dimensoes de 10*16mm, para montagem por insercAo (PTH),  eletrolítico de alumínio (2020302542)</v>
      </c>
      <c r="G110" s="75"/>
      <c r="H110" s="75"/>
      <c r="I110" s="75"/>
      <c r="J110" s="75"/>
      <c r="K110" s="75"/>
      <c r="L110" s="76"/>
      <c r="M110" s="101">
        <v>26000</v>
      </c>
      <c r="N110" s="95">
        <f>VLOOKUP(C110,[2]Sheet1!$C:$F,4,0)</f>
        <v>0.49349999999999999</v>
      </c>
      <c r="O110" s="63">
        <f t="shared" si="1"/>
        <v>12831</v>
      </c>
      <c r="P110" s="64" t="s">
        <v>564</v>
      </c>
      <c r="Q110" s="70" t="s">
        <v>563</v>
      </c>
      <c r="R110" s="64" t="s">
        <v>66</v>
      </c>
      <c r="S110" s="64" t="s">
        <v>65</v>
      </c>
    </row>
    <row r="111" spans="1:19" s="49" customFormat="1" ht="17.5" customHeight="1">
      <c r="A111" s="136"/>
      <c r="B111" s="62">
        <v>93</v>
      </c>
      <c r="C111" s="82">
        <v>2020500463</v>
      </c>
      <c r="D111" s="80">
        <f>VLOOKUP(C111,[1]Database!$B:$E,4,0)</f>
        <v>85322420</v>
      </c>
      <c r="E111" s="81"/>
      <c r="F111" s="74" t="str">
        <f>VLOOKUP(C111,[1]Database!$B:$H,7,0)</f>
        <v>CAPACITOR (CONDENSADOR ELeTRICO FIXO) COM DIELeTRICO DE CERAMICA, DE MuLTIPLAS CAMADAS, PRoPRIOS PARA MONTAGEM POR INSERcAO PTH 0.47uF 10por cento 330V RAD-22.5mm/26.5*18*9mm  (2020500463)</v>
      </c>
      <c r="G111" s="75"/>
      <c r="H111" s="75"/>
      <c r="I111" s="75"/>
      <c r="J111" s="75"/>
      <c r="K111" s="75"/>
      <c r="L111" s="76"/>
      <c r="M111" s="83">
        <v>136800</v>
      </c>
      <c r="N111" s="95">
        <f>VLOOKUP(C111,[2]Sheet1!$C:$F,4,0)</f>
        <v>0.44304749999999998</v>
      </c>
      <c r="O111" s="63">
        <f t="shared" si="1"/>
        <v>60608.898000000001</v>
      </c>
      <c r="P111" s="64" t="s">
        <v>564</v>
      </c>
      <c r="Q111" s="70" t="s">
        <v>563</v>
      </c>
      <c r="R111" s="64" t="s">
        <v>66</v>
      </c>
      <c r="S111" s="64" t="s">
        <v>65</v>
      </c>
    </row>
    <row r="112" spans="1:19" s="49" customFormat="1" ht="17.5" customHeight="1">
      <c r="A112" s="136"/>
      <c r="B112" s="62">
        <v>94</v>
      </c>
      <c r="C112" s="82">
        <v>2020500672</v>
      </c>
      <c r="D112" s="80">
        <f>VLOOKUP(C112,[1]Database!$B:$E,4,0)</f>
        <v>85322590</v>
      </c>
      <c r="E112" s="81"/>
      <c r="F112" s="74" t="str">
        <f>VLOOKUP(C112,[1]Database!$B:$H,7,0)</f>
        <v>CAPACITOR (CONDENSADOR ELeTRICO FIXO), COM DIELeTRICO DE PLaSTICO (FILME), METALIZADO, PRoPRIO PARA MONTAGEM EM SUPERFÍCIE PTH 100nF 10por cento 330V RAD-15mm/18*6*12mm (Ref.2020500672)</v>
      </c>
      <c r="G112" s="75"/>
      <c r="H112" s="75"/>
      <c r="I112" s="75"/>
      <c r="J112" s="75"/>
      <c r="K112" s="75"/>
      <c r="L112" s="76"/>
      <c r="M112" s="83">
        <v>42600</v>
      </c>
      <c r="N112" s="95">
        <f>VLOOKUP(C112,[2]Sheet1!$C:$F,4,0)</f>
        <v>0.11529</v>
      </c>
      <c r="O112" s="63">
        <f t="shared" si="1"/>
        <v>4911.3540000000003</v>
      </c>
      <c r="P112" s="64" t="s">
        <v>564</v>
      </c>
      <c r="Q112" s="70" t="s">
        <v>563</v>
      </c>
      <c r="R112" s="64" t="s">
        <v>66</v>
      </c>
      <c r="S112" s="64" t="s">
        <v>65</v>
      </c>
    </row>
    <row r="113" spans="1:19" s="49" customFormat="1" ht="17.5" customHeight="1">
      <c r="A113" s="136"/>
      <c r="B113" s="62">
        <v>95</v>
      </c>
      <c r="C113" s="100">
        <v>2020701470</v>
      </c>
      <c r="D113" s="80">
        <f>VLOOKUP(C113,[1]Database!$B:$E,4,0)</f>
        <v>85322420</v>
      </c>
      <c r="E113" s="81"/>
      <c r="F113" s="74" t="str">
        <f>VLOOKUP(C113,[1]Database!$B:$H,7,0)</f>
        <v>CAPACITOR ELÉTRICO FIXO, DIELÉTRICO CERÂMICO MULTICAMADAS, PRÓPRIO PARA MONTAGEM POR INSERÇÃO (PTH); CAPACITÂNCIA 2.2NF, TOLERÂNCIA 20%, TENSÃO NOMINAL 300V</v>
      </c>
      <c r="G113" s="75"/>
      <c r="H113" s="75"/>
      <c r="I113" s="75"/>
      <c r="J113" s="75"/>
      <c r="K113" s="75"/>
      <c r="L113" s="76"/>
      <c r="M113" s="83">
        <v>56000</v>
      </c>
      <c r="N113" s="95">
        <f>VLOOKUP(C113,[2]Sheet1!$C:$F,4,0)</f>
        <v>8.5575000000000012E-2</v>
      </c>
      <c r="O113" s="63">
        <f t="shared" si="1"/>
        <v>4792.2000000000007</v>
      </c>
      <c r="P113" s="64" t="s">
        <v>564</v>
      </c>
      <c r="Q113" s="70" t="s">
        <v>563</v>
      </c>
      <c r="R113" s="64" t="s">
        <v>66</v>
      </c>
      <c r="S113" s="64" t="s">
        <v>65</v>
      </c>
    </row>
    <row r="114" spans="1:19" s="49" customFormat="1" ht="17.5" customHeight="1">
      <c r="A114" s="136"/>
      <c r="B114" s="62">
        <v>96</v>
      </c>
      <c r="C114" s="82">
        <v>2030100473</v>
      </c>
      <c r="D114" s="80">
        <f>VLOOKUP(C114,[1]Database!$B:$E,4,0)</f>
        <v>85045010</v>
      </c>
      <c r="E114" s="81"/>
      <c r="F114" s="74" t="str">
        <f>VLOOKUP(C114,[1]Database!$B:$H,7,0)</f>
        <v>Bobina de auto-inducAo (indutor) de chip, de largura 5 mm e comprimento 5 mm, e altura 0,2 mm, para montagem em superfície SMD, indutAncia 2,2uH, tolerAncia de 30por cento, 100kHz de frequencia, corrente maxima 2,9A.</v>
      </c>
      <c r="G114" s="75"/>
      <c r="H114" s="75"/>
      <c r="I114" s="75"/>
      <c r="J114" s="75"/>
      <c r="K114" s="75"/>
      <c r="L114" s="76"/>
      <c r="M114" s="83">
        <v>30000</v>
      </c>
      <c r="N114" s="95">
        <f>VLOOKUP(C114,[2]Sheet1!$C:$F,4,0)</f>
        <v>0.13009500000000002</v>
      </c>
      <c r="O114" s="63">
        <f t="shared" si="1"/>
        <v>3902.8500000000004</v>
      </c>
      <c r="P114" s="64" t="s">
        <v>564</v>
      </c>
      <c r="Q114" s="70" t="s">
        <v>563</v>
      </c>
      <c r="R114" s="64" t="s">
        <v>66</v>
      </c>
      <c r="S114" s="64" t="s">
        <v>65</v>
      </c>
    </row>
    <row r="115" spans="1:19" s="49" customFormat="1" ht="17.5" customHeight="1">
      <c r="A115" s="136"/>
      <c r="B115" s="62">
        <v>97</v>
      </c>
      <c r="C115" s="82">
        <v>2030100631</v>
      </c>
      <c r="D115" s="80">
        <f>VLOOKUP(C115,[1]Database!$B:$E,4,0)</f>
        <v>85045010</v>
      </c>
      <c r="E115" s="81"/>
      <c r="F115" s="74" t="str">
        <f>VLOOKUP(C115,[1]Database!$B:$H,7,0)</f>
        <v>Bobina de autoinducao (indutor) 4.7µH, de largura 3mm e comprimento 3mm, e altura 1.5mm,  para montagem em superfície (SMD), de frequencia de 1MHz, intensidade de corrente de 1.36A, 0.17Ω.</v>
      </c>
      <c r="G115" s="75"/>
      <c r="H115" s="75"/>
      <c r="I115" s="75"/>
      <c r="J115" s="75"/>
      <c r="K115" s="75"/>
      <c r="L115" s="76"/>
      <c r="M115" s="83">
        <v>154000</v>
      </c>
      <c r="N115" s="95">
        <f>VLOOKUP(C115,[2]Sheet1!$C:$F,4,0)</f>
        <v>8.8977000000000001E-2</v>
      </c>
      <c r="O115" s="63">
        <f t="shared" si="1"/>
        <v>13702.458000000001</v>
      </c>
      <c r="P115" s="64" t="s">
        <v>564</v>
      </c>
      <c r="Q115" s="70" t="s">
        <v>563</v>
      </c>
      <c r="R115" s="64" t="s">
        <v>66</v>
      </c>
      <c r="S115" s="64" t="s">
        <v>65</v>
      </c>
    </row>
    <row r="116" spans="1:19" s="49" customFormat="1" ht="17.5" customHeight="1">
      <c r="A116" s="136"/>
      <c r="B116" s="62">
        <v>98</v>
      </c>
      <c r="C116" s="82">
        <v>2030300073</v>
      </c>
      <c r="D116" s="80">
        <f>VLOOKUP(C116,[1]Database!$B:$E,4,0)</f>
        <v>85045010</v>
      </c>
      <c r="E116" s="81"/>
      <c r="F116" s="74" t="str">
        <f>VLOOKUP(C116,[1]Database!$B:$H,7,0)</f>
        <v>BOBINA DE AUTO-INDUcAO (INDUTOR) PJ0080-U9.8-1 15-40mH 0por cento 18*18*8mm para montagem PTH (Pin Through Hole) -  (2030300073)</v>
      </c>
      <c r="G116" s="75"/>
      <c r="H116" s="75"/>
      <c r="I116" s="75"/>
      <c r="J116" s="75"/>
      <c r="K116" s="75"/>
      <c r="L116" s="76"/>
      <c r="M116" s="83">
        <v>36720</v>
      </c>
      <c r="N116" s="95">
        <f>VLOOKUP(C116,[2]Sheet1!$C:$F,4,0)</f>
        <v>0.41475000000000006</v>
      </c>
      <c r="O116" s="63">
        <f t="shared" si="1"/>
        <v>15229.620000000003</v>
      </c>
      <c r="P116" s="64" t="s">
        <v>564</v>
      </c>
      <c r="Q116" s="70" t="s">
        <v>563</v>
      </c>
      <c r="R116" s="64" t="s">
        <v>66</v>
      </c>
      <c r="S116" s="64" t="s">
        <v>65</v>
      </c>
    </row>
    <row r="117" spans="1:19" s="49" customFormat="1" ht="17.5" customHeight="1">
      <c r="A117" s="136"/>
      <c r="B117" s="62">
        <v>99</v>
      </c>
      <c r="C117" s="82">
        <v>2030900011</v>
      </c>
      <c r="D117" s="80">
        <f>VLOOKUP(C117,[1]Database!$B:$E,4,0)</f>
        <v>85045010</v>
      </c>
      <c r="E117" s="81"/>
      <c r="F117" s="74" t="str">
        <f>VLOOKUP(C117,[1]Database!$B:$H,7,0)</f>
        <v xml:space="preserve">BOBINA DE AUTO-INDUcAO (INDUTOR) 600R, 0.2R, 1000mA 0603 para montagem SMD (Surface Mounted Device) - (REF. I03177 - ref.2030900011) </v>
      </c>
      <c r="G117" s="75"/>
      <c r="H117" s="75"/>
      <c r="I117" s="75"/>
      <c r="J117" s="75"/>
      <c r="K117" s="75"/>
      <c r="L117" s="76"/>
      <c r="M117" s="83">
        <v>356000</v>
      </c>
      <c r="N117" s="95">
        <f>VLOOKUP(C117,[2]Sheet1!$C:$F,4,0)</f>
        <v>1.0500000000000001E-2</v>
      </c>
      <c r="O117" s="63">
        <f t="shared" si="1"/>
        <v>3738.0000000000005</v>
      </c>
      <c r="P117" s="64" t="s">
        <v>564</v>
      </c>
      <c r="Q117" s="70" t="s">
        <v>563</v>
      </c>
      <c r="R117" s="64" t="s">
        <v>66</v>
      </c>
      <c r="S117" s="64" t="s">
        <v>65</v>
      </c>
    </row>
    <row r="118" spans="1:19" s="49" customFormat="1" ht="17.5" customHeight="1">
      <c r="A118" s="136"/>
      <c r="B118" s="62">
        <v>100</v>
      </c>
      <c r="C118" s="82">
        <v>2040301013</v>
      </c>
      <c r="D118" s="80">
        <f>VLOOKUP(C118,[1]Database!$B:$E,4,0)</f>
        <v>85423939</v>
      </c>
      <c r="E118" s="81"/>
      <c r="F118" s="74" t="str">
        <f>VLOOKUP(C118,[1]Database!$B:$H,7,0)</f>
        <v>Circuito integrado eletronico tipo opto-acoplador, montado, proprio para montagem em superfície SMD - 50mA;300~450lf=5mAVce=5V/200~400lf=2mAVce=5V;80V;1.4V;5000V SO4 (2040301013)</v>
      </c>
      <c r="G118" s="75"/>
      <c r="H118" s="75"/>
      <c r="I118" s="75"/>
      <c r="J118" s="75"/>
      <c r="K118" s="75"/>
      <c r="L118" s="76"/>
      <c r="M118" s="83">
        <v>1728000</v>
      </c>
      <c r="N118" s="95">
        <f>VLOOKUP(C118,[2]Sheet1!$C:$F,4,0)</f>
        <v>0.17188499999999998</v>
      </c>
      <c r="O118" s="63">
        <f t="shared" si="1"/>
        <v>297017.27999999997</v>
      </c>
      <c r="P118" s="64" t="s">
        <v>564</v>
      </c>
      <c r="Q118" s="70" t="s">
        <v>563</v>
      </c>
      <c r="R118" s="64" t="s">
        <v>66</v>
      </c>
      <c r="S118" s="64" t="s">
        <v>65</v>
      </c>
    </row>
    <row r="119" spans="1:19" s="49" customFormat="1" ht="17.5" customHeight="1">
      <c r="A119" s="136"/>
      <c r="B119" s="62">
        <v>101</v>
      </c>
      <c r="C119" s="82">
        <v>2040400161</v>
      </c>
      <c r="D119" s="80">
        <f>VLOOKUP(C119,[1]Database!$B:$E,4,0)</f>
        <v>85414111</v>
      </c>
      <c r="E119" s="81"/>
      <c r="F119" s="74" t="str">
        <f>VLOOKUP(C119,[1]Database!$B:$H,7,0)</f>
        <v>DIODO EMISSOR DE LUZ (LED) NAO MONTADO DE INTENSIDADE DE CORRENTE 0,01A F5 1.35V 940nm 8.5±0.5mm PTH (REF. A01849-A) (2040400161)</v>
      </c>
      <c r="G119" s="75"/>
      <c r="H119" s="75"/>
      <c r="I119" s="75"/>
      <c r="J119" s="75"/>
      <c r="K119" s="75"/>
      <c r="L119" s="76"/>
      <c r="M119" s="83">
        <v>53200</v>
      </c>
      <c r="N119" s="95">
        <f>VLOOKUP(C119,[2]Sheet1!$C:$F,4,0)</f>
        <v>0.24150000000000002</v>
      </c>
      <c r="O119" s="63">
        <f t="shared" si="1"/>
        <v>12847.800000000001</v>
      </c>
      <c r="P119" s="64" t="s">
        <v>564</v>
      </c>
      <c r="Q119" s="70" t="s">
        <v>563</v>
      </c>
      <c r="R119" s="64" t="s">
        <v>66</v>
      </c>
      <c r="S119" s="64" t="s">
        <v>65</v>
      </c>
    </row>
    <row r="120" spans="1:19" s="49" customFormat="1" ht="17.5" customHeight="1">
      <c r="A120" s="136"/>
      <c r="B120" s="62">
        <v>102</v>
      </c>
      <c r="C120" s="82">
        <v>2040500074</v>
      </c>
      <c r="D120" s="80">
        <f>VLOOKUP(C120,[1]Database!$B:$E,4,0)</f>
        <v>85414290</v>
      </c>
      <c r="E120" s="81"/>
      <c r="F120" s="74" t="str">
        <f>VLOOKUP(C120,[1]Database!$B:$H,7,0)</f>
        <v>DISPOSITIVO FOTOSSENSÍVEL SEMICONDUTOR TIPO FOTOTRANSISTOR (CeLULA FOTOVOLTAICA) NAO MONTADA EM MoDULO OU PAINEL F5 940 42uA 10uA 0.5-1.3V PTH (2040500074)</v>
      </c>
      <c r="G120" s="75"/>
      <c r="H120" s="75"/>
      <c r="I120" s="75"/>
      <c r="J120" s="75"/>
      <c r="K120" s="75"/>
      <c r="L120" s="76"/>
      <c r="M120" s="83">
        <v>88000</v>
      </c>
      <c r="N120" s="95">
        <f>VLOOKUP(C120,[2]Sheet1!$C:$F,4,0)</f>
        <v>0.126</v>
      </c>
      <c r="O120" s="63">
        <f t="shared" si="1"/>
        <v>11088</v>
      </c>
      <c r="P120" s="64" t="s">
        <v>564</v>
      </c>
      <c r="Q120" s="70" t="s">
        <v>563</v>
      </c>
      <c r="R120" s="64" t="s">
        <v>66</v>
      </c>
      <c r="S120" s="64" t="s">
        <v>65</v>
      </c>
    </row>
    <row r="121" spans="1:19" s="49" customFormat="1" ht="17.5" customHeight="1">
      <c r="A121" s="136"/>
      <c r="B121" s="62">
        <v>103</v>
      </c>
      <c r="C121" s="82">
        <v>2041100271</v>
      </c>
      <c r="D121" s="80">
        <f>VLOOKUP(C121,[1]Database!$B:$E,4,0)</f>
        <v>85414111</v>
      </c>
      <c r="E121" s="81"/>
      <c r="F121" s="74" t="str">
        <f>VLOOKUP(C121,[1]Database!$B:$H,7,0)</f>
        <v>DIODO EMISSOR DE LUZ (LED), NAO MONTADO - 54MCD (2041100271)</v>
      </c>
      <c r="G121" s="75"/>
      <c r="H121" s="75"/>
      <c r="I121" s="75"/>
      <c r="J121" s="75"/>
      <c r="K121" s="75"/>
      <c r="L121" s="76"/>
      <c r="M121" s="83">
        <v>200000</v>
      </c>
      <c r="N121" s="95">
        <f>VLOOKUP(C121,[2]Sheet1!$C:$F,4,0)</f>
        <v>2.6250000000000002E-2</v>
      </c>
      <c r="O121" s="63">
        <f t="shared" si="1"/>
        <v>5250.0000000000009</v>
      </c>
      <c r="P121" s="64" t="s">
        <v>564</v>
      </c>
      <c r="Q121" s="70" t="s">
        <v>563</v>
      </c>
      <c r="R121" s="64" t="s">
        <v>66</v>
      </c>
      <c r="S121" s="64" t="s">
        <v>65</v>
      </c>
    </row>
    <row r="122" spans="1:19" s="49" customFormat="1" ht="17.5" customHeight="1">
      <c r="A122" s="136"/>
      <c r="B122" s="62">
        <v>104</v>
      </c>
      <c r="C122" s="82">
        <v>2041100393</v>
      </c>
      <c r="D122" s="80">
        <f>VLOOKUP(C122,[1]Database!$B:$E,4,0)</f>
        <v>85414111</v>
      </c>
      <c r="E122" s="81"/>
      <c r="F122" s="74" t="str">
        <f>VLOOKUP(C122,[1]Database!$B:$H,7,0)</f>
        <v>DIODO EMISSOR DE LUZ (LED) NAO MONTADO BRANCO 45mcd 1.8V 30mA 3.2*1.2*0.8mm (2041100393) SMD</v>
      </c>
      <c r="G122" s="75"/>
      <c r="H122" s="75"/>
      <c r="I122" s="75"/>
      <c r="J122" s="75"/>
      <c r="K122" s="75"/>
      <c r="L122" s="76"/>
      <c r="M122" s="83">
        <v>528000</v>
      </c>
      <c r="N122" s="95">
        <f>VLOOKUP(C122,[2]Sheet1!$C:$F,4,0)</f>
        <v>5.7750000000000003E-2</v>
      </c>
      <c r="O122" s="63">
        <f t="shared" si="1"/>
        <v>30492</v>
      </c>
      <c r="P122" s="64" t="s">
        <v>564</v>
      </c>
      <c r="Q122" s="70" t="s">
        <v>563</v>
      </c>
      <c r="R122" s="64" t="s">
        <v>66</v>
      </c>
      <c r="S122" s="64" t="s">
        <v>65</v>
      </c>
    </row>
    <row r="123" spans="1:19" s="49" customFormat="1" ht="17.5" customHeight="1">
      <c r="A123" s="136"/>
      <c r="B123" s="62">
        <v>105</v>
      </c>
      <c r="C123" s="82">
        <v>2050100831</v>
      </c>
      <c r="D123" s="80">
        <f>VLOOKUP(C123,[1]Database!$B:$E,4,0)</f>
        <v>85423120</v>
      </c>
      <c r="E123" s="81"/>
      <c r="F123" s="74" t="str">
        <f>VLOOKUP(C123,[1]Database!$B:$H,7,0)</f>
        <v>CIRCUITO INTEGRADO ELETRoNICO MICROPROCESSADOR TIPO MICROCONTROLADOR, MONTADO, PRoPRIO PARA MONTAGEM EM SUPERFÍCIE SMD, MODELO DE PROCESSADOR DE 8 BITS, FREQUeNCIA DE CLOCK 8MHz  COMBINADO COM MEMoRIAS DE 3kB E 64kB, ENCAPSULAMENTO MONTADO LQFP48, RANGE DE TENSAO 2.2~3.8V  proprios para montagem em superfície (SMD - Surface Mounted Device) ( ref.2050100831)</v>
      </c>
      <c r="G123" s="75"/>
      <c r="H123" s="75"/>
      <c r="I123" s="75"/>
      <c r="J123" s="75"/>
      <c r="K123" s="75"/>
      <c r="L123" s="76"/>
      <c r="M123" s="83">
        <v>147500</v>
      </c>
      <c r="N123" s="95">
        <f>VLOOKUP(C123,[2]Sheet1!$C:$F,4,0)</f>
        <v>2.983155</v>
      </c>
      <c r="O123" s="63">
        <f t="shared" si="1"/>
        <v>440015.36249999999</v>
      </c>
      <c r="P123" s="64" t="s">
        <v>564</v>
      </c>
      <c r="Q123" s="70" t="s">
        <v>563</v>
      </c>
      <c r="R123" s="64" t="s">
        <v>66</v>
      </c>
      <c r="S123" s="64" t="s">
        <v>65</v>
      </c>
    </row>
    <row r="124" spans="1:19" s="49" customFormat="1" ht="17.5" customHeight="1">
      <c r="A124" s="136"/>
      <c r="B124" s="62">
        <v>106</v>
      </c>
      <c r="C124" s="82">
        <v>2050101081</v>
      </c>
      <c r="D124" s="80">
        <f>VLOOKUP(C124,[1]Database!$B:$E,4,0)</f>
        <v>85423120</v>
      </c>
      <c r="E124" s="81"/>
      <c r="F124" s="74" t="str">
        <f>VLOOKUP(C124,[1]Database!$B:$H,7,0)</f>
        <v>Circuito Integrado eletronico microcontrolador, modelo de microprocessador de 32 bits, montado, proprio para montagem em superfície (SMD) LQFP100, com Frequencia de clock de ate 29,4912MHz, memoria Flash 192KB e memoria SRAM 16kB.TensAo de operacAo 2,8V~5,5V.</v>
      </c>
      <c r="G124" s="75"/>
      <c r="H124" s="75"/>
      <c r="I124" s="75"/>
      <c r="J124" s="75"/>
      <c r="K124" s="75"/>
      <c r="L124" s="76"/>
      <c r="M124" s="83">
        <v>1800</v>
      </c>
      <c r="N124" s="95">
        <f>VLOOKUP(C124,[2]Sheet1!$C:$F,4,0)</f>
        <v>6.4995000000000003</v>
      </c>
      <c r="O124" s="63">
        <f t="shared" si="1"/>
        <v>11699.1</v>
      </c>
      <c r="P124" s="64" t="s">
        <v>564</v>
      </c>
      <c r="Q124" s="70" t="s">
        <v>563</v>
      </c>
      <c r="R124" s="64" t="s">
        <v>66</v>
      </c>
      <c r="S124" s="64" t="s">
        <v>65</v>
      </c>
    </row>
    <row r="125" spans="1:19" s="49" customFormat="1" ht="17.5" customHeight="1">
      <c r="A125" s="136"/>
      <c r="B125" s="62">
        <v>107</v>
      </c>
      <c r="C125" s="82">
        <v>2050101801</v>
      </c>
      <c r="D125" s="80">
        <f>VLOOKUP(C125,[1]Database!$B:$E,4,0)</f>
        <v>85423120</v>
      </c>
      <c r="E125" s="81"/>
      <c r="F125" s="74" t="str">
        <f>VLOOKUP(C125,[1]Database!$B:$H,7,0)</f>
        <v>Circuito Integrado eletronico microcontrolador, modelo de microprocessador de 8 bits, montado, proprio para montagem em superfície (SMD) TQFP-48, com Frequencia de clock de ate 26MHz, memoria Flash 64KB e memoria SRAM 4kB.TensAo de operacAo 2.5V~5.5V.</v>
      </c>
      <c r="G125" s="75"/>
      <c r="H125" s="75"/>
      <c r="I125" s="75"/>
      <c r="J125" s="75"/>
      <c r="K125" s="75"/>
      <c r="L125" s="76"/>
      <c r="M125" s="83">
        <v>122500</v>
      </c>
      <c r="N125" s="95">
        <f>VLOOKUP(C125,[2]Sheet1!$C:$F,4,0)</f>
        <v>3.0975000000000001</v>
      </c>
      <c r="O125" s="63">
        <f t="shared" si="1"/>
        <v>379443.75</v>
      </c>
      <c r="P125" s="64" t="s">
        <v>564</v>
      </c>
      <c r="Q125" s="70" t="s">
        <v>563</v>
      </c>
      <c r="R125" s="64" t="s">
        <v>66</v>
      </c>
      <c r="S125" s="64" t="s">
        <v>65</v>
      </c>
    </row>
    <row r="126" spans="1:19" s="49" customFormat="1" ht="17.5" customHeight="1">
      <c r="A126" s="136"/>
      <c r="B126" s="62">
        <v>108</v>
      </c>
      <c r="C126" s="82">
        <v>2050101901</v>
      </c>
      <c r="D126" s="80">
        <f>VLOOKUP(C126,[1]Database!$B:$E,4,0)</f>
        <v>85423120</v>
      </c>
      <c r="E126" s="81"/>
      <c r="F126" s="74" t="str">
        <f>VLOOKUP(C126,[1]Database!$B:$H,7,0)</f>
        <v>Circuito Integrado eletronico microcontrolador de 32 bits montado, proprio para montagem em superfície (SMD) LQFP-100, com Frequencia de clock de ate 30MHz, modelo de microprocessador de 32 bits, memoria Flash 512.0KB e memoria SRAM 32.0kB.TensAo de operacAo 2.3V~5.5V.</v>
      </c>
      <c r="G126" s="75"/>
      <c r="H126" s="75"/>
      <c r="I126" s="75"/>
      <c r="J126" s="75"/>
      <c r="K126" s="75"/>
      <c r="L126" s="76"/>
      <c r="M126" s="83">
        <v>36900</v>
      </c>
      <c r="N126" s="95">
        <f>VLOOKUP(C126,[2]Sheet1!$C:$F,4,0)</f>
        <v>5.5754999999999999</v>
      </c>
      <c r="O126" s="63">
        <f t="shared" si="1"/>
        <v>205735.94999999998</v>
      </c>
      <c r="P126" s="64" t="s">
        <v>564</v>
      </c>
      <c r="Q126" s="70" t="s">
        <v>563</v>
      </c>
      <c r="R126" s="64" t="s">
        <v>66</v>
      </c>
      <c r="S126" s="64" t="s">
        <v>65</v>
      </c>
    </row>
    <row r="127" spans="1:19" s="49" customFormat="1" ht="17.5" customHeight="1">
      <c r="A127" s="136"/>
      <c r="B127" s="62">
        <v>109</v>
      </c>
      <c r="C127" s="82">
        <v>2050300861</v>
      </c>
      <c r="D127" s="80">
        <f>VLOOKUP(C127,[1]Database!$B:$E,4,0)</f>
        <v>85423120</v>
      </c>
      <c r="E127" s="81"/>
      <c r="F127" s="74" t="str">
        <f>VLOOKUP(C127,[1]Database!$B:$H,7,0)</f>
        <v>Circuito Integrado eletronico microcontrolador ASIC de 16 bits para medicAo de energia eletrica trifasica, montado, proprio para montagem em superfície (SMD) LQFP-44, com frequencia de clock de 5,5296MHz, modelo de microprocessador ASIC de 16 bits, tensAo de operacAo 3.3V</v>
      </c>
      <c r="G127" s="75"/>
      <c r="H127" s="75"/>
      <c r="I127" s="75"/>
      <c r="J127" s="75"/>
      <c r="K127" s="75"/>
      <c r="L127" s="76"/>
      <c r="M127" s="83">
        <v>35200</v>
      </c>
      <c r="N127" s="95">
        <f>VLOOKUP(C127,[2]Sheet1!$C:$F,4,0)</f>
        <v>5.3896500000000005</v>
      </c>
      <c r="O127" s="63">
        <f t="shared" si="1"/>
        <v>189715.68000000002</v>
      </c>
      <c r="P127" s="64" t="s">
        <v>564</v>
      </c>
      <c r="Q127" s="70" t="s">
        <v>563</v>
      </c>
      <c r="R127" s="64" t="s">
        <v>66</v>
      </c>
      <c r="S127" s="64" t="s">
        <v>65</v>
      </c>
    </row>
    <row r="128" spans="1:19" s="49" customFormat="1" ht="17.5" customHeight="1">
      <c r="A128" s="136"/>
      <c r="B128" s="62">
        <v>110</v>
      </c>
      <c r="C128" s="82">
        <v>2050300931</v>
      </c>
      <c r="D128" s="80">
        <f>VLOOKUP(C128,[1]Database!$B:$E,4,0)</f>
        <v>85423120</v>
      </c>
      <c r="E128" s="81"/>
      <c r="F128" s="74" t="str">
        <f>VLOOKUP(C128,[1]Database!$B:$H,7,0)</f>
        <v xml:space="preserve">Circuito integrado eletronico montado, proprio para montagem em superfície SMD, processador de medicAo, modelo de Microprocessador de 8 bits , frequencia de clock 8MHz, 3.3-5VV 1 1 SOP8 (2050300931)       </v>
      </c>
      <c r="G128" s="75"/>
      <c r="H128" s="75"/>
      <c r="I128" s="75"/>
      <c r="J128" s="75"/>
      <c r="K128" s="75"/>
      <c r="L128" s="76"/>
      <c r="M128" s="83">
        <v>160000</v>
      </c>
      <c r="N128" s="95">
        <f>VLOOKUP(C128,[2]Sheet1!$C:$F,4,0)</f>
        <v>1.05</v>
      </c>
      <c r="O128" s="63">
        <f t="shared" si="1"/>
        <v>168000</v>
      </c>
      <c r="P128" s="64" t="s">
        <v>564</v>
      </c>
      <c r="Q128" s="70" t="s">
        <v>563</v>
      </c>
      <c r="R128" s="64" t="s">
        <v>66</v>
      </c>
      <c r="S128" s="64" t="s">
        <v>65</v>
      </c>
    </row>
    <row r="129" spans="1:19" s="49" customFormat="1" ht="17.5" customHeight="1">
      <c r="A129" s="136"/>
      <c r="B129" s="62">
        <v>111</v>
      </c>
      <c r="C129" s="82">
        <v>2050501951</v>
      </c>
      <c r="D129" s="80">
        <f>VLOOKUP(C129,[1]Database!$B:$E,4,0)</f>
        <v>85423221</v>
      </c>
      <c r="E129" s="81"/>
      <c r="F129" s="74" t="str">
        <f>VLOOKUP(C129,[1]Database!$B:$H,7,0)</f>
        <v>Circuito Integrado (CI) Eletronicos de memória EEPROM montados, próprias para montagem em superfície SMD, dos tipos RAM estatica com tempo de acesso rápido e de tensão de 1.7~5.5V, capacidade de memória 256Kb, comunicação IIC, encapsulamento SOP8 (150mil)</v>
      </c>
      <c r="G129" s="75"/>
      <c r="H129" s="75"/>
      <c r="I129" s="75"/>
      <c r="J129" s="75"/>
      <c r="K129" s="75"/>
      <c r="L129" s="76"/>
      <c r="M129" s="83">
        <v>80000</v>
      </c>
      <c r="N129" s="95">
        <f>VLOOKUP(C129,[2]Sheet1!$C:$F,4,0)</f>
        <v>0.504</v>
      </c>
      <c r="O129" s="63">
        <f t="shared" si="1"/>
        <v>40320</v>
      </c>
      <c r="P129" s="64" t="s">
        <v>564</v>
      </c>
      <c r="Q129" s="70" t="s">
        <v>563</v>
      </c>
      <c r="R129" s="64" t="s">
        <v>66</v>
      </c>
      <c r="S129" s="64" t="s">
        <v>65</v>
      </c>
    </row>
    <row r="130" spans="1:19" s="49" customFormat="1" ht="17.5" customHeight="1">
      <c r="A130" s="136"/>
      <c r="B130" s="62">
        <v>112</v>
      </c>
      <c r="C130" s="82">
        <v>2050700042</v>
      </c>
      <c r="D130" s="80">
        <f>VLOOKUP(C130,[1]Database!$B:$E,4,0)</f>
        <v>85423939</v>
      </c>
      <c r="E130" s="81"/>
      <c r="F130" s="74" t="str">
        <f>VLOOKUP(C130,[1]Database!$B:$H,7,0)</f>
        <v>Circuito integrado eletronico tipo comunicacAo RS-232, montado, proprio para montagem em superfície SMD - 250Kbps SOP16 (2050700042)</v>
      </c>
      <c r="G130" s="75"/>
      <c r="H130" s="75"/>
      <c r="I130" s="75"/>
      <c r="J130" s="75"/>
      <c r="K130" s="75"/>
      <c r="L130" s="76"/>
      <c r="M130" s="83">
        <v>72500</v>
      </c>
      <c r="N130" s="95">
        <f>VLOOKUP(C130,[2]Sheet1!$C:$F,4,0)</f>
        <v>0.58800000000000008</v>
      </c>
      <c r="O130" s="63">
        <f t="shared" si="1"/>
        <v>42630.000000000007</v>
      </c>
      <c r="P130" s="64" t="s">
        <v>564</v>
      </c>
      <c r="Q130" s="70" t="s">
        <v>563</v>
      </c>
      <c r="R130" s="64" t="s">
        <v>66</v>
      </c>
      <c r="S130" s="64" t="s">
        <v>65</v>
      </c>
    </row>
    <row r="131" spans="1:19" s="49" customFormat="1" ht="17.5" customHeight="1">
      <c r="A131" s="136"/>
      <c r="B131" s="62">
        <v>113</v>
      </c>
      <c r="C131" s="82">
        <v>2050902711</v>
      </c>
      <c r="D131" s="80">
        <f>VLOOKUP(C131,[1]Database!$B:$E,4,0)</f>
        <v>85423991</v>
      </c>
      <c r="E131" s="81"/>
      <c r="F131" s="74" t="str">
        <f>VLOOKUP(C131,[1]Database!$B:$H,7,0)</f>
        <v>Circuito integrado eletronico do tipo chipset, montado, proprio para montagem por insercAo PTH - 0.0mA TO220-5 (2050902711)</v>
      </c>
      <c r="G131" s="75"/>
      <c r="H131" s="75"/>
      <c r="I131" s="75"/>
      <c r="J131" s="75"/>
      <c r="K131" s="75"/>
      <c r="L131" s="76"/>
      <c r="M131" s="83">
        <v>44500</v>
      </c>
      <c r="N131" s="95">
        <f>VLOOKUP(C131,[2]Sheet1!$C:$F,4,0)</f>
        <v>3.2372339999999999</v>
      </c>
      <c r="O131" s="63">
        <f t="shared" si="1"/>
        <v>144056.913</v>
      </c>
      <c r="P131" s="64" t="s">
        <v>564</v>
      </c>
      <c r="Q131" s="70" t="s">
        <v>563</v>
      </c>
      <c r="R131" s="64" t="s">
        <v>66</v>
      </c>
      <c r="S131" s="64" t="s">
        <v>65</v>
      </c>
    </row>
    <row r="132" spans="1:19" s="49" customFormat="1" ht="17.5" customHeight="1">
      <c r="A132" s="136"/>
      <c r="B132" s="62">
        <v>114</v>
      </c>
      <c r="C132" s="82">
        <v>2050903531</v>
      </c>
      <c r="D132" s="80">
        <f>VLOOKUP(C132,[1]Database!$B:$E,4,0)</f>
        <v>85423920</v>
      </c>
      <c r="E132" s="81"/>
      <c r="F132" s="74" t="str">
        <f>VLOOKUP(C132,[1]Database!$B:$H,7,0)</f>
        <v>CIRCUITO INTEGRADO ELETRoNICO TIPO REGULADOR DE TENSAO, NAO MONTADO - DM8254T AC-DC;0.0mA;DIP-7 (2050903531) PTH</v>
      </c>
      <c r="G132" s="75"/>
      <c r="H132" s="75"/>
      <c r="I132" s="75"/>
      <c r="J132" s="75"/>
      <c r="K132" s="75"/>
      <c r="L132" s="76"/>
      <c r="M132" s="83">
        <v>55500</v>
      </c>
      <c r="N132" s="95">
        <f>VLOOKUP(C132,[2]Sheet1!$C:$F,4,0)</f>
        <v>1.8861569999999999</v>
      </c>
      <c r="O132" s="63">
        <f t="shared" si="1"/>
        <v>104681.7135</v>
      </c>
      <c r="P132" s="64" t="s">
        <v>564</v>
      </c>
      <c r="Q132" s="70" t="s">
        <v>563</v>
      </c>
      <c r="R132" s="64" t="s">
        <v>66</v>
      </c>
      <c r="S132" s="64" t="s">
        <v>65</v>
      </c>
    </row>
    <row r="133" spans="1:19" s="49" customFormat="1" ht="17.5" customHeight="1">
      <c r="A133" s="136"/>
      <c r="B133" s="62">
        <v>115</v>
      </c>
      <c r="C133" s="82">
        <v>2051700011</v>
      </c>
      <c r="D133" s="80">
        <f>VLOOKUP(C133,[1]Database!$B:$E,4,0)</f>
        <v>85423920</v>
      </c>
      <c r="E133" s="81"/>
      <c r="F133" s="74" t="str">
        <f>VLOOKUP(C133,[1]Database!$B:$H,7,0)</f>
        <v>CIRCUITO INTEGRADO ELETRoNICO TIPO SENSOR DE CAMPO MAGNETICO, NAO MONTADO (REF. E01611 - Ref. 2051700011)</v>
      </c>
      <c r="G133" s="75"/>
      <c r="H133" s="75"/>
      <c r="I133" s="75"/>
      <c r="J133" s="75"/>
      <c r="K133" s="75"/>
      <c r="L133" s="76"/>
      <c r="M133" s="83">
        <v>84000</v>
      </c>
      <c r="N133" s="95">
        <f>VLOOKUP(C133,[2]Sheet1!$C:$F,4,0)</f>
        <v>0.2205</v>
      </c>
      <c r="O133" s="63">
        <f t="shared" si="1"/>
        <v>18522</v>
      </c>
      <c r="P133" s="64" t="s">
        <v>564</v>
      </c>
      <c r="Q133" s="70" t="s">
        <v>563</v>
      </c>
      <c r="R133" s="64" t="s">
        <v>66</v>
      </c>
      <c r="S133" s="64" t="s">
        <v>65</v>
      </c>
    </row>
    <row r="134" spans="1:19" s="49" customFormat="1" ht="17.5" customHeight="1">
      <c r="A134" s="136"/>
      <c r="B134" s="62">
        <v>116</v>
      </c>
      <c r="C134" s="82">
        <v>2052300020</v>
      </c>
      <c r="D134" s="80">
        <f>VLOOKUP(C134,[1]Database!$B:$E,4,0)</f>
        <v>85423939</v>
      </c>
      <c r="E134" s="81"/>
      <c r="F134" s="74" t="str">
        <f>VLOOKUP(C134,[1]Database!$B:$H,7,0)</f>
        <v>Circuito integrado eletronico tipo Ponte-H driver de rele, montado, proprio para montagem em superfície SMD - SOP-8 4.5~24V.</v>
      </c>
      <c r="G134" s="75"/>
      <c r="H134" s="75"/>
      <c r="I134" s="75"/>
      <c r="J134" s="75"/>
      <c r="K134" s="75"/>
      <c r="L134" s="76"/>
      <c r="M134" s="83">
        <v>88000</v>
      </c>
      <c r="N134" s="95">
        <f>VLOOKUP(C134,[2]Sheet1!$C:$F,4,0)</f>
        <v>0.55650000000000011</v>
      </c>
      <c r="O134" s="63">
        <f t="shared" si="1"/>
        <v>48972.000000000007</v>
      </c>
      <c r="P134" s="64" t="s">
        <v>564</v>
      </c>
      <c r="Q134" s="70" t="s">
        <v>563</v>
      </c>
      <c r="R134" s="64" t="s">
        <v>66</v>
      </c>
      <c r="S134" s="64" t="s">
        <v>65</v>
      </c>
    </row>
    <row r="135" spans="1:19" s="49" customFormat="1" ht="17.5" customHeight="1">
      <c r="A135" s="136"/>
      <c r="B135" s="62">
        <v>117</v>
      </c>
      <c r="C135" s="82">
        <v>2052700020</v>
      </c>
      <c r="D135" s="80">
        <f>VLOOKUP(C135,[1]Database!$B:$E,4,0)</f>
        <v>85423939</v>
      </c>
      <c r="E135" s="81"/>
      <c r="F135" s="74" t="str">
        <f>VLOOKUP(C135,[1]Database!$B:$H,7,0)</f>
        <v>Circuito integrado eletronico tipo regulador de tensAo Low Drop-out, montado, proprio para montagem em superfície SMD - 2,7V~36V - SOT89 - 150mA</v>
      </c>
      <c r="G135" s="75"/>
      <c r="H135" s="75"/>
      <c r="I135" s="75"/>
      <c r="J135" s="75"/>
      <c r="K135" s="75"/>
      <c r="L135" s="76"/>
      <c r="M135" s="83">
        <v>89000</v>
      </c>
      <c r="N135" s="95">
        <f>VLOOKUP(C135,[2]Sheet1!$C:$F,4,0)</f>
        <v>0.28823760000000004</v>
      </c>
      <c r="O135" s="63">
        <f t="shared" si="1"/>
        <v>25653.146400000005</v>
      </c>
      <c r="P135" s="64" t="s">
        <v>564</v>
      </c>
      <c r="Q135" s="70" t="s">
        <v>563</v>
      </c>
      <c r="R135" s="64" t="s">
        <v>66</v>
      </c>
      <c r="S135" s="64" t="s">
        <v>65</v>
      </c>
    </row>
    <row r="136" spans="1:19" s="49" customFormat="1" ht="17.5" customHeight="1">
      <c r="A136" s="136"/>
      <c r="B136" s="62">
        <v>118</v>
      </c>
      <c r="C136" s="82">
        <v>2052700170</v>
      </c>
      <c r="D136" s="80">
        <f>VLOOKUP(C136,[1]Database!$B:$E,4,0)</f>
        <v>85423939</v>
      </c>
      <c r="E136" s="81"/>
      <c r="F136" s="74" t="str">
        <f>VLOOKUP(C136,[1]Database!$B:$H,7,0)</f>
        <v>Circuito integrado eletronico do tipo regulador de tensAo Low Drop-out, montado, proprio para montagem em superfície SMD - 2,7V~36V - SOT89 - 150mA</v>
      </c>
      <c r="G136" s="75"/>
      <c r="H136" s="75"/>
      <c r="I136" s="75"/>
      <c r="J136" s="75"/>
      <c r="K136" s="75"/>
      <c r="L136" s="76"/>
      <c r="M136" s="101">
        <v>234000</v>
      </c>
      <c r="N136" s="95">
        <f>VLOOKUP(C136,[2]Sheet1!$C:$F,4,0)</f>
        <v>0.18735443999999998</v>
      </c>
      <c r="O136" s="63">
        <f t="shared" si="1"/>
        <v>43840.938959999999</v>
      </c>
      <c r="P136" s="64" t="s">
        <v>564</v>
      </c>
      <c r="Q136" s="70" t="s">
        <v>563</v>
      </c>
      <c r="R136" s="64" t="s">
        <v>66</v>
      </c>
      <c r="S136" s="64" t="s">
        <v>65</v>
      </c>
    </row>
    <row r="137" spans="1:19" s="49" customFormat="1" ht="17.5" customHeight="1">
      <c r="A137" s="136"/>
      <c r="B137" s="62">
        <v>119</v>
      </c>
      <c r="C137" s="82">
        <v>2052700180</v>
      </c>
      <c r="D137" s="80">
        <f>VLOOKUP(C137,[1]Database!$B:$E,4,0)</f>
        <v>85423939</v>
      </c>
      <c r="E137" s="81"/>
      <c r="F137" s="74" t="str">
        <f>VLOOKUP(C137,[1]Database!$B:$H,7,0)</f>
        <v>Circuito integrado eletronico tipo regulador de tensAo Low Drop-out, montado, proprio para montagem em superfície SMD - 3.3V SOT-89 100mA </v>
      </c>
      <c r="G137" s="75"/>
      <c r="H137" s="75"/>
      <c r="I137" s="75"/>
      <c r="J137" s="75"/>
      <c r="K137" s="75"/>
      <c r="L137" s="76"/>
      <c r="M137" s="83">
        <v>224000</v>
      </c>
      <c r="N137" s="95">
        <f>VLOOKUP(C137,[2]Sheet1!$C:$F,4,0)</f>
        <v>0.13041</v>
      </c>
      <c r="O137" s="63">
        <f t="shared" si="1"/>
        <v>29211.84</v>
      </c>
      <c r="P137" s="64" t="s">
        <v>564</v>
      </c>
      <c r="Q137" s="70" t="s">
        <v>563</v>
      </c>
      <c r="R137" s="64" t="s">
        <v>66</v>
      </c>
      <c r="S137" s="64" t="s">
        <v>65</v>
      </c>
    </row>
    <row r="138" spans="1:19" s="49" customFormat="1" ht="17.5" customHeight="1">
      <c r="A138" s="136"/>
      <c r="B138" s="62">
        <v>120</v>
      </c>
      <c r="C138" s="82">
        <v>2054300100</v>
      </c>
      <c r="D138" s="80">
        <f>VLOOKUP(C138,[1]Database!$B:$E,4,0)</f>
        <v>85423221</v>
      </c>
      <c r="E138" s="81"/>
      <c r="F138" s="74" t="str">
        <f>VLOOKUP(C138,[1]Database!$B:$H,7,0)</f>
        <v>Circuito integrado eletronico de memoria tipo flash, de capacidade de memoria 4Mbytes, montado, proprio para montagem em superfície SMD; encapsulamento 8pin SOP 208-mil </v>
      </c>
      <c r="G138" s="75"/>
      <c r="H138" s="75"/>
      <c r="I138" s="75"/>
      <c r="J138" s="75"/>
      <c r="K138" s="75"/>
      <c r="L138" s="76"/>
      <c r="M138" s="83">
        <v>40000</v>
      </c>
      <c r="N138" s="95">
        <f>VLOOKUP(C138,[2]Sheet1!$C:$F,4,0)</f>
        <v>1.2079200000000001</v>
      </c>
      <c r="O138" s="63">
        <f t="shared" si="1"/>
        <v>48316.800000000003</v>
      </c>
      <c r="P138" s="64" t="s">
        <v>564</v>
      </c>
      <c r="Q138" s="70" t="s">
        <v>563</v>
      </c>
      <c r="R138" s="64" t="s">
        <v>66</v>
      </c>
      <c r="S138" s="64" t="s">
        <v>65</v>
      </c>
    </row>
    <row r="139" spans="1:19" s="49" customFormat="1" ht="17.5" customHeight="1">
      <c r="A139" s="136"/>
      <c r="B139" s="62">
        <v>121</v>
      </c>
      <c r="C139" s="82">
        <v>2054300520</v>
      </c>
      <c r="D139" s="80">
        <f>VLOOKUP(C139,[1]Database!$B:$E,4,0)</f>
        <v>85423221</v>
      </c>
      <c r="E139" s="81"/>
      <c r="F139" s="74" t="str">
        <f>VLOOKUP(C139,[1]Database!$B:$H,7,0)</f>
        <v>CIRCUITO INTEGRADO DE MEMÓRIA FLASH, MONTADO, PRÓPRIO PARA MONTAGEM EM SUPERFÍCIE (SMD); TIPO NOR; CAPACIDADE DE 64 MEBIBITS (64MB); INTERFACE SPI; TENSÃO DE OPERAÇÃO DE 2,3 A 3,6V; ENCAPSULAMENTO SOIC DE 8 PINOS (208 MIL). REF. 2054300520</v>
      </c>
      <c r="G139" s="75"/>
      <c r="H139" s="75"/>
      <c r="I139" s="75"/>
      <c r="J139" s="75"/>
      <c r="K139" s="75"/>
      <c r="L139" s="76"/>
      <c r="M139" s="101">
        <v>96000</v>
      </c>
      <c r="N139" s="95">
        <f>VLOOKUP(C139,[2]Sheet1!$C:$F,4,0)</f>
        <v>1.746885</v>
      </c>
      <c r="O139" s="63">
        <f t="shared" si="1"/>
        <v>167700.96</v>
      </c>
      <c r="P139" s="64" t="s">
        <v>564</v>
      </c>
      <c r="Q139" s="70" t="s">
        <v>563</v>
      </c>
      <c r="R139" s="64" t="s">
        <v>66</v>
      </c>
      <c r="S139" s="64" t="s">
        <v>65</v>
      </c>
    </row>
    <row r="140" spans="1:19" s="49" customFormat="1" ht="17.5" customHeight="1">
      <c r="A140" s="136"/>
      <c r="B140" s="62">
        <v>122</v>
      </c>
      <c r="C140" s="82">
        <v>2060100092</v>
      </c>
      <c r="D140" s="80">
        <f>VLOOKUP(C140,[1]Database!$B:$E,4,0)</f>
        <v>85411012</v>
      </c>
      <c r="E140" s="81"/>
      <c r="F140" s="74" t="str">
        <f>VLOOKUP(C140,[1]Database!$B:$H,7,0)</f>
        <v>DISPOSITIVO SEMICONDUTOR TIPO DIODO RETIFICADOR, NAO MONTADO, DE INTENSIDADE DE CORRENTE DE 1A (REF. A01013-1 - ref.2060100092)</v>
      </c>
      <c r="G140" s="75"/>
      <c r="H140" s="75"/>
      <c r="I140" s="75"/>
      <c r="J140" s="75"/>
      <c r="K140" s="75"/>
      <c r="L140" s="76"/>
      <c r="M140" s="83">
        <v>1305000</v>
      </c>
      <c r="N140" s="95">
        <f>VLOOKUP(C140,[2]Sheet1!$C:$F,4,0)</f>
        <v>1.5225000000000001E-2</v>
      </c>
      <c r="O140" s="63">
        <f t="shared" si="1"/>
        <v>19868.625</v>
      </c>
      <c r="P140" s="64" t="s">
        <v>564</v>
      </c>
      <c r="Q140" s="70" t="s">
        <v>563</v>
      </c>
      <c r="R140" s="64" t="s">
        <v>66</v>
      </c>
      <c r="S140" s="64" t="s">
        <v>65</v>
      </c>
    </row>
    <row r="141" spans="1:19" s="49" customFormat="1" ht="17.5" customHeight="1">
      <c r="A141" s="136"/>
      <c r="B141" s="62">
        <v>123</v>
      </c>
      <c r="C141" s="82">
        <v>2060100701</v>
      </c>
      <c r="D141" s="80">
        <f>VLOOKUP(C141,[1]Database!$B:$E,4,0)</f>
        <v>85411021</v>
      </c>
      <c r="E141" s="81"/>
      <c r="F141" s="74" t="str">
        <f>VLOOKUP(C141,[1]Database!$B:$H,7,0)</f>
        <v>DISPOSITIVO SEMICONDUTOR TIPO DIODO ZENER, MONTADO, PRoPRIO PARA MONTAGEM EM SUPERFÍCIE SMD DE INTENSIDADE DE CORRENTE 1A (2060100701) SMD</v>
      </c>
      <c r="G141" s="75"/>
      <c r="H141" s="75"/>
      <c r="I141" s="75"/>
      <c r="J141" s="75"/>
      <c r="K141" s="75"/>
      <c r="L141" s="76"/>
      <c r="M141" s="83">
        <v>525000</v>
      </c>
      <c r="N141" s="95">
        <f>VLOOKUP(C141,[2]Sheet1!$C:$F,4,0)</f>
        <v>1.89E-2</v>
      </c>
      <c r="O141" s="63">
        <f t="shared" si="1"/>
        <v>9922.5</v>
      </c>
      <c r="P141" s="64" t="s">
        <v>564</v>
      </c>
      <c r="Q141" s="70" t="s">
        <v>563</v>
      </c>
      <c r="R141" s="64" t="s">
        <v>66</v>
      </c>
      <c r="S141" s="64" t="s">
        <v>65</v>
      </c>
    </row>
    <row r="142" spans="1:19" s="49" customFormat="1" ht="17.5" customHeight="1">
      <c r="A142" s="136"/>
      <c r="B142" s="62">
        <v>124</v>
      </c>
      <c r="C142" s="82">
        <v>2060300410</v>
      </c>
      <c r="D142" s="80">
        <f>VLOOKUP(C142,[1]Database!$B:$E,4,0)</f>
        <v>85411022</v>
      </c>
      <c r="E142" s="81"/>
      <c r="F142" s="74" t="str">
        <f>VLOOKUP(C142,[1]Database!$B:$H,7,0)</f>
        <v>DISPOSITIVO SEMICONDUTOR TIPO DIODO TVS, MONTADO, PRoPRIO PARA MONTAGEM EM SUPERFÍCIE SMD, DE INTENSIDADE DE CORRENTE 0,17A (2060300410)</v>
      </c>
      <c r="G142" s="75"/>
      <c r="H142" s="75"/>
      <c r="I142" s="75"/>
      <c r="J142" s="75"/>
      <c r="K142" s="75"/>
      <c r="L142" s="76"/>
      <c r="M142" s="83">
        <v>21000</v>
      </c>
      <c r="N142" s="95">
        <f>VLOOKUP(C142,[2]Sheet1!$C:$F,4,0)</f>
        <v>6.0900000000000003E-2</v>
      </c>
      <c r="O142" s="63">
        <f t="shared" si="1"/>
        <v>1278.9000000000001</v>
      </c>
      <c r="P142" s="64" t="s">
        <v>564</v>
      </c>
      <c r="Q142" s="70" t="s">
        <v>563</v>
      </c>
      <c r="R142" s="64" t="s">
        <v>66</v>
      </c>
      <c r="S142" s="64" t="s">
        <v>65</v>
      </c>
    </row>
    <row r="143" spans="1:19" s="49" customFormat="1" ht="17.5" customHeight="1">
      <c r="A143" s="136"/>
      <c r="B143" s="62">
        <v>125</v>
      </c>
      <c r="C143" s="82">
        <v>2060300500</v>
      </c>
      <c r="D143" s="80">
        <f>VLOOKUP(C143,[1]Database!$B:$E,4,0)</f>
        <v>85411022</v>
      </c>
      <c r="E143" s="81"/>
      <c r="F143" s="74" t="str">
        <f>VLOOKUP(C143,[1]Database!$B:$H,7,0)</f>
        <v>DISPOSITIVO SEMICONDUTOR TIPO DIODO TVS, MONTADO, PRoPRIO PARA MONTAGEM EM SUPERFÍCIE SMD, DE INTENSIDADE DE CORRENTE 2,2A (A01824)(2060300500)</v>
      </c>
      <c r="G143" s="75"/>
      <c r="H143" s="75"/>
      <c r="I143" s="75"/>
      <c r="J143" s="75"/>
      <c r="K143" s="75"/>
      <c r="L143" s="76"/>
      <c r="M143" s="83">
        <v>27000</v>
      </c>
      <c r="N143" s="95">
        <f>VLOOKUP(C143,[2]Sheet1!$C:$F,4,0)</f>
        <v>6.0900000000000003E-2</v>
      </c>
      <c r="O143" s="63">
        <f t="shared" si="1"/>
        <v>1644.3000000000002</v>
      </c>
      <c r="P143" s="64" t="s">
        <v>564</v>
      </c>
      <c r="Q143" s="70" t="s">
        <v>563</v>
      </c>
      <c r="R143" s="64" t="s">
        <v>66</v>
      </c>
      <c r="S143" s="64" t="s">
        <v>65</v>
      </c>
    </row>
    <row r="144" spans="1:19" s="49" customFormat="1" ht="17.5" customHeight="1">
      <c r="A144" s="136"/>
      <c r="B144" s="62">
        <v>126</v>
      </c>
      <c r="C144" s="82">
        <v>2060302410</v>
      </c>
      <c r="D144" s="80">
        <f>VLOOKUP(C144,[1]Database!$B:$E,4,0)</f>
        <v>85411021</v>
      </c>
      <c r="E144" s="81"/>
      <c r="F144" s="74" t="str">
        <f>VLOOKUP(C144,[1]Database!$B:$H,7,0)</f>
        <v>DISPOSITIVO SEMICONDUTOR TIPO DIODO ZENER, MONTADO, PRoPRIO PARA MONTAGEM EM SUPERFÍCIE SMD DE INTENSIDADE DE CORRENTE 1A (2060302410)</v>
      </c>
      <c r="G144" s="75"/>
      <c r="H144" s="75"/>
      <c r="I144" s="75"/>
      <c r="J144" s="75"/>
      <c r="K144" s="75"/>
      <c r="L144" s="76"/>
      <c r="M144" s="83">
        <v>70000</v>
      </c>
      <c r="N144" s="95">
        <f>VLOOKUP(C144,[2]Sheet1!$C:$F,4,0)</f>
        <v>0.19845000000000002</v>
      </c>
      <c r="O144" s="63">
        <f t="shared" si="1"/>
        <v>13891.500000000002</v>
      </c>
      <c r="P144" s="64" t="s">
        <v>564</v>
      </c>
      <c r="Q144" s="70" t="s">
        <v>563</v>
      </c>
      <c r="R144" s="64" t="s">
        <v>66</v>
      </c>
      <c r="S144" s="64" t="s">
        <v>65</v>
      </c>
    </row>
    <row r="145" spans="1:19" s="49" customFormat="1" ht="17.5" customHeight="1">
      <c r="A145" s="136"/>
      <c r="B145" s="62">
        <v>127</v>
      </c>
      <c r="C145" s="82">
        <v>2060500021</v>
      </c>
      <c r="D145" s="80">
        <f>VLOOKUP(C145,[1]Database!$B:$E,4,0)</f>
        <v>85411021</v>
      </c>
      <c r="E145" s="81"/>
      <c r="F145" s="74" t="str">
        <f>VLOOKUP(C145,[1]Database!$B:$H,7,0)</f>
        <v xml:space="preserve">DISPOSITIVO SEMICONDUTOR TIPO DIODO ZENER, MONTADO, PRoPRIO PARA MONTAGEM EM SUPERFÍCIE SMD DE INTENSIDADE DE CORRENTE 0,085A (2060500021)
</v>
      </c>
      <c r="G145" s="75"/>
      <c r="H145" s="75"/>
      <c r="I145" s="75"/>
      <c r="J145" s="75"/>
      <c r="K145" s="75"/>
      <c r="L145" s="76"/>
      <c r="M145" s="83">
        <v>55000</v>
      </c>
      <c r="N145" s="95">
        <f>VLOOKUP(C145,[2]Sheet1!$C:$F,4,0)</f>
        <v>9.7650000000000001E-2</v>
      </c>
      <c r="O145" s="63">
        <f t="shared" si="1"/>
        <v>5370.75</v>
      </c>
      <c r="P145" s="64" t="s">
        <v>564</v>
      </c>
      <c r="Q145" s="70" t="s">
        <v>563</v>
      </c>
      <c r="R145" s="64" t="s">
        <v>66</v>
      </c>
      <c r="S145" s="64" t="s">
        <v>65</v>
      </c>
    </row>
    <row r="146" spans="1:19" s="49" customFormat="1" ht="17.5" customHeight="1">
      <c r="A146" s="136"/>
      <c r="B146" s="62">
        <v>128</v>
      </c>
      <c r="C146" s="100">
        <v>2060501471</v>
      </c>
      <c r="D146" s="80">
        <f>VLOOKUP(C146,[1]Database!$B:$E,4,0)</f>
        <v>85411021</v>
      </c>
      <c r="E146" s="81"/>
      <c r="F146" s="74" t="str">
        <f>VLOOKUP(C146,[1]Database!$B:$H,7,0)</f>
        <v xml:space="preserve">DISPOSITIVO SEMICONDUTOR TIPO DIODO ZENER, MONTADO, PRoPRIO PARA MONTAGEM EM SUPERFÍCIE SMD DE INTENSIDADE DE CORRENTE 0,061A (2060501471)
</v>
      </c>
      <c r="G146" s="75"/>
      <c r="H146" s="75"/>
      <c r="I146" s="75"/>
      <c r="J146" s="75"/>
      <c r="K146" s="75"/>
      <c r="L146" s="76"/>
      <c r="M146" s="83">
        <v>25000</v>
      </c>
      <c r="N146" s="95">
        <f>VLOOKUP(C146,[2]Sheet1!$C:$F,4,0)</f>
        <v>9.9225000000000008E-2</v>
      </c>
      <c r="O146" s="63">
        <f t="shared" si="1"/>
        <v>2480.625</v>
      </c>
      <c r="P146" s="64" t="s">
        <v>564</v>
      </c>
      <c r="Q146" s="70" t="s">
        <v>563</v>
      </c>
      <c r="R146" s="64" t="s">
        <v>66</v>
      </c>
      <c r="S146" s="64" t="s">
        <v>65</v>
      </c>
    </row>
    <row r="147" spans="1:19" s="49" customFormat="1" ht="17.5" customHeight="1">
      <c r="A147" s="136"/>
      <c r="B147" s="62">
        <v>129</v>
      </c>
      <c r="C147" s="82">
        <v>2060500241</v>
      </c>
      <c r="D147" s="80">
        <f>VLOOKUP(C147,[1]Database!$B:$E,4,0)</f>
        <v>85411021</v>
      </c>
      <c r="E147" s="81"/>
      <c r="F147" s="74" t="str">
        <f>VLOOKUP(C147,[1]Database!$B:$H,7,0)</f>
        <v>DISPOSITIVO SEMICONDUTOR TIPO DIODO ZENER, MONTADO, PRoPRIO PARA MONTAGEM EM SUPERFÍCIE SMD DE INTENSIDADE DE CORRENTE 0,005A (2060500241)</v>
      </c>
      <c r="G147" s="75"/>
      <c r="H147" s="75"/>
      <c r="I147" s="75"/>
      <c r="J147" s="75"/>
      <c r="K147" s="75"/>
      <c r="L147" s="76"/>
      <c r="M147" s="83">
        <v>30000</v>
      </c>
      <c r="N147" s="95">
        <f>VLOOKUP(C147,[2]Sheet1!$C:$F,4,0)</f>
        <v>0.11550000000000001</v>
      </c>
      <c r="O147" s="63">
        <f t="shared" si="1"/>
        <v>3465</v>
      </c>
      <c r="P147" s="64" t="s">
        <v>564</v>
      </c>
      <c r="Q147" s="70" t="s">
        <v>563</v>
      </c>
      <c r="R147" s="64" t="s">
        <v>66</v>
      </c>
      <c r="S147" s="64" t="s">
        <v>65</v>
      </c>
    </row>
    <row r="148" spans="1:19" s="49" customFormat="1" ht="17.5" customHeight="1">
      <c r="A148" s="136"/>
      <c r="B148" s="62">
        <v>130</v>
      </c>
      <c r="C148" s="82">
        <v>2060501441</v>
      </c>
      <c r="D148" s="80">
        <f>VLOOKUP(C148,[1]Database!$B:$E,4,0)</f>
        <v>85411021</v>
      </c>
      <c r="E148" s="81"/>
      <c r="F148" s="74" t="str">
        <f>VLOOKUP(C148,[1]Database!$B:$H,7,0)</f>
        <v>DISPOSITIVO SEMICONDUTOR, DO TIPO DIODO ZENER, MONTADO, PRoPRIO PARA MONTAGEM EM SUPERFÍCIE SMD DE INTENSIDADE DE CORRENTE 0,005 A (2060501441)</v>
      </c>
      <c r="G148" s="75"/>
      <c r="H148" s="75"/>
      <c r="I148" s="75"/>
      <c r="J148" s="75"/>
      <c r="K148" s="75"/>
      <c r="L148" s="76"/>
      <c r="M148" s="83">
        <v>3000</v>
      </c>
      <c r="N148" s="95">
        <f>VLOOKUP(C148,[2]Sheet1!$C:$F,4,0)</f>
        <v>4.6199999999999998E-2</v>
      </c>
      <c r="O148" s="63">
        <f t="shared" ref="O148:O210" si="2">M148*N148</f>
        <v>138.6</v>
      </c>
      <c r="P148" s="64" t="s">
        <v>564</v>
      </c>
      <c r="Q148" s="70" t="s">
        <v>563</v>
      </c>
      <c r="R148" s="64" t="s">
        <v>66</v>
      </c>
      <c r="S148" s="64" t="s">
        <v>65</v>
      </c>
    </row>
    <row r="149" spans="1:19" s="49" customFormat="1" ht="17.5" customHeight="1">
      <c r="A149" s="136"/>
      <c r="B149" s="62">
        <v>131</v>
      </c>
      <c r="C149" s="82">
        <v>2060501471</v>
      </c>
      <c r="D149" s="80">
        <f>VLOOKUP(C149,[1]Database!$B:$E,4,0)</f>
        <v>85411021</v>
      </c>
      <c r="E149" s="81"/>
      <c r="F149" s="74" t="str">
        <f>VLOOKUP(C149,[1]Database!$B:$H,7,0)</f>
        <v xml:space="preserve">DISPOSITIVO SEMICONDUTOR TIPO DIODO ZENER, MONTADO, PRoPRIO PARA MONTAGEM EM SUPERFÍCIE SMD DE INTENSIDADE DE CORRENTE 0,061A (2060501471)
</v>
      </c>
      <c r="G149" s="75"/>
      <c r="H149" s="75"/>
      <c r="I149" s="75"/>
      <c r="J149" s="75"/>
      <c r="K149" s="75"/>
      <c r="L149" s="76"/>
      <c r="M149" s="83">
        <v>135000</v>
      </c>
      <c r="N149" s="95">
        <f>VLOOKUP(C149,[2]Sheet1!$C:$F,4,0)</f>
        <v>9.9225000000000008E-2</v>
      </c>
      <c r="O149" s="63">
        <f t="shared" si="2"/>
        <v>13395.375000000002</v>
      </c>
      <c r="P149" s="64" t="s">
        <v>564</v>
      </c>
      <c r="Q149" s="70" t="s">
        <v>563</v>
      </c>
      <c r="R149" s="64" t="s">
        <v>66</v>
      </c>
      <c r="S149" s="64" t="s">
        <v>65</v>
      </c>
    </row>
    <row r="150" spans="1:19" s="49" customFormat="1" ht="17.5" customHeight="1">
      <c r="A150" s="136"/>
      <c r="B150" s="62">
        <v>132</v>
      </c>
      <c r="C150" s="82">
        <v>2060501481</v>
      </c>
      <c r="D150" s="80">
        <f>VLOOKUP(C150,[1]Database!$B:$E,4,0)</f>
        <v>85411021</v>
      </c>
      <c r="E150" s="81"/>
      <c r="F150" s="74" t="str">
        <f>VLOOKUP(C150,[1]Database!$B:$H,7,0)</f>
        <v>DISPOSITIVO SEMICONDUTOR TIPO DIODO ZENER, MONTADO, PRoPRIO PARA MONTAGEM EM SUPERFÍCIE SMD DE INTENSIDADE DE CORRENTE 1A (2060501481)</v>
      </c>
      <c r="G150" s="75"/>
      <c r="H150" s="75"/>
      <c r="I150" s="75"/>
      <c r="J150" s="75"/>
      <c r="K150" s="75"/>
      <c r="L150" s="76"/>
      <c r="M150" s="83">
        <v>115000</v>
      </c>
      <c r="N150" s="95">
        <f>VLOOKUP(C150,[2]Sheet1!$C:$F,4,0)</f>
        <v>9.9225000000000008E-2</v>
      </c>
      <c r="O150" s="63">
        <f t="shared" si="2"/>
        <v>11410.875</v>
      </c>
      <c r="P150" s="64" t="s">
        <v>564</v>
      </c>
      <c r="Q150" s="70" t="s">
        <v>563</v>
      </c>
      <c r="R150" s="64" t="s">
        <v>66</v>
      </c>
      <c r="S150" s="64" t="s">
        <v>65</v>
      </c>
    </row>
    <row r="151" spans="1:19" s="49" customFormat="1" ht="17.5" customHeight="1">
      <c r="A151" s="136"/>
      <c r="B151" s="62">
        <v>133</v>
      </c>
      <c r="C151" s="82">
        <v>2060700031</v>
      </c>
      <c r="D151" s="80">
        <f>VLOOKUP(C151,[1]Database!$B:$E,4,0)</f>
        <v>85412120</v>
      </c>
      <c r="E151" s="81"/>
      <c r="F151" s="74" t="str">
        <f>VLOOKUP(C151,[1]Database!$B:$H,7,0)</f>
        <v>Dispositivo semicondutor tipo transistor, montado, proprio para montagem em superfície SMD, de capacidade de dissipacAo de 0,225W (2060700031)</v>
      </c>
      <c r="G151" s="75"/>
      <c r="H151" s="75"/>
      <c r="I151" s="75"/>
      <c r="J151" s="75"/>
      <c r="K151" s="75"/>
      <c r="L151" s="76"/>
      <c r="M151" s="83">
        <v>39000</v>
      </c>
      <c r="N151" s="95">
        <f>VLOOKUP(C151,[2]Sheet1!$C:$F,4,0)</f>
        <v>6.615E-2</v>
      </c>
      <c r="O151" s="63">
        <f t="shared" si="2"/>
        <v>2579.85</v>
      </c>
      <c r="P151" s="64" t="s">
        <v>564</v>
      </c>
      <c r="Q151" s="70" t="s">
        <v>563</v>
      </c>
      <c r="R151" s="64" t="s">
        <v>66</v>
      </c>
      <c r="S151" s="64" t="s">
        <v>65</v>
      </c>
    </row>
    <row r="152" spans="1:19" s="49" customFormat="1" ht="17.5" customHeight="1">
      <c r="A152" s="136"/>
      <c r="B152" s="62">
        <v>134</v>
      </c>
      <c r="C152" s="82">
        <v>2060900031</v>
      </c>
      <c r="D152" s="80">
        <f>VLOOKUP(C152,[1]Database!$B:$E,4,0)</f>
        <v>85413011</v>
      </c>
      <c r="E152" s="81"/>
      <c r="F152" s="74" t="str">
        <f>VLOOKUP(C152,[1]Database!$B:$H,7,0)</f>
        <v>TIRISTOR NAO MONTADO INTENSIDADE DE CORRENTE DE 0,5 A (REF. A02012 - COD. 2060900031)</v>
      </c>
      <c r="G152" s="75"/>
      <c r="H152" s="75"/>
      <c r="I152" s="75"/>
      <c r="J152" s="75"/>
      <c r="K152" s="75"/>
      <c r="L152" s="76"/>
      <c r="M152" s="83">
        <v>18000</v>
      </c>
      <c r="N152" s="95">
        <f>VLOOKUP(C152,[2]Sheet1!$C:$F,4,0)</f>
        <v>4.4100000000000007E-2</v>
      </c>
      <c r="O152" s="63">
        <f t="shared" si="2"/>
        <v>793.80000000000018</v>
      </c>
      <c r="P152" s="64" t="s">
        <v>564</v>
      </c>
      <c r="Q152" s="70" t="s">
        <v>563</v>
      </c>
      <c r="R152" s="64" t="s">
        <v>66</v>
      </c>
      <c r="S152" s="64" t="s">
        <v>65</v>
      </c>
    </row>
    <row r="153" spans="1:19" s="49" customFormat="1" ht="17.5" customHeight="1">
      <c r="A153" s="136"/>
      <c r="B153" s="62">
        <v>135</v>
      </c>
      <c r="C153" s="82">
        <v>2060900063</v>
      </c>
      <c r="D153" s="80">
        <f>VLOOKUP(C153,[1]Database!$B:$E,4,0)</f>
        <v>85412120</v>
      </c>
      <c r="E153" s="81"/>
      <c r="F153" s="74" t="str">
        <f>VLOOKUP(C153,[1]Database!$B:$H,7,0)</f>
        <v>DISPOSITIVO SEMICONDUTOR TIPO TRANSISTOR, MONTADO, PRoPRIO PARA MONTAGEM EM SUPERFÍCIE SMD, DE CAPACIDADE DE DISSIPAcAO 0,225W (2060900063) SMD</v>
      </c>
      <c r="G153" s="75"/>
      <c r="H153" s="75"/>
      <c r="I153" s="75"/>
      <c r="J153" s="75"/>
      <c r="K153" s="75"/>
      <c r="L153" s="76"/>
      <c r="M153" s="83">
        <v>1350000</v>
      </c>
      <c r="N153" s="95">
        <f>VLOOKUP(C153,[2]Sheet1!$C:$F,4,0)</f>
        <v>2.1000000000000001E-2</v>
      </c>
      <c r="O153" s="63">
        <f t="shared" si="2"/>
        <v>28350</v>
      </c>
      <c r="P153" s="64" t="s">
        <v>564</v>
      </c>
      <c r="Q153" s="70" t="s">
        <v>563</v>
      </c>
      <c r="R153" s="64" t="s">
        <v>66</v>
      </c>
      <c r="S153" s="64" t="s">
        <v>65</v>
      </c>
    </row>
    <row r="154" spans="1:19" s="49" customFormat="1" ht="17.5" customHeight="1">
      <c r="A154" s="136"/>
      <c r="B154" s="62">
        <v>136</v>
      </c>
      <c r="C154" s="82">
        <v>2061500020</v>
      </c>
      <c r="D154" s="80">
        <f>VLOOKUP(C154,[1]Database!$B:$E,4,0)</f>
        <v>85411022</v>
      </c>
      <c r="E154" s="81"/>
      <c r="F154" s="74" t="str">
        <f>VLOOKUP(C154,[1]Database!$B:$H,7,0)</f>
        <v>DISPOSITIVO SEMICONDUTOR TIPO DIODO schottky montado, proprio para montagem em superfície SMD, de intensidade de corrente 0,2A (2061500020)</v>
      </c>
      <c r="G154" s="75"/>
      <c r="H154" s="75"/>
      <c r="I154" s="75"/>
      <c r="J154" s="75"/>
      <c r="K154" s="75"/>
      <c r="L154" s="76"/>
      <c r="M154" s="83">
        <v>342000</v>
      </c>
      <c r="N154" s="95">
        <f>VLOOKUP(C154,[2]Sheet1!$C:$F,4,0)</f>
        <v>3.8850000000000003E-2</v>
      </c>
      <c r="O154" s="63">
        <f t="shared" si="2"/>
        <v>13286.7</v>
      </c>
      <c r="P154" s="64" t="s">
        <v>564</v>
      </c>
      <c r="Q154" s="70" t="s">
        <v>563</v>
      </c>
      <c r="R154" s="64" t="s">
        <v>66</v>
      </c>
      <c r="S154" s="64" t="s">
        <v>65</v>
      </c>
    </row>
    <row r="155" spans="1:19" s="49" customFormat="1" ht="17.5" customHeight="1">
      <c r="A155" s="136"/>
      <c r="B155" s="62">
        <v>137</v>
      </c>
      <c r="C155" s="82">
        <v>2061500050</v>
      </c>
      <c r="D155" s="80">
        <f>VLOOKUP(C155,[1]Database!$B:$E,4,0)</f>
        <v>85411022</v>
      </c>
      <c r="E155" s="81"/>
      <c r="F155" s="74" t="str">
        <f>VLOOKUP(C155,[1]Database!$B:$H,7,0)</f>
        <v>DISPOSITIVO SEMICONDUTOR TIPO DIODO de recuperacAo rapida montado, proprio para montagem em superfície SMD, de intensidade de corrente 0,2A (2061500050)</v>
      </c>
      <c r="G155" s="75"/>
      <c r="H155" s="75"/>
      <c r="I155" s="75"/>
      <c r="J155" s="75"/>
      <c r="K155" s="75"/>
      <c r="L155" s="76"/>
      <c r="M155" s="83">
        <v>108000</v>
      </c>
      <c r="N155" s="95">
        <f>VLOOKUP(C155,[2]Sheet1!$C:$F,4,0)</f>
        <v>3.3600000000000005E-2</v>
      </c>
      <c r="O155" s="63">
        <f t="shared" si="2"/>
        <v>3628.8000000000006</v>
      </c>
      <c r="P155" s="64" t="s">
        <v>564</v>
      </c>
      <c r="Q155" s="70" t="s">
        <v>563</v>
      </c>
      <c r="R155" s="64" t="s">
        <v>66</v>
      </c>
      <c r="S155" s="64" t="s">
        <v>65</v>
      </c>
    </row>
    <row r="156" spans="1:19" s="49" customFormat="1" ht="17.5" customHeight="1">
      <c r="A156" s="136"/>
      <c r="B156" s="62">
        <v>138</v>
      </c>
      <c r="C156" s="82">
        <v>2061500070</v>
      </c>
      <c r="D156" s="80">
        <f>VLOOKUP(C156,[1]Database!$B:$E,4,0)</f>
        <v>85411022</v>
      </c>
      <c r="E156" s="81"/>
      <c r="F156" s="74" t="str">
        <f>VLOOKUP(C156,[1]Database!$B:$H,7,0)</f>
        <v>DISPOSITIVO SEMICONDUTOR TIPO DIODO de recuperacAo rapida montado, proprio para montagem em superfície SMD, de intensidade de corrente 0,2A (2061500070)</v>
      </c>
      <c r="G156" s="75"/>
      <c r="H156" s="75"/>
      <c r="I156" s="75"/>
      <c r="J156" s="75"/>
      <c r="K156" s="75"/>
      <c r="L156" s="76"/>
      <c r="M156" s="83">
        <v>105000</v>
      </c>
      <c r="N156" s="95">
        <f>VLOOKUP(C156,[2]Sheet1!$C:$F,4,0)</f>
        <v>1.7640000000000003E-2</v>
      </c>
      <c r="O156" s="63">
        <f t="shared" si="2"/>
        <v>1852.2000000000003</v>
      </c>
      <c r="P156" s="64" t="s">
        <v>564</v>
      </c>
      <c r="Q156" s="70" t="s">
        <v>563</v>
      </c>
      <c r="R156" s="64" t="s">
        <v>66</v>
      </c>
      <c r="S156" s="64" t="s">
        <v>65</v>
      </c>
    </row>
    <row r="157" spans="1:19" s="49" customFormat="1" ht="17.5" customHeight="1">
      <c r="A157" s="136"/>
      <c r="B157" s="62">
        <v>139</v>
      </c>
      <c r="C157" s="82">
        <v>2061500130</v>
      </c>
      <c r="D157" s="80">
        <f>VLOOKUP(C157,[1]Database!$B:$E,4,0)</f>
        <v>85411022</v>
      </c>
      <c r="E157" s="81"/>
      <c r="F157" s="74" t="str">
        <f>VLOOKUP(C157,[1]Database!$B:$H,7,0)</f>
        <v>DISPOSITIVO SEMICONDUTOR TIPO DIODO de recuperacAo rapida montado, proprio para montagem em superfície SMD, de intensidade de corrente 2A (2061500130)</v>
      </c>
      <c r="G157" s="75"/>
      <c r="H157" s="75"/>
      <c r="I157" s="75"/>
      <c r="J157" s="75"/>
      <c r="K157" s="75"/>
      <c r="L157" s="76"/>
      <c r="M157" s="83">
        <v>27000</v>
      </c>
      <c r="N157" s="95">
        <f>VLOOKUP(C157,[2]Sheet1!$C:$F,4,0)</f>
        <v>4.6725000000000003E-2</v>
      </c>
      <c r="O157" s="63">
        <f t="shared" si="2"/>
        <v>1261.575</v>
      </c>
      <c r="P157" s="64" t="s">
        <v>564</v>
      </c>
      <c r="Q157" s="70" t="s">
        <v>563</v>
      </c>
      <c r="R157" s="64" t="s">
        <v>66</v>
      </c>
      <c r="S157" s="64" t="s">
        <v>65</v>
      </c>
    </row>
    <row r="158" spans="1:19" s="49" customFormat="1" ht="17.5" customHeight="1">
      <c r="A158" s="136"/>
      <c r="B158" s="62">
        <v>140</v>
      </c>
      <c r="C158" s="82">
        <v>2061500140</v>
      </c>
      <c r="D158" s="80">
        <f>VLOOKUP(C158,[1]Database!$B:$E,4,0)</f>
        <v>85411022</v>
      </c>
      <c r="E158" s="81"/>
      <c r="F158" s="74" t="str">
        <f>VLOOKUP(C158,[1]Database!$B:$H,7,0)</f>
        <v>DISPOSITIVO SEMICONDUTOR TIPO DIODO de recuperacAo rapida montado, proprio para montagem em superfície SMD, de intensidade de corrente 3A</v>
      </c>
      <c r="G158" s="75"/>
      <c r="H158" s="75"/>
      <c r="I158" s="75"/>
      <c r="J158" s="75"/>
      <c r="K158" s="75"/>
      <c r="L158" s="76"/>
      <c r="M158" s="83">
        <v>21000</v>
      </c>
      <c r="N158" s="95">
        <f>VLOOKUP(C158,[2]Sheet1!$C:$F,4,0)</f>
        <v>0.10279500000000001</v>
      </c>
      <c r="O158" s="63">
        <f t="shared" si="2"/>
        <v>2158.6950000000002</v>
      </c>
      <c r="P158" s="64" t="s">
        <v>564</v>
      </c>
      <c r="Q158" s="70" t="s">
        <v>563</v>
      </c>
      <c r="R158" s="64" t="s">
        <v>66</v>
      </c>
      <c r="S158" s="64" t="s">
        <v>65</v>
      </c>
    </row>
    <row r="159" spans="1:19" s="49" customFormat="1" ht="17.5" customHeight="1">
      <c r="A159" s="136"/>
      <c r="B159" s="62">
        <v>141</v>
      </c>
      <c r="C159" s="82">
        <v>2061500150</v>
      </c>
      <c r="D159" s="80">
        <f>VLOOKUP(C159,[1]Database!$B:$E,4,0)</f>
        <v>85411022</v>
      </c>
      <c r="E159" s="81"/>
      <c r="F159" s="74" t="str">
        <f>VLOOKUP(C159,[1]Database!$B:$H,7,0)</f>
        <v>DISPOSITIVO SEMICONDUTOR TIPO DIODO de recuperacAo rapida montado, proprio para montagem em superfície SMD, de intendisade de corrente 1A</v>
      </c>
      <c r="G159" s="75"/>
      <c r="H159" s="75"/>
      <c r="I159" s="75"/>
      <c r="J159" s="75"/>
      <c r="K159" s="75"/>
      <c r="L159" s="76"/>
      <c r="M159" s="101">
        <v>60000</v>
      </c>
      <c r="N159" s="95">
        <f>VLOOKUP(C159,[2]Sheet1!$C:$F,4,0)</f>
        <v>2.3940000000000003E-2</v>
      </c>
      <c r="O159" s="63">
        <f t="shared" si="2"/>
        <v>1436.4</v>
      </c>
      <c r="P159" s="64" t="s">
        <v>564</v>
      </c>
      <c r="Q159" s="70" t="s">
        <v>563</v>
      </c>
      <c r="R159" s="64" t="s">
        <v>66</v>
      </c>
      <c r="S159" s="64" t="s">
        <v>65</v>
      </c>
    </row>
    <row r="160" spans="1:19" s="49" customFormat="1" ht="17.5" customHeight="1">
      <c r="A160" s="136"/>
      <c r="B160" s="62">
        <v>142</v>
      </c>
      <c r="C160" s="82">
        <v>2070101121</v>
      </c>
      <c r="D160" s="80">
        <f>VLOOKUP(C160,[1]Database!$B:$E,4,0)</f>
        <v>85065010</v>
      </c>
      <c r="E160" s="81"/>
      <c r="F160" s="74" t="str">
        <f>VLOOKUP(C160,[1]Database!$B:$H,7,0)</f>
        <v>PILHA ELETRICA DE LÍTIO DE VOLUME EXTERIOR 1.00531 CM³, EM FORMATO DE MOEDA. TENSAO ELETRICA DE 3.0V, CORRENTE ELETRICA DE PICO DE 3MA E 0.15MA DE CORRENTE ELETRICA DE TRABALHO. POTENCIA ELETRICA DE 225MAH.</v>
      </c>
      <c r="G160" s="75"/>
      <c r="H160" s="75"/>
      <c r="I160" s="75"/>
      <c r="J160" s="75"/>
      <c r="K160" s="75"/>
      <c r="L160" s="76"/>
      <c r="M160" s="83">
        <v>36000</v>
      </c>
      <c r="N160" s="95">
        <f>VLOOKUP(C160,[2]Sheet1!$C:$F,4,0)</f>
        <v>0.70350000000000013</v>
      </c>
      <c r="O160" s="63">
        <f t="shared" si="2"/>
        <v>25326.000000000004</v>
      </c>
      <c r="P160" s="64" t="s">
        <v>564</v>
      </c>
      <c r="Q160" s="70" t="s">
        <v>563</v>
      </c>
      <c r="R160" s="64" t="s">
        <v>66</v>
      </c>
      <c r="S160" s="64" t="s">
        <v>65</v>
      </c>
    </row>
    <row r="161" spans="1:19" s="49" customFormat="1" ht="17.5" customHeight="1">
      <c r="A161" s="136"/>
      <c r="B161" s="62">
        <v>143</v>
      </c>
      <c r="C161" s="82">
        <v>2090100031</v>
      </c>
      <c r="D161" s="80">
        <f>VLOOKUP(C161,[1]Database!$B:$E,4,0)</f>
        <v>85369090</v>
      </c>
      <c r="E161" s="81"/>
      <c r="F161" s="74" t="str">
        <f>VLOOKUP(C161,[1]Database!$B:$H,7,0)</f>
        <v>CONECTOR DE COMUNICAcAO DUPLO PARA CONEXAO DE CIRCUITO ELeTRICO COM TENSAO ATe 320V - PH2.54 2/2*4P L37.0  Z (REF. G04028 - COD. 2090100031)</v>
      </c>
      <c r="G161" s="75"/>
      <c r="H161" s="75"/>
      <c r="I161" s="75"/>
      <c r="J161" s="75"/>
      <c r="K161" s="75"/>
      <c r="L161" s="76"/>
      <c r="M161" s="83">
        <v>60000</v>
      </c>
      <c r="N161" s="95">
        <f>VLOOKUP(C161,[2]Sheet1!$C:$F,4,0)</f>
        <v>1.89E-2</v>
      </c>
      <c r="O161" s="63">
        <f t="shared" si="2"/>
        <v>1134</v>
      </c>
      <c r="P161" s="64" t="s">
        <v>564</v>
      </c>
      <c r="Q161" s="70" t="s">
        <v>563</v>
      </c>
      <c r="R161" s="64" t="s">
        <v>66</v>
      </c>
      <c r="S161" s="64" t="s">
        <v>65</v>
      </c>
    </row>
    <row r="162" spans="1:19" s="49" customFormat="1" ht="17.5" customHeight="1">
      <c r="A162" s="136"/>
      <c r="B162" s="62">
        <v>144</v>
      </c>
      <c r="C162" s="82">
        <v>2090100041</v>
      </c>
      <c r="D162" s="80">
        <f>VLOOKUP(C162,[1]Database!$B:$E,4,0)</f>
        <v>85369040</v>
      </c>
      <c r="E162" s="81"/>
      <c r="F162" s="74" t="str">
        <f>VLOOKUP(C162,[1]Database!$B:$H,7,0)</f>
        <v>CONECTOR PARA CIRCUITO IMPRESSO, DE TENSAO ATe 320V, 1×4, 2.54, H:8.5MM (REF. G04052 ) (2090100041)</v>
      </c>
      <c r="G162" s="75"/>
      <c r="H162" s="75"/>
      <c r="I162" s="75"/>
      <c r="J162" s="75"/>
      <c r="K162" s="75"/>
      <c r="L162" s="76"/>
      <c r="M162" s="83">
        <v>114400</v>
      </c>
      <c r="N162" s="95">
        <f>VLOOKUP(C162,[2]Sheet1!$C:$F,4,0)</f>
        <v>6.3755999999999993E-2</v>
      </c>
      <c r="O162" s="63">
        <f t="shared" si="2"/>
        <v>7293.6863999999996</v>
      </c>
      <c r="P162" s="64" t="s">
        <v>564</v>
      </c>
      <c r="Q162" s="70" t="s">
        <v>563</v>
      </c>
      <c r="R162" s="64" t="s">
        <v>66</v>
      </c>
      <c r="S162" s="64" t="s">
        <v>65</v>
      </c>
    </row>
    <row r="163" spans="1:19" s="49" customFormat="1" ht="17.5" customHeight="1">
      <c r="A163" s="136"/>
      <c r="B163" s="62">
        <v>145</v>
      </c>
      <c r="C163" s="82">
        <v>2090100411</v>
      </c>
      <c r="D163" s="80">
        <f>VLOOKUP(C163,[1]Database!$B:$E,4,0)</f>
        <v>85369040</v>
      </c>
      <c r="E163" s="81"/>
      <c r="F163" s="74" t="str">
        <f>VLOOKUP(C163,[1]Database!$B:$H,7,0)</f>
        <v xml:space="preserve">Conector para circuito impresso, de tensAo ate 320V, de 12 vias femea para montagem por insercAo (PTH), 2/6*12P com espacamento de  2.54mm entre os terminais (2090100411)
</v>
      </c>
      <c r="G163" s="75"/>
      <c r="H163" s="75"/>
      <c r="I163" s="75"/>
      <c r="J163" s="75"/>
      <c r="K163" s="75"/>
      <c r="L163" s="76"/>
      <c r="M163" s="83">
        <v>156000</v>
      </c>
      <c r="N163" s="95">
        <f>VLOOKUP(C163,[2]Sheet1!$C:$F,4,0)</f>
        <v>0.1839075</v>
      </c>
      <c r="O163" s="63">
        <f t="shared" si="2"/>
        <v>28689.57</v>
      </c>
      <c r="P163" s="64" t="s">
        <v>564</v>
      </c>
      <c r="Q163" s="70" t="s">
        <v>563</v>
      </c>
      <c r="R163" s="64" t="s">
        <v>66</v>
      </c>
      <c r="S163" s="64" t="s">
        <v>65</v>
      </c>
    </row>
    <row r="164" spans="1:19" s="49" customFormat="1" ht="17.5" customHeight="1">
      <c r="A164" s="136"/>
      <c r="B164" s="62">
        <v>146</v>
      </c>
      <c r="C164" s="82">
        <v>2090103820</v>
      </c>
      <c r="D164" s="80">
        <f>VLOOKUP(C164,[1]Database!$B:$E,4,0)</f>
        <v>85369040</v>
      </c>
      <c r="E164" s="81"/>
      <c r="F164" s="74" t="str">
        <f>VLOOKUP(C164,[1]Database!$B:$H,7,0)</f>
        <v>Conector para circuito impresso, de tensAo aproximada entre 0V e 20V, header, femea, para montagem PTH 2x17; espacamento 2,54mm; PTH (2090103820)</v>
      </c>
      <c r="G164" s="75"/>
      <c r="H164" s="75"/>
      <c r="I164" s="75"/>
      <c r="J164" s="75"/>
      <c r="K164" s="75"/>
      <c r="L164" s="76"/>
      <c r="M164" s="83">
        <v>60800</v>
      </c>
      <c r="N164" s="95">
        <f>VLOOKUP(C164,[2]Sheet1!$C:$F,4,0)</f>
        <v>0.41941200000000006</v>
      </c>
      <c r="O164" s="63">
        <f t="shared" si="2"/>
        <v>25500.249600000003</v>
      </c>
      <c r="P164" s="64" t="s">
        <v>564</v>
      </c>
      <c r="Q164" s="70" t="s">
        <v>563</v>
      </c>
      <c r="R164" s="64" t="s">
        <v>66</v>
      </c>
      <c r="S164" s="64" t="s">
        <v>65</v>
      </c>
    </row>
    <row r="165" spans="1:19" s="49" customFormat="1" ht="17.5" customHeight="1">
      <c r="A165" s="136"/>
      <c r="B165" s="62">
        <v>147</v>
      </c>
      <c r="C165" s="82">
        <v>2090902871</v>
      </c>
      <c r="D165" s="80">
        <f>VLOOKUP(C165,[1]Database!$B:$E,4,0)</f>
        <v>85369040</v>
      </c>
      <c r="E165" s="81"/>
      <c r="F165" s="74" t="str">
        <f>VLOOKUP(C165,[1]Database!$B:$H,7,0)</f>
        <v>Conector para circuito impresso, de tensAo aproximada entre 0V e 20V, tipo borne para montagem PTH, 1x7, espacamento 5,08mm; Reto; 12A UL/15A IEC (2090902871)</v>
      </c>
      <c r="G165" s="75"/>
      <c r="H165" s="75"/>
      <c r="I165" s="75"/>
      <c r="J165" s="75"/>
      <c r="K165" s="75"/>
      <c r="L165" s="76"/>
      <c r="M165" s="83">
        <v>81000</v>
      </c>
      <c r="N165" s="95">
        <f>VLOOKUP(C165,[2]Sheet1!$C:$F,4,0)</f>
        <v>1.9513200000000002</v>
      </c>
      <c r="O165" s="63">
        <f t="shared" si="2"/>
        <v>158056.92000000001</v>
      </c>
      <c r="P165" s="64" t="s">
        <v>564</v>
      </c>
      <c r="Q165" s="70" t="s">
        <v>563</v>
      </c>
      <c r="R165" s="64" t="s">
        <v>66</v>
      </c>
      <c r="S165" s="64" t="s">
        <v>65</v>
      </c>
    </row>
    <row r="166" spans="1:19" s="49" customFormat="1" ht="17.5" customHeight="1">
      <c r="A166" s="136"/>
      <c r="B166" s="62">
        <v>148</v>
      </c>
      <c r="C166" s="82">
        <v>2100301112</v>
      </c>
      <c r="D166" s="80">
        <f>VLOOKUP(C166,[1]Database!$B:$E,4,0)</f>
        <v>85043199</v>
      </c>
      <c r="E166" s="81"/>
      <c r="F166" s="74" t="str">
        <f>VLOOKUP(C166,[1]Database!$B:$H,7,0)</f>
        <v>TRANSFORMADOR  ELeTRICO, POTeNCIA 0,1kVA, DE ALTA FREQUeNCIA 42 KHZ 90uH 0µH 2 4200V EE20 23*22*18.5mm PTH (2100301112)</v>
      </c>
      <c r="G166" s="75"/>
      <c r="H166" s="75"/>
      <c r="I166" s="75"/>
      <c r="J166" s="75"/>
      <c r="K166" s="75"/>
      <c r="L166" s="76"/>
      <c r="M166" s="83">
        <v>59400</v>
      </c>
      <c r="N166" s="95">
        <f>VLOOKUP(C166,[2]Sheet1!$C:$F,4,0)</f>
        <v>1.7010000000000003</v>
      </c>
      <c r="O166" s="63">
        <f t="shared" si="2"/>
        <v>101039.40000000002</v>
      </c>
      <c r="P166" s="64" t="s">
        <v>564</v>
      </c>
      <c r="Q166" s="70" t="s">
        <v>563</v>
      </c>
      <c r="R166" s="64" t="s">
        <v>66</v>
      </c>
      <c r="S166" s="64" t="s">
        <v>65</v>
      </c>
    </row>
    <row r="167" spans="1:19" s="49" customFormat="1" ht="17.5" customHeight="1">
      <c r="A167" s="136"/>
      <c r="B167" s="62">
        <v>149</v>
      </c>
      <c r="C167" s="82">
        <v>2110100012</v>
      </c>
      <c r="D167" s="80">
        <f>VLOOKUP(C167,[1]Database!$B:$E,4,0)</f>
        <v>85416090</v>
      </c>
      <c r="E167" s="81"/>
      <c r="F167" s="74" t="str">
        <f>VLOOKUP(C167,[1]Database!$B:$H,7,0)</f>
        <v>CRISTAL PIEZELeTRICO MONTADO, DE FREQUENCIA 0,032768 MHz (D01053-1) (2110100012)</v>
      </c>
      <c r="G167" s="75"/>
      <c r="H167" s="75"/>
      <c r="I167" s="75"/>
      <c r="J167" s="75"/>
      <c r="K167" s="75"/>
      <c r="L167" s="76"/>
      <c r="M167" s="83">
        <v>111000</v>
      </c>
      <c r="N167" s="95">
        <f>VLOOKUP(C167,[2]Sheet1!$C:$F,4,0)</f>
        <v>0.40884900000000002</v>
      </c>
      <c r="O167" s="63">
        <f t="shared" si="2"/>
        <v>45382.239000000001</v>
      </c>
      <c r="P167" s="64" t="s">
        <v>564</v>
      </c>
      <c r="Q167" s="70" t="s">
        <v>563</v>
      </c>
      <c r="R167" s="64" t="s">
        <v>66</v>
      </c>
      <c r="S167" s="64" t="s">
        <v>65</v>
      </c>
    </row>
    <row r="168" spans="1:19" s="49" customFormat="1" ht="17.5" customHeight="1">
      <c r="A168" s="136"/>
      <c r="B168" s="62">
        <v>150</v>
      </c>
      <c r="C168" s="82">
        <v>2110300750</v>
      </c>
      <c r="D168" s="80">
        <f>VLOOKUP(C168,[1]Database!$B:$E,4,0)</f>
        <v>85416010</v>
      </c>
      <c r="E168" s="81"/>
      <c r="F168" s="74" t="str">
        <f>VLOOKUP(C168,[1]Database!$B:$H,7,0)</f>
        <v>Cristal piezeletrico montado, de frequencia 5.5296MHz</v>
      </c>
      <c r="G168" s="75"/>
      <c r="H168" s="75"/>
      <c r="I168" s="75"/>
      <c r="J168" s="75"/>
      <c r="K168" s="75"/>
      <c r="L168" s="76"/>
      <c r="M168" s="83">
        <v>39000</v>
      </c>
      <c r="N168" s="95">
        <f>VLOOKUP(C168,[2]Sheet1!$C:$F,4,0)</f>
        <v>0.22564500000000001</v>
      </c>
      <c r="O168" s="63">
        <f t="shared" si="2"/>
        <v>8800.1550000000007</v>
      </c>
      <c r="P168" s="64" t="s">
        <v>564</v>
      </c>
      <c r="Q168" s="70" t="s">
        <v>563</v>
      </c>
      <c r="R168" s="64" t="s">
        <v>66</v>
      </c>
      <c r="S168" s="64" t="s">
        <v>65</v>
      </c>
    </row>
    <row r="169" spans="1:19" s="49" customFormat="1" ht="17.5" customHeight="1">
      <c r="A169" s="136"/>
      <c r="B169" s="62">
        <v>151</v>
      </c>
      <c r="C169" s="82">
        <v>2120304121</v>
      </c>
      <c r="D169" s="80">
        <f>VLOOKUP(C169,[1]Database!$B:$E,4,0)</f>
        <v>85241100</v>
      </c>
      <c r="E169" s="81"/>
      <c r="F169" s="74" t="str">
        <f>VLOOKUP(C169,[1]Database!$B:$H,7,0)</f>
        <v>MoDULO DE VISUALIZAcAO DE TELA (eCRA) PLANA (DISPLAY) DE CRISTAL LÍQUIDO (LCD)  SEM CONTROLADOR (DRIVERS) NEM CIRCUITOS DE CONTROLE HTN;49.5*16.2mm 3.4V 6*12;26mm  para apresentacAo de Codigo, valor e unidade de Energia e demais grandezas exibidas, apresentacAo de símbolos indicadores de tarifa corrente, quadrande de energia, Bateria Fraca, LCD - Modo Alternativo, Horario de VerAo, Alarmes (2120304121) PTH</v>
      </c>
      <c r="G169" s="75"/>
      <c r="H169" s="75"/>
      <c r="I169" s="75"/>
      <c r="J169" s="75"/>
      <c r="K169" s="75"/>
      <c r="L169" s="76"/>
      <c r="M169" s="83">
        <v>145615</v>
      </c>
      <c r="N169" s="95">
        <f>VLOOKUP(C169,[2]Sheet1!$C:$F,4,0)</f>
        <v>1.47</v>
      </c>
      <c r="O169" s="63">
        <f t="shared" si="2"/>
        <v>214054.05</v>
      </c>
      <c r="P169" s="64" t="s">
        <v>564</v>
      </c>
      <c r="Q169" s="70" t="s">
        <v>563</v>
      </c>
      <c r="R169" s="64" t="s">
        <v>66</v>
      </c>
      <c r="S169" s="64" t="s">
        <v>65</v>
      </c>
    </row>
    <row r="170" spans="1:19" s="49" customFormat="1" ht="17.5" customHeight="1">
      <c r="A170" s="136"/>
      <c r="B170" s="62">
        <v>152</v>
      </c>
      <c r="C170" s="82">
        <v>2120306171</v>
      </c>
      <c r="D170" s="80">
        <f>VLOOKUP(C170,[1]Database!$B:$E,4,0)</f>
        <v>85241100</v>
      </c>
      <c r="E170" s="81"/>
      <c r="F170" s="74" t="str">
        <f>VLOOKUP(C170,[1]Database!$B:$H,7,0)</f>
        <v>Modulo de visualizacAo de tela (ecrA) plana, de cristal líquido, sem controlador (driver) nem circuito de controle, utilizado em processo de montagem por insercAo (PTH), com tensAo de operacAo 3.4V e dimensoes 39.8x18x30.2 mm</v>
      </c>
      <c r="G170" s="75"/>
      <c r="H170" s="75"/>
      <c r="I170" s="75"/>
      <c r="J170" s="75"/>
      <c r="K170" s="75"/>
      <c r="L170" s="76"/>
      <c r="M170" s="83">
        <v>125597</v>
      </c>
      <c r="N170" s="95">
        <f>VLOOKUP(C170,[2]Sheet1!$C:$F,4,0)</f>
        <v>0.95550000000000013</v>
      </c>
      <c r="O170" s="63">
        <f t="shared" si="2"/>
        <v>120007.93350000001</v>
      </c>
      <c r="P170" s="64" t="s">
        <v>564</v>
      </c>
      <c r="Q170" s="70" t="s">
        <v>563</v>
      </c>
      <c r="R170" s="64" t="s">
        <v>66</v>
      </c>
      <c r="S170" s="64" t="s">
        <v>65</v>
      </c>
    </row>
    <row r="171" spans="1:19" s="49" customFormat="1" ht="17.5" customHeight="1">
      <c r="A171" s="136"/>
      <c r="B171" s="62">
        <v>153</v>
      </c>
      <c r="C171" s="82">
        <v>2120307111</v>
      </c>
      <c r="D171" s="80">
        <f>VLOOKUP(C171,[1]Database!$B:$E,4,0)</f>
        <v>85241100</v>
      </c>
      <c r="E171" s="81"/>
      <c r="F171" s="74" t="str">
        <f>VLOOKUP(C171,[1]Database!$B:$H,7,0)</f>
        <v>MODULO DE VISUALIZACAO DE TELA ( ECRA) PLANA (MOSTRADOR), DE CRISTAL LIQUIDO PARA MEDIDORES ELETRONICOS DE ENERGIA ELETRICA UTILIZADOS EM PROCESSO DE MONTAGEM POR INSERCAO (PTH), COM TENSAO DE OPERACAO 3,3V E DIMENSOES 77 X 36 MM, SEM CONTROLADOR (DRIVER) NEM CIRCUITO DE CONTROLE</v>
      </c>
      <c r="G171" s="75"/>
      <c r="H171" s="75"/>
      <c r="I171" s="75"/>
      <c r="J171" s="75"/>
      <c r="K171" s="75"/>
      <c r="L171" s="76"/>
      <c r="M171" s="83">
        <v>39840</v>
      </c>
      <c r="N171" s="95">
        <f>VLOOKUP(C171,[2]Sheet1!$C:$F,4,0)</f>
        <v>7.9799999999999995</v>
      </c>
      <c r="O171" s="63">
        <f t="shared" si="2"/>
        <v>317923.19999999995</v>
      </c>
      <c r="P171" s="64" t="s">
        <v>564</v>
      </c>
      <c r="Q171" s="70" t="s">
        <v>563</v>
      </c>
      <c r="R171" s="64" t="s">
        <v>66</v>
      </c>
      <c r="S171" s="64" t="s">
        <v>65</v>
      </c>
    </row>
    <row r="172" spans="1:19" s="49" customFormat="1" ht="17.5" customHeight="1">
      <c r="A172" s="136"/>
      <c r="B172" s="62">
        <v>154</v>
      </c>
      <c r="C172" s="82">
        <v>2130101421</v>
      </c>
      <c r="D172" s="80">
        <f>VLOOKUP(C172,[1]Database!$B:$E,4,0)</f>
        <v>85414111</v>
      </c>
      <c r="E172" s="81"/>
      <c r="F172" s="74" t="str">
        <f>VLOOKUP(C172,[1]Database!$B:$H,7,0)</f>
        <v>Diodo emissor de luz (LED) nAo montado para funcAo backlight; GBLP10W3-S8838-18.2; 3V; white; 86.1 * 38.6 * 19.2mm ;19.1mm</v>
      </c>
      <c r="G172" s="75"/>
      <c r="H172" s="75"/>
      <c r="I172" s="75"/>
      <c r="J172" s="75"/>
      <c r="K172" s="75"/>
      <c r="L172" s="76"/>
      <c r="M172" s="83">
        <v>64800</v>
      </c>
      <c r="N172" s="95">
        <f>VLOOKUP(C172,[2]Sheet1!$C:$F,4,0)</f>
        <v>0.97125000000000006</v>
      </c>
      <c r="O172" s="63">
        <f t="shared" si="2"/>
        <v>62937.000000000007</v>
      </c>
      <c r="P172" s="64" t="s">
        <v>564</v>
      </c>
      <c r="Q172" s="70" t="s">
        <v>563</v>
      </c>
      <c r="R172" s="64" t="s">
        <v>66</v>
      </c>
      <c r="S172" s="64" t="s">
        <v>65</v>
      </c>
    </row>
    <row r="173" spans="1:19" s="49" customFormat="1" ht="17.5" customHeight="1">
      <c r="A173" s="136"/>
      <c r="B173" s="62">
        <v>155</v>
      </c>
      <c r="C173" s="82">
        <v>2140104080</v>
      </c>
      <c r="D173" s="80">
        <f>VLOOKUP(C173,[1]Database!$B:$E,4,0)</f>
        <v>85177190</v>
      </c>
      <c r="E173" s="81"/>
      <c r="F173" s="74" t="str">
        <f>VLOOKUP(C173,[1]Database!$B:$H,7,0)</f>
        <v>Antena de comunicacAo por radio frequencia com conector SMA, com ganho de 2dBi, comprimento 57mm, frequencia de 902~928MHz para uso nos modulos de comunicacAo Zeus-NG.</v>
      </c>
      <c r="G173" s="75"/>
      <c r="H173" s="75"/>
      <c r="I173" s="75"/>
      <c r="J173" s="75"/>
      <c r="K173" s="75"/>
      <c r="L173" s="76"/>
      <c r="M173" s="83">
        <v>18500</v>
      </c>
      <c r="N173" s="95">
        <f>VLOOKUP(C173,[2]Sheet1!$C:$F,4,0)</f>
        <v>2.1714000000000002</v>
      </c>
      <c r="O173" s="63">
        <f t="shared" si="2"/>
        <v>40170.9</v>
      </c>
      <c r="P173" s="64" t="s">
        <v>564</v>
      </c>
      <c r="Q173" s="70" t="s">
        <v>563</v>
      </c>
      <c r="R173" s="64" t="s">
        <v>66</v>
      </c>
      <c r="S173" s="64" t="s">
        <v>65</v>
      </c>
    </row>
    <row r="174" spans="1:19" s="49" customFormat="1" ht="17.5" customHeight="1">
      <c r="A174" s="136"/>
      <c r="B174" s="62">
        <v>156</v>
      </c>
      <c r="C174" s="82">
        <v>2140104280</v>
      </c>
      <c r="D174" s="80">
        <f>VLOOKUP(C174,[1]Database!$B:$E,4,0)</f>
        <v>85177190</v>
      </c>
      <c r="E174" s="81"/>
      <c r="F174" s="74" t="str">
        <f>VLOOKUP(C174,[1]Database!$B:$H,7,0)</f>
        <v>Antena de comunicacao do tipo interna de haste curta, com conector SMA com ganho de 2dBi, comprimento 95mm, frequencia de 700～960/1710～2690MHz, parte para uso nos módulos de comunicacao.</v>
      </c>
      <c r="G174" s="75"/>
      <c r="H174" s="75"/>
      <c r="I174" s="75"/>
      <c r="J174" s="75"/>
      <c r="K174" s="75"/>
      <c r="L174" s="76"/>
      <c r="M174" s="83">
        <v>9900</v>
      </c>
      <c r="N174" s="95">
        <f>VLOOKUP(C174,[2]Sheet1!$C:$F,4,0)</f>
        <v>3.99735</v>
      </c>
      <c r="O174" s="63">
        <f t="shared" si="2"/>
        <v>39573.764999999999</v>
      </c>
      <c r="P174" s="64" t="s">
        <v>564</v>
      </c>
      <c r="Q174" s="70" t="s">
        <v>563</v>
      </c>
      <c r="R174" s="64" t="s">
        <v>66</v>
      </c>
      <c r="S174" s="64" t="s">
        <v>65</v>
      </c>
    </row>
    <row r="175" spans="1:19" s="49" customFormat="1" ht="17.5" customHeight="1">
      <c r="A175" s="136"/>
      <c r="B175" s="62">
        <v>157</v>
      </c>
      <c r="C175" s="82">
        <v>2140500140</v>
      </c>
      <c r="D175" s="80">
        <f>VLOOKUP(C175,[1]Database!$B:$E,4,0)</f>
        <v>85369040</v>
      </c>
      <c r="E175" s="81"/>
      <c r="F175" s="74" t="str">
        <f>VLOOKUP(C175,[1]Database!$B:$H,7,0)</f>
        <v>Conectores para circuito impresso, de tensAo ate 300V, adaptadores de conexAo RF IPEX para SMA femea, cinza, 100 mm (2140500140)</v>
      </c>
      <c r="G175" s="75"/>
      <c r="H175" s="75"/>
      <c r="I175" s="75"/>
      <c r="J175" s="75"/>
      <c r="K175" s="75"/>
      <c r="L175" s="76"/>
      <c r="M175" s="83">
        <v>41000</v>
      </c>
      <c r="N175" s="95">
        <f>VLOOKUP(C175,[2]Sheet1!$C:$F,4,0)</f>
        <v>1.3860000000000001</v>
      </c>
      <c r="O175" s="63">
        <f t="shared" si="2"/>
        <v>56826.000000000007</v>
      </c>
      <c r="P175" s="64" t="s">
        <v>564</v>
      </c>
      <c r="Q175" s="70" t="s">
        <v>563</v>
      </c>
      <c r="R175" s="64" t="s">
        <v>66</v>
      </c>
      <c r="S175" s="64" t="s">
        <v>65</v>
      </c>
    </row>
    <row r="176" spans="1:19" s="49" customFormat="1" ht="17.5" customHeight="1">
      <c r="A176" s="136"/>
      <c r="B176" s="62">
        <v>158</v>
      </c>
      <c r="C176" s="82">
        <v>2150148810</v>
      </c>
      <c r="D176" s="80">
        <f>VLOOKUP(C176,[1]Database!$B:$E,4,0)</f>
        <v>85340033</v>
      </c>
      <c r="E176" s="81"/>
      <c r="F176" s="74" t="str">
        <f>VLOOKUP(C176,[1]Database!$B:$H,7,0)</f>
        <v>PLACA DE CIRCUITO IMPRESSO DE NATUREZA DO MATERIAL BASE RÍGIDO, COMPOSIcAO DA PLACA COM ISOLANTE DE RESINA EPoXIDA E TECIDO DE FIBRA DE VIDRO, ESTRUTURA DE DUPLA FACE, E INTERLIGAcAO ENTRE FACES COM FUROS METALIZADOS, 2 233.0mm*160.0mm*1.6mm/4 nAo-RoHS (ref.2150148810) SMD</v>
      </c>
      <c r="G176" s="75"/>
      <c r="H176" s="75"/>
      <c r="I176" s="75"/>
      <c r="J176" s="75"/>
      <c r="K176" s="75"/>
      <c r="L176" s="76"/>
      <c r="M176" s="83">
        <v>48928</v>
      </c>
      <c r="N176" s="95">
        <f>VLOOKUP(C176,[2]Sheet1!$C:$F,4,0)</f>
        <v>3.0137415000000001</v>
      </c>
      <c r="O176" s="63">
        <f t="shared" si="2"/>
        <v>147456.34411199999</v>
      </c>
      <c r="P176" s="64" t="s">
        <v>564</v>
      </c>
      <c r="Q176" s="70" t="s">
        <v>563</v>
      </c>
      <c r="R176" s="64" t="s">
        <v>66</v>
      </c>
      <c r="S176" s="64" t="s">
        <v>65</v>
      </c>
    </row>
    <row r="177" spans="1:19" s="49" customFormat="1" ht="17.5" customHeight="1">
      <c r="A177" s="136"/>
      <c r="B177" s="62">
        <v>159</v>
      </c>
      <c r="C177" s="82">
        <v>2150149920</v>
      </c>
      <c r="D177" s="80">
        <f>VLOOKUP(C177,[1]Database!$B:$E,4,0)</f>
        <v>85340033</v>
      </c>
      <c r="E177" s="81"/>
      <c r="F177" s="74" t="str">
        <f>VLOOKUP(C177,[1]Database!$B:$H,7,0)</f>
        <v>PLACA DE CIRCUITO IMPRESSO DE NATUREZA DO MATERIAL BASE RÍGIDO, COMPOSIcAO DA PLACA COM ISOLANTE DE RESINA EPoXIDA E TECIDO DE FIBRA DE VIDRO, ESTRUTURA DE DUPLA FACE, E INTERLIGAcAO ENTRE FACES COM FUROS METALIZADOS, 2 300,0mm*180,0mm*1,6mm/8 nAo-RoHS (2150149920) SMD</v>
      </c>
      <c r="G177" s="75"/>
      <c r="H177" s="75"/>
      <c r="I177" s="75"/>
      <c r="J177" s="75"/>
      <c r="K177" s="75"/>
      <c r="L177" s="76"/>
      <c r="M177" s="83">
        <v>29128</v>
      </c>
      <c r="N177" s="95">
        <f>VLOOKUP(C177,[2]Sheet1!$C:$F,4,0)</f>
        <v>2.1826980000000007</v>
      </c>
      <c r="O177" s="63">
        <f t="shared" si="2"/>
        <v>63577.627344000022</v>
      </c>
      <c r="P177" s="64" t="s">
        <v>564</v>
      </c>
      <c r="Q177" s="70" t="s">
        <v>563</v>
      </c>
      <c r="R177" s="64" t="s">
        <v>66</v>
      </c>
      <c r="S177" s="64" t="s">
        <v>65</v>
      </c>
    </row>
    <row r="178" spans="1:19" s="49" customFormat="1" ht="17.5" customHeight="1">
      <c r="A178" s="136"/>
      <c r="B178" s="62">
        <v>160</v>
      </c>
      <c r="C178" s="82">
        <v>2150160560</v>
      </c>
      <c r="D178" s="80">
        <f>VLOOKUP(C178,[1]Database!$B:$E,4,0)</f>
        <v>85340033</v>
      </c>
      <c r="E178" s="81"/>
      <c r="F178" s="74" t="str">
        <f>VLOOKUP(C178,[1]Database!$B:$H,7,0)</f>
        <v>PLACA DE CIRCUITO IMPRESSO, DE NATUREZA DO MATERIAL BASE RIGIDO, COMPOSICAO DA PLACA DE ISOLANTE DE RESINA EPOXIDA E TECIDO DE FIBRA DE VIDRO, ESTRUTURA DE DUPLA FACE E INTERLIGACAO ENTRE FACES POR FUROS METALIZADOS; dimensoes 320mm x 216,6mm</v>
      </c>
      <c r="G178" s="75"/>
      <c r="H178" s="75"/>
      <c r="I178" s="75"/>
      <c r="J178" s="75"/>
      <c r="K178" s="75"/>
      <c r="L178" s="76"/>
      <c r="M178" s="101">
        <v>520</v>
      </c>
      <c r="N178" s="95">
        <f>VLOOKUP(C178,[2]Sheet1!$C:$F,4,0)</f>
        <v>5.6032305000000004</v>
      </c>
      <c r="O178" s="63">
        <f t="shared" si="2"/>
        <v>2913.6798600000002</v>
      </c>
      <c r="P178" s="64" t="s">
        <v>564</v>
      </c>
      <c r="Q178" s="70" t="s">
        <v>563</v>
      </c>
      <c r="R178" s="64" t="s">
        <v>66</v>
      </c>
      <c r="S178" s="64" t="s">
        <v>65</v>
      </c>
    </row>
    <row r="179" spans="1:19" s="49" customFormat="1" ht="17.5" customHeight="1">
      <c r="A179" s="136"/>
      <c r="B179" s="62">
        <v>161</v>
      </c>
      <c r="C179" s="82">
        <v>2150165850</v>
      </c>
      <c r="D179" s="80">
        <f>VLOOKUP(C179,[1]Database!$B:$E,4,0)</f>
        <v>85340033</v>
      </c>
      <c r="E179" s="81"/>
      <c r="F179" s="74" t="str">
        <f>VLOOKUP(C179,[1]Database!$B:$H,7,0)</f>
        <v>PLACA DE CIRCUITO IMPRESSO, DE NATUREZA DO MATERIAL BASE RÍGIDO, COMPOSIcAO DA PLACA DE ISOLANTE DE RESINA EPoXIDA E TECIDO DE FIBRA DE VIDRO, ESTRUTURA DE DUPLA FACE E INTERLIGAcAO ENTRE FACES POR FUROS METALIZADOS; dimensoes 247.0mm x 235.0mm x 1.6mm/4 nAo-RoHS</v>
      </c>
      <c r="G179" s="75"/>
      <c r="H179" s="75"/>
      <c r="I179" s="75"/>
      <c r="J179" s="75"/>
      <c r="K179" s="75"/>
      <c r="L179" s="76"/>
      <c r="M179" s="83">
        <v>21628</v>
      </c>
      <c r="N179" s="95">
        <f>VLOOKUP(C179,[2]Sheet1!$C:$F,4,0)</f>
        <v>4.7733000000000008</v>
      </c>
      <c r="O179" s="63">
        <f t="shared" si="2"/>
        <v>103236.93240000002</v>
      </c>
      <c r="P179" s="64" t="s">
        <v>564</v>
      </c>
      <c r="Q179" s="70" t="s">
        <v>563</v>
      </c>
      <c r="R179" s="64" t="s">
        <v>66</v>
      </c>
      <c r="S179" s="64" t="s">
        <v>65</v>
      </c>
    </row>
    <row r="180" spans="1:19" s="49" customFormat="1" ht="17.5" customHeight="1">
      <c r="A180" s="136"/>
      <c r="B180" s="62">
        <v>162</v>
      </c>
      <c r="C180" s="82">
        <v>2150184130</v>
      </c>
      <c r="D180" s="80">
        <f>VLOOKUP(C180,[1]Database!$B:$E,4,0)</f>
        <v>85340033</v>
      </c>
      <c r="E180" s="81"/>
      <c r="F180" s="74" t="str">
        <f>VLOOKUP(C180,[1]Database!$B:$H,7,0)</f>
        <v>PLACA DE CIRCUITO IMPRESSO, DE NATUREZA DO MATERIAL BASE RÍGIDO, COMPOSIÇÃO DA PLACA DE ISOLANTE DE RESINA EPÓXIDA E TECIDO DE FIBRA DE VIDRO, ESTRUTURA DE DUPLA FACE E INTERLIGAÇÃO ENTRE FACES POR FUROS METALIZADOS; dimensões 310.33mm x 167.13mm x 1.6mm/2 não-RoHS (2150184130)</v>
      </c>
      <c r="G180" s="75"/>
      <c r="H180" s="75"/>
      <c r="I180" s="75"/>
      <c r="J180" s="75"/>
      <c r="K180" s="75"/>
      <c r="L180" s="76"/>
      <c r="M180" s="83">
        <v>3418</v>
      </c>
      <c r="N180" s="95">
        <f>VLOOKUP(C180,[2]Sheet1!$C:$F,4,0)</f>
        <v>8.5302629999999997</v>
      </c>
      <c r="O180" s="63">
        <f t="shared" si="2"/>
        <v>29156.438933999998</v>
      </c>
      <c r="P180" s="64" t="s">
        <v>564</v>
      </c>
      <c r="Q180" s="70" t="s">
        <v>563</v>
      </c>
      <c r="R180" s="64" t="s">
        <v>66</v>
      </c>
      <c r="S180" s="64" t="s">
        <v>65</v>
      </c>
    </row>
    <row r="181" spans="1:19" s="49" customFormat="1" ht="17.5" customHeight="1">
      <c r="A181" s="136"/>
      <c r="B181" s="62">
        <v>163</v>
      </c>
      <c r="C181" s="82">
        <v>3010502690</v>
      </c>
      <c r="D181" s="80">
        <f>VLOOKUP(C181,[1]Database!$B:$E,4,0)</f>
        <v>85444200</v>
      </c>
      <c r="E181" s="81"/>
      <c r="F181" s="74" t="str">
        <f>VLOOKUP(C181,[1]Database!$B:$H,7,0)</f>
        <v>PONTE DE COBRE MUNIDA DE PINO RÍGIDO PARA CONEXAO, CONDUTORA ELeTRICA PARA APLICAcAO EM TENSAO DE ATe 240V, ESTANHADA, CORRENTE MaXIMA DE 120A</v>
      </c>
      <c r="G181" s="75"/>
      <c r="H181" s="75"/>
      <c r="I181" s="75"/>
      <c r="J181" s="75"/>
      <c r="K181" s="75"/>
      <c r="L181" s="76"/>
      <c r="M181" s="83">
        <v>25920</v>
      </c>
      <c r="N181" s="95">
        <f>VLOOKUP(C181,[2]Sheet1!$C:$F,4,0)</f>
        <v>3.7115400000000003</v>
      </c>
      <c r="O181" s="63">
        <f t="shared" si="2"/>
        <v>96203.116800000003</v>
      </c>
      <c r="P181" s="64" t="s">
        <v>564</v>
      </c>
      <c r="Q181" s="70" t="s">
        <v>563</v>
      </c>
      <c r="R181" s="64" t="s">
        <v>66</v>
      </c>
      <c r="S181" s="64" t="s">
        <v>65</v>
      </c>
    </row>
    <row r="182" spans="1:19" s="49" customFormat="1" ht="17.5" customHeight="1">
      <c r="A182" s="136"/>
      <c r="B182" s="62">
        <v>164</v>
      </c>
      <c r="C182" s="82">
        <v>3010502700</v>
      </c>
      <c r="D182" s="80">
        <f>VLOOKUP(C182,[1]Database!$B:$E,4,0)</f>
        <v>85444200</v>
      </c>
      <c r="E182" s="81"/>
      <c r="F182" s="74" t="str">
        <f>VLOOKUP(C182,[1]Database!$B:$H,7,0)</f>
        <v>PONTE DE COBRE FASE C MUNIDA DE PINO RÍGIDO PARA CONEXAO, CONDUTORA ELeTRICA PARA APLICAcAO EM TENSAO DE ATe 240V, ESTANHADA, DIMENSoES 66x39,5x10,1mm, CORRENTE MaXIMA DE 120A (3010502700)</v>
      </c>
      <c r="G182" s="75"/>
      <c r="H182" s="75"/>
      <c r="I182" s="75"/>
      <c r="J182" s="75"/>
      <c r="K182" s="75"/>
      <c r="L182" s="76"/>
      <c r="M182" s="83">
        <v>50872</v>
      </c>
      <c r="N182" s="95">
        <f>VLOOKUP(C182,[2]Sheet1!$C:$F,4,0)</f>
        <v>3.4574504999999998</v>
      </c>
      <c r="O182" s="63">
        <f t="shared" si="2"/>
        <v>175887.42183599999</v>
      </c>
      <c r="P182" s="64" t="s">
        <v>564</v>
      </c>
      <c r="Q182" s="70" t="s">
        <v>563</v>
      </c>
      <c r="R182" s="64" t="s">
        <v>66</v>
      </c>
      <c r="S182" s="64" t="s">
        <v>65</v>
      </c>
    </row>
    <row r="183" spans="1:19" s="49" customFormat="1" ht="17.5" customHeight="1">
      <c r="A183" s="136"/>
      <c r="B183" s="62">
        <v>165</v>
      </c>
      <c r="C183" s="82">
        <v>3010502880</v>
      </c>
      <c r="D183" s="80">
        <f>VLOOKUP(C183,[1]Database!$B:$E,4,0)</f>
        <v>85444200</v>
      </c>
      <c r="E183" s="81"/>
      <c r="F183" s="74" t="str">
        <f>VLOOKUP(C183,[1]Database!$B:$H,7,0)</f>
        <v>PONTE DE COBRE FASE B MUNIDA DE PINO RÍGIDO PARA CONEXAO, CONDUTORA ELeTRICA PARA APLICAcAO EM TENSAO DE ATe 240V, ESTANHADA, DIMENSoES 89x47x17,9mm, CORRENTE MaXIMA DE 120A (3010502880)</v>
      </c>
      <c r="G183" s="75"/>
      <c r="H183" s="75"/>
      <c r="I183" s="75"/>
      <c r="J183" s="75"/>
      <c r="K183" s="75"/>
      <c r="L183" s="76"/>
      <c r="M183" s="83">
        <v>77904</v>
      </c>
      <c r="N183" s="95">
        <f>VLOOKUP(C183,[2]Sheet1!$C:$F,4,0)</f>
        <v>5.4697545000000005</v>
      </c>
      <c r="O183" s="63">
        <f t="shared" si="2"/>
        <v>426115.75456800003</v>
      </c>
      <c r="P183" s="64" t="s">
        <v>564</v>
      </c>
      <c r="Q183" s="70" t="s">
        <v>563</v>
      </c>
      <c r="R183" s="64" t="s">
        <v>66</v>
      </c>
      <c r="S183" s="64" t="s">
        <v>65</v>
      </c>
    </row>
    <row r="184" spans="1:19" s="49" customFormat="1" ht="17.5" customHeight="1">
      <c r="A184" s="136"/>
      <c r="B184" s="62">
        <v>166</v>
      </c>
      <c r="C184" s="82">
        <v>3010502890</v>
      </c>
      <c r="D184" s="80">
        <f>VLOOKUP(C184,[1]Database!$B:$E,4,0)</f>
        <v>85444200</v>
      </c>
      <c r="E184" s="81"/>
      <c r="F184" s="74" t="str">
        <f>VLOOKUP(C184,[1]Database!$B:$H,7,0)</f>
        <v>PONTE DE COBRE FASE C MUNIDA DE PINO RÍGIDO PARA CONEXAO, CONDUTORA ELeTRICA PARA APLICAcAO EM TENSAO DE ATe 240V, ESTANHADA, DIMENSoES 57x38,1x11,1mm, CORRENTE MaXIMA DE 120A (3010502890)</v>
      </c>
      <c r="G184" s="75"/>
      <c r="H184" s="75"/>
      <c r="I184" s="75"/>
      <c r="J184" s="75"/>
      <c r="K184" s="75"/>
      <c r="L184" s="76"/>
      <c r="M184" s="83">
        <v>79434</v>
      </c>
      <c r="N184" s="95">
        <f>VLOOKUP(C184,[2]Sheet1!$C:$F,4,0)</f>
        <v>3.171735</v>
      </c>
      <c r="O184" s="63">
        <f t="shared" si="2"/>
        <v>251943.59799000001</v>
      </c>
      <c r="P184" s="64" t="s">
        <v>564</v>
      </c>
      <c r="Q184" s="70" t="s">
        <v>563</v>
      </c>
      <c r="R184" s="64" t="s">
        <v>66</v>
      </c>
      <c r="S184" s="64" t="s">
        <v>65</v>
      </c>
    </row>
    <row r="185" spans="1:19" s="49" customFormat="1" ht="17.5" customHeight="1">
      <c r="A185" s="136"/>
      <c r="B185" s="62">
        <v>167</v>
      </c>
      <c r="C185" s="82">
        <v>3010503030</v>
      </c>
      <c r="D185" s="80">
        <f>VLOOKUP(C185,[1]Database!$B:$E,4,0)</f>
        <v>85444200</v>
      </c>
      <c r="E185" s="81"/>
      <c r="F185" s="74" t="str">
        <f>VLOOKUP(C185,[1]Database!$B:$H,7,0)</f>
        <v>PONTE DE COBRE MUNIDA DE PINO RÍGIDO PARA CONEXAO, CONDUTORA ELeTRICA PARA APLICAcAO EM TENSAO DE ATe 240V, ESTANHADA, CORRENTE MaXIMA DE 100A</v>
      </c>
      <c r="G185" s="75"/>
      <c r="H185" s="75"/>
      <c r="I185" s="75"/>
      <c r="J185" s="75"/>
      <c r="K185" s="75"/>
      <c r="L185" s="76"/>
      <c r="M185" s="83">
        <v>104120</v>
      </c>
      <c r="N185" s="95">
        <f>VLOOKUP(C185,[2]Sheet1!$C:$F,4,0)</f>
        <v>2.7187860000000006</v>
      </c>
      <c r="O185" s="63">
        <f t="shared" si="2"/>
        <v>283079.99832000007</v>
      </c>
      <c r="P185" s="64" t="s">
        <v>564</v>
      </c>
      <c r="Q185" s="70" t="s">
        <v>563</v>
      </c>
      <c r="R185" s="64" t="s">
        <v>66</v>
      </c>
      <c r="S185" s="64" t="s">
        <v>65</v>
      </c>
    </row>
    <row r="186" spans="1:19" s="49" customFormat="1" ht="17.5" customHeight="1">
      <c r="A186" s="136"/>
      <c r="B186" s="62">
        <v>168</v>
      </c>
      <c r="C186" s="82">
        <v>3030109480</v>
      </c>
      <c r="D186" s="80">
        <f>VLOOKUP(C186,[1]Database!$B:$E,4,0)</f>
        <v>73181500</v>
      </c>
      <c r="E186" s="81"/>
      <c r="F186" s="74" t="str">
        <f>VLOOKUP(C186,[1]Database!$B:$H,7,0)</f>
        <v>Parafuso para Terminais M6x15mm - de materia-prima base aco baixo carbono, processo de fabricacAo por usinagem e acabamento superficial de Zinco Níquel -  Cronos NG (3030109480)</v>
      </c>
      <c r="G186" s="75"/>
      <c r="H186" s="75"/>
      <c r="I186" s="75"/>
      <c r="J186" s="75"/>
      <c r="K186" s="75"/>
      <c r="L186" s="76"/>
      <c r="M186" s="83">
        <v>1313000</v>
      </c>
      <c r="N186" s="95">
        <f>VLOOKUP(C186,[2]Sheet1!$C:$F,4,0)</f>
        <v>4.8194999999999995E-2</v>
      </c>
      <c r="O186" s="63">
        <f t="shared" si="2"/>
        <v>63280.034999999996</v>
      </c>
      <c r="P186" s="64" t="s">
        <v>564</v>
      </c>
      <c r="Q186" s="70" t="s">
        <v>563</v>
      </c>
      <c r="R186" s="64" t="s">
        <v>66</v>
      </c>
      <c r="S186" s="64" t="s">
        <v>65</v>
      </c>
    </row>
    <row r="187" spans="1:19" s="49" customFormat="1" ht="17.5" customHeight="1">
      <c r="A187" s="136"/>
      <c r="B187" s="62">
        <v>169</v>
      </c>
      <c r="C187" s="82">
        <v>3030110040</v>
      </c>
      <c r="D187" s="80">
        <f>VLOOKUP(C187,[1]Database!$B:$E,4,0)</f>
        <v>73181500</v>
      </c>
      <c r="E187" s="81"/>
      <c r="F187" s="74" t="str">
        <f>VLOOKUP(C187,[1]Database!$B:$H,7,0)</f>
        <v>Parafuso Terminal de Corrente Medidor Indireto M4*9 Fenda Cruzada, de materia-prima base de aco baixo carbono, de processo de fabricacAo por usinagem, acabamento superficial de Zinco Níquel THS (3030110040)</v>
      </c>
      <c r="G187" s="75"/>
      <c r="H187" s="75"/>
      <c r="I187" s="75"/>
      <c r="J187" s="75"/>
      <c r="K187" s="75"/>
      <c r="L187" s="76"/>
      <c r="M187" s="83">
        <v>151500</v>
      </c>
      <c r="N187" s="95">
        <f>VLOOKUP(C187,[2]Sheet1!$C:$F,4,0)</f>
        <v>3.0974999999999999E-2</v>
      </c>
      <c r="O187" s="63">
        <f t="shared" si="2"/>
        <v>4692.7124999999996</v>
      </c>
      <c r="P187" s="64" t="s">
        <v>564</v>
      </c>
      <c r="Q187" s="70" t="s">
        <v>563</v>
      </c>
      <c r="R187" s="64" t="s">
        <v>66</v>
      </c>
      <c r="S187" s="64" t="s">
        <v>65</v>
      </c>
    </row>
    <row r="188" spans="1:19" s="49" customFormat="1" ht="17.5" customHeight="1">
      <c r="A188" s="136"/>
      <c r="B188" s="62">
        <v>170</v>
      </c>
      <c r="C188" s="82">
        <v>3030502830</v>
      </c>
      <c r="D188" s="80">
        <f>VLOOKUP(C188,[1]Database!$B:$E,4,0)</f>
        <v>73181500</v>
      </c>
      <c r="E188" s="81"/>
      <c r="F188" s="74" t="str">
        <f>VLOOKUP(C188,[1]Database!$B:$H,7,0)</f>
        <v>PARAFUSO TIPO FENDA CRUZADA COM FURO PARA PASSAGEM DE LACRE, DIMENSAO M4x20mm, EM MATeRIA-PRIMA BASE AcO DE BAIXO CARBONO, DE PROCESSO DE FABRICAcAO POR USINAGEM COM ACABAMENTO SUPERFICIAL POR GALVANIZAcAO ZINCADO CROMADO TRIVALENTE</v>
      </c>
      <c r="G188" s="75"/>
      <c r="H188" s="75"/>
      <c r="I188" s="75"/>
      <c r="J188" s="75"/>
      <c r="K188" s="75"/>
      <c r="L188" s="76"/>
      <c r="M188" s="101">
        <v>75000</v>
      </c>
      <c r="N188" s="95">
        <f>VLOOKUP(C188,[2]Sheet1!$C:$F,4,0)</f>
        <v>5.04E-2</v>
      </c>
      <c r="O188" s="63">
        <f t="shared" si="2"/>
        <v>3780</v>
      </c>
      <c r="P188" s="64" t="s">
        <v>564</v>
      </c>
      <c r="Q188" s="70" t="s">
        <v>563</v>
      </c>
      <c r="R188" s="64" t="s">
        <v>66</v>
      </c>
      <c r="S188" s="64" t="s">
        <v>65</v>
      </c>
    </row>
    <row r="189" spans="1:19" s="49" customFormat="1" ht="17.5" customHeight="1">
      <c r="A189" s="136"/>
      <c r="B189" s="62">
        <v>171</v>
      </c>
      <c r="C189" s="82">
        <v>3030503490</v>
      </c>
      <c r="D189" s="80">
        <f>VLOOKUP(C189,[1]Database!$B:$E,4,0)</f>
        <v>73181400</v>
      </c>
      <c r="E189" s="81"/>
      <c r="F189" s="74" t="str">
        <f>VLOOKUP(C189,[1]Database!$B:$H,7,0)</f>
        <v>PARAFUSO AUTOPERFURANTE DIAM. 3,9x12mm FENDA CRUZADA COM FURO PARA PASSAGEM DE LACRE, EM MATeRIA-PRIMA BASE AcO DE BAIXO CARBONO, DE PROCESSO DE FABRICAcAO POR USINAGEM COM ACABAMENTO SUPERFICIAL POR GALVANIZAcAO ZINCADO CROMADO TRIVALENTE</v>
      </c>
      <c r="G189" s="75"/>
      <c r="H189" s="75"/>
      <c r="I189" s="75"/>
      <c r="J189" s="75"/>
      <c r="K189" s="75"/>
      <c r="L189" s="76"/>
      <c r="M189" s="101">
        <v>135000</v>
      </c>
      <c r="N189" s="95">
        <f>VLOOKUP(C189,[2]Sheet1!$C:$F,4,0)</f>
        <v>5.2500000000000005E-2</v>
      </c>
      <c r="O189" s="63">
        <f t="shared" si="2"/>
        <v>7087.5000000000009</v>
      </c>
      <c r="P189" s="64" t="s">
        <v>564</v>
      </c>
      <c r="Q189" s="70" t="s">
        <v>563</v>
      </c>
      <c r="R189" s="64" t="s">
        <v>66</v>
      </c>
      <c r="S189" s="64" t="s">
        <v>65</v>
      </c>
    </row>
    <row r="190" spans="1:19" s="49" customFormat="1" ht="17.5" customHeight="1">
      <c r="A190" s="136"/>
      <c r="B190" s="62">
        <v>172</v>
      </c>
      <c r="C190" s="82">
        <v>3030702050</v>
      </c>
      <c r="D190" s="80">
        <f>VLOOKUP(C190,[1]Database!$B:$E,4,0)</f>
        <v>73181500</v>
      </c>
      <c r="E190" s="81"/>
      <c r="F190" s="74" t="str">
        <f>VLOOKUP(C190,[1]Database!$B:$H,7,0)</f>
        <v>PARAFUSO M10x25mm, MATeRIA-PRIMA BASE EM AcO INOXIDaVEL SUS304, PROCESSO DE FABRICAcAO SEM TRATAMENTO E ACABAMENTO SUPERFICIAL SEM TRATAMENTO</v>
      </c>
      <c r="G190" s="75"/>
      <c r="H190" s="75"/>
      <c r="I190" s="75"/>
      <c r="J190" s="75"/>
      <c r="K190" s="75"/>
      <c r="L190" s="76"/>
      <c r="M190" s="101">
        <v>200</v>
      </c>
      <c r="N190" s="95">
        <f>VLOOKUP(C190,[2]Sheet1!$C:$F,4,0)</f>
        <v>0.69037499999999996</v>
      </c>
      <c r="O190" s="63">
        <f t="shared" si="2"/>
        <v>138.07499999999999</v>
      </c>
      <c r="P190" s="64" t="s">
        <v>564</v>
      </c>
      <c r="Q190" s="70" t="s">
        <v>563</v>
      </c>
      <c r="R190" s="64" t="s">
        <v>66</v>
      </c>
      <c r="S190" s="64" t="s">
        <v>65</v>
      </c>
    </row>
    <row r="191" spans="1:19" s="49" customFormat="1" ht="17.5" customHeight="1">
      <c r="A191" s="136"/>
      <c r="B191" s="62">
        <v>173</v>
      </c>
      <c r="C191" s="82">
        <v>3030702090</v>
      </c>
      <c r="D191" s="80">
        <f>VLOOKUP(C191,[1]Database!$B:$E,4,0)</f>
        <v>73181500</v>
      </c>
      <c r="E191" s="81"/>
      <c r="F191" s="74" t="str">
        <f>VLOOKUP(C191,[1]Database!$B:$H,7,0)</f>
        <v>PARAFUSO HEXAGONAL M8x30mm, EM AcO INOXIDaVEL SUS304, PROCESSO DE FABRICAcAO POR USINAGEM, SEM TRATAMENTO SUPERFICIAL</v>
      </c>
      <c r="G191" s="75"/>
      <c r="H191" s="75"/>
      <c r="I191" s="75"/>
      <c r="J191" s="75"/>
      <c r="K191" s="75"/>
      <c r="L191" s="76"/>
      <c r="M191" s="101">
        <v>150</v>
      </c>
      <c r="N191" s="95">
        <f>VLOOKUP(C191,[2]Sheet1!$C:$F,4,0)</f>
        <v>0.73499999999999999</v>
      </c>
      <c r="O191" s="63">
        <f t="shared" si="2"/>
        <v>110.25</v>
      </c>
      <c r="P191" s="64" t="s">
        <v>564</v>
      </c>
      <c r="Q191" s="70" t="s">
        <v>563</v>
      </c>
      <c r="R191" s="64" t="s">
        <v>66</v>
      </c>
      <c r="S191" s="64" t="s">
        <v>65</v>
      </c>
    </row>
    <row r="192" spans="1:19" s="49" customFormat="1" ht="17.5" customHeight="1">
      <c r="A192" s="136"/>
      <c r="B192" s="62">
        <v>174</v>
      </c>
      <c r="C192" s="82">
        <v>3030900500</v>
      </c>
      <c r="D192" s="80">
        <f>VLOOKUP(C192,[1]Database!$B:$E,4,0)</f>
        <v>74153300</v>
      </c>
      <c r="E192" s="81"/>
      <c r="F192" s="74" t="str">
        <f>VLOOKUP(C192,[1]Database!$B:$H,7,0)</f>
        <v>Porca M4 em latAo (liga de cobrezinco) com diAmetro de 5,8 mm HPb59-1.</v>
      </c>
      <c r="G192" s="75"/>
      <c r="H192" s="75"/>
      <c r="I192" s="75"/>
      <c r="J192" s="75"/>
      <c r="K192" s="75"/>
      <c r="L192" s="76"/>
      <c r="M192" s="101">
        <v>106000</v>
      </c>
      <c r="N192" s="95">
        <f>VLOOKUP(C192,[2]Sheet1!$C:$F,4,0)</f>
        <v>6.2086500000000003E-2</v>
      </c>
      <c r="O192" s="63">
        <f t="shared" si="2"/>
        <v>6581.1689999999999</v>
      </c>
      <c r="P192" s="64" t="s">
        <v>564</v>
      </c>
      <c r="Q192" s="70" t="s">
        <v>563</v>
      </c>
      <c r="R192" s="64" t="s">
        <v>66</v>
      </c>
      <c r="S192" s="64" t="s">
        <v>65</v>
      </c>
    </row>
    <row r="193" spans="1:19" s="49" customFormat="1" ht="17.5" customHeight="1">
      <c r="A193" s="136"/>
      <c r="B193" s="62">
        <v>175</v>
      </c>
      <c r="C193" s="82">
        <v>3030900720</v>
      </c>
      <c r="D193" s="80">
        <f>VLOOKUP(C193,[1]Database!$B:$E,4,0)</f>
        <v>73181600</v>
      </c>
      <c r="E193" s="81"/>
      <c r="F193" s="74" t="str">
        <f>VLOOKUP(C193,[1]Database!$B:$H,7,0)</f>
        <v>Porca sextavada M8 de materia-prima base em aço inox (aco inoxidavel), processo de fabricacao sem tratamento, acabamento superficial sem tratamento</v>
      </c>
      <c r="G193" s="75"/>
      <c r="H193" s="75"/>
      <c r="I193" s="75"/>
      <c r="J193" s="75"/>
      <c r="K193" s="75"/>
      <c r="L193" s="76"/>
      <c r="M193" s="83">
        <v>500</v>
      </c>
      <c r="N193" s="95">
        <f>VLOOKUP(C193,[2]Sheet1!$C:$F,4,0)</f>
        <v>0.18837000000000001</v>
      </c>
      <c r="O193" s="63">
        <f t="shared" si="2"/>
        <v>94.185000000000002</v>
      </c>
      <c r="P193" s="64" t="s">
        <v>564</v>
      </c>
      <c r="Q193" s="70" t="s">
        <v>563</v>
      </c>
      <c r="R193" s="64" t="s">
        <v>66</v>
      </c>
      <c r="S193" s="64" t="s">
        <v>65</v>
      </c>
    </row>
    <row r="194" spans="1:19" s="49" customFormat="1" ht="17.5" customHeight="1">
      <c r="A194" s="136"/>
      <c r="B194" s="62">
        <v>176</v>
      </c>
      <c r="C194" s="82">
        <v>3040302540</v>
      </c>
      <c r="D194" s="80">
        <f>VLOOKUP(C194,[1]Database!$B:$E,4,0)</f>
        <v>85444200</v>
      </c>
      <c r="E194" s="81"/>
      <c r="F194" s="74" t="str">
        <f>VLOOKUP(C194,[1]Database!$B:$H,7,0)</f>
        <v>PONTE DE COBRE NEUTRO MUNIDA DE PINO RÍGIDO PARA CONEXAO, CONDUTORA ELeTRICA PARA APLICAcAO EM ATe TENSAO DE ATe 240V, ESTANHADA, DIMENSoES 34x30,5x10,1mm, CORRENTE MaXIMA DE 120A (3040302540)</v>
      </c>
      <c r="G194" s="75"/>
      <c r="H194" s="75"/>
      <c r="I194" s="75"/>
      <c r="J194" s="75"/>
      <c r="K194" s="75"/>
      <c r="L194" s="76"/>
      <c r="M194" s="83">
        <v>48242</v>
      </c>
      <c r="N194" s="95">
        <f>VLOOKUP(C194,[2]Sheet1!$C:$F,4,0)</f>
        <v>1.9865580000000003</v>
      </c>
      <c r="O194" s="63">
        <f t="shared" si="2"/>
        <v>95835.531036000015</v>
      </c>
      <c r="P194" s="64" t="s">
        <v>564</v>
      </c>
      <c r="Q194" s="70" t="s">
        <v>563</v>
      </c>
      <c r="R194" s="64" t="s">
        <v>66</v>
      </c>
      <c r="S194" s="64" t="s">
        <v>65</v>
      </c>
    </row>
    <row r="195" spans="1:19" s="49" customFormat="1" ht="17.5" customHeight="1">
      <c r="A195" s="136"/>
      <c r="B195" s="62">
        <v>177</v>
      </c>
      <c r="C195" s="82">
        <v>3040303540</v>
      </c>
      <c r="D195" s="80">
        <f>VLOOKUP(C195,[1]Database!$B:$E,4,0)</f>
        <v>85444200</v>
      </c>
      <c r="E195" s="81"/>
      <c r="F195" s="74" t="str">
        <f>VLOOKUP(C195,[1]Database!$B:$H,7,0)</f>
        <v>PONTE DE COBRE NEUTRO MUNIDA DE PINO RÍGIDO PARA CONEXAO, CONDUTORA ELeTRICA PARA APLICAcAO EM TENSAO DE ATe 240V, ESTANHADA, DIMENSoES 31x25x15mm, CORRENTE MaXIMA DE 120A  (3040303540)</v>
      </c>
      <c r="G195" s="75"/>
      <c r="H195" s="75"/>
      <c r="I195" s="75"/>
      <c r="J195" s="75"/>
      <c r="K195" s="75"/>
      <c r="L195" s="76"/>
      <c r="M195" s="83">
        <v>78892</v>
      </c>
      <c r="N195" s="95">
        <f>VLOOKUP(C195,[2]Sheet1!$C:$F,4,0)</f>
        <v>1.6202129999999999</v>
      </c>
      <c r="O195" s="63">
        <f t="shared" si="2"/>
        <v>127821.843996</v>
      </c>
      <c r="P195" s="64" t="s">
        <v>564</v>
      </c>
      <c r="Q195" s="70" t="s">
        <v>563</v>
      </c>
      <c r="R195" s="64" t="s">
        <v>66</v>
      </c>
      <c r="S195" s="64" t="s">
        <v>65</v>
      </c>
    </row>
    <row r="196" spans="1:19" s="49" customFormat="1" ht="17.5" customHeight="1">
      <c r="A196" s="136"/>
      <c r="B196" s="62">
        <v>178</v>
      </c>
      <c r="C196" s="82">
        <v>3040303960</v>
      </c>
      <c r="D196" s="80">
        <f>VLOOKUP(C196,[1]Database!$B:$E,4,0)</f>
        <v>85444200</v>
      </c>
      <c r="E196" s="81"/>
      <c r="F196" s="74" t="str">
        <f>VLOOKUP(C196,[1]Database!$B:$H,7,0)</f>
        <v>PONTE DE COBRE MUNIDA DE PINO RÍGIDO PARA CONEXAO, CONDUTORA ELeTRICA PARA APLICAcAO EM ATe TENSAO DE ATe 240V, ESTANHADA, DIMENSoES 27x24x15mm, CORRENTE MaXIMA DE 100A</v>
      </c>
      <c r="G196" s="75"/>
      <c r="H196" s="75"/>
      <c r="I196" s="75"/>
      <c r="J196" s="75"/>
      <c r="K196" s="75"/>
      <c r="L196" s="76"/>
      <c r="M196" s="83">
        <v>112872</v>
      </c>
      <c r="N196" s="95">
        <f>VLOOKUP(C196,[2]Sheet1!$C:$F,4,0)</f>
        <v>0.49901250000000003</v>
      </c>
      <c r="O196" s="63">
        <f t="shared" si="2"/>
        <v>56324.5389</v>
      </c>
      <c r="P196" s="64" t="s">
        <v>564</v>
      </c>
      <c r="Q196" s="70" t="s">
        <v>563</v>
      </c>
      <c r="R196" s="64" t="s">
        <v>66</v>
      </c>
      <c r="S196" s="64" t="s">
        <v>65</v>
      </c>
    </row>
    <row r="197" spans="1:19" s="49" customFormat="1" ht="17.5" customHeight="1">
      <c r="A197" s="136"/>
      <c r="B197" s="62">
        <v>179</v>
      </c>
      <c r="C197" s="82">
        <v>3040702190</v>
      </c>
      <c r="D197" s="80">
        <f>VLOOKUP(C197,[1]Database!$B:$E,4,0)</f>
        <v>85369090</v>
      </c>
      <c r="E197" s="81"/>
      <c r="F197" s="74" t="str">
        <f>VLOOKUP(C197,[1]Database!$B:$H,7,0)</f>
        <v>TERMINAL DE CORRENTE PARA  CONEXAO DE CIRCUITO ELeTRICO COM TENSAO ATe 240V, EM AcO CARBONO COM TRATAMENTO ZINCO NÍQUEL, TORQUE DE 5N.M (3040702190)</v>
      </c>
      <c r="G197" s="75"/>
      <c r="H197" s="75"/>
      <c r="I197" s="75"/>
      <c r="J197" s="75"/>
      <c r="K197" s="75"/>
      <c r="L197" s="76"/>
      <c r="M197" s="83">
        <v>1030000</v>
      </c>
      <c r="N197" s="95">
        <f>VLOOKUP(C197,[2]Sheet1!$C:$F,4,0)</f>
        <v>0.345555</v>
      </c>
      <c r="O197" s="63">
        <f t="shared" si="2"/>
        <v>355921.65</v>
      </c>
      <c r="P197" s="64" t="s">
        <v>564</v>
      </c>
      <c r="Q197" s="70" t="s">
        <v>563</v>
      </c>
      <c r="R197" s="64" t="s">
        <v>66</v>
      </c>
      <c r="S197" s="64" t="s">
        <v>65</v>
      </c>
    </row>
    <row r="198" spans="1:19" s="49" customFormat="1" ht="17.5" customHeight="1">
      <c r="A198" s="136"/>
      <c r="B198" s="62">
        <v>180</v>
      </c>
      <c r="C198" s="82">
        <v>3041501590</v>
      </c>
      <c r="D198" s="80">
        <f>VLOOKUP(C198,[1]Database!$B:$E,4,0)</f>
        <v>73145000</v>
      </c>
      <c r="E198" s="81"/>
      <c r="F198" s="74" t="str">
        <f>VLOOKUP(C198,[1]Database!$B:$H,7,0)</f>
        <v>CHAPA METaLICA DISTENDIDA, EM AcO CARBONO, ANTI-MAGNeTICA  ESPESSURA 2mm 40x40mm (3041501590)</v>
      </c>
      <c r="G198" s="75"/>
      <c r="H198" s="75"/>
      <c r="I198" s="75"/>
      <c r="J198" s="75"/>
      <c r="K198" s="75"/>
      <c r="L198" s="76"/>
      <c r="M198" s="83">
        <v>164706</v>
      </c>
      <c r="N198" s="95">
        <f>VLOOKUP(C198,[2]Sheet1!$C:$F,4,0)</f>
        <v>0.51449999999999996</v>
      </c>
      <c r="O198" s="63">
        <f t="shared" si="2"/>
        <v>84741.236999999994</v>
      </c>
      <c r="P198" s="64" t="s">
        <v>564</v>
      </c>
      <c r="Q198" s="70" t="s">
        <v>563</v>
      </c>
      <c r="R198" s="64" t="s">
        <v>66</v>
      </c>
      <c r="S198" s="64" t="s">
        <v>65</v>
      </c>
    </row>
    <row r="199" spans="1:19" s="49" customFormat="1" ht="17.5" customHeight="1">
      <c r="A199" s="136"/>
      <c r="B199" s="62">
        <v>181</v>
      </c>
      <c r="C199" s="82">
        <v>3041501630</v>
      </c>
      <c r="D199" s="80">
        <f>VLOOKUP(C199,[1]Database!$B:$E,4,0)</f>
        <v>73145000</v>
      </c>
      <c r="E199" s="81"/>
      <c r="F199" s="74" t="str">
        <f>VLOOKUP(C199,[1]Database!$B:$H,7,0)</f>
        <v>CHAPA METaLICA DISTENDIDA, EM FERRO PURO, ANTI-MAGNeTICA ESPESSURA 2mm 134x30mm (3041501630)</v>
      </c>
      <c r="G199" s="75"/>
      <c r="H199" s="75"/>
      <c r="I199" s="75"/>
      <c r="J199" s="75"/>
      <c r="K199" s="75"/>
      <c r="L199" s="76"/>
      <c r="M199" s="83">
        <v>98</v>
      </c>
      <c r="N199" s="95">
        <f>VLOOKUP(C199,[2]Sheet1!$C:$F,4,0)</f>
        <v>1.1340000000000001</v>
      </c>
      <c r="O199" s="63">
        <f t="shared" si="2"/>
        <v>111.13200000000001</v>
      </c>
      <c r="P199" s="64" t="s">
        <v>564</v>
      </c>
      <c r="Q199" s="70" t="s">
        <v>563</v>
      </c>
      <c r="R199" s="64" t="s">
        <v>66</v>
      </c>
      <c r="S199" s="64" t="s">
        <v>65</v>
      </c>
    </row>
    <row r="200" spans="1:19" s="49" customFormat="1" ht="17.5" customHeight="1">
      <c r="A200" s="136"/>
      <c r="B200" s="62">
        <v>182</v>
      </c>
      <c r="C200" s="82">
        <v>3080300190</v>
      </c>
      <c r="D200" s="80">
        <f>VLOOKUP(C200,[1]Database!$B:$E,4,0)</f>
        <v>40169990</v>
      </c>
      <c r="E200" s="81"/>
      <c r="F200" s="74" t="str">
        <f>VLOOKUP(C200,[1]Database!$B:$H,7,0)</f>
        <v>Silicone de VedacAo de Borracha vulcanizada nAo endurecida  - Tamanho 2mm  (Ref.3080300190)</v>
      </c>
      <c r="G200" s="75"/>
      <c r="H200" s="75"/>
      <c r="I200" s="75"/>
      <c r="J200" s="75"/>
      <c r="K200" s="75"/>
      <c r="L200" s="76"/>
      <c r="M200" s="83">
        <v>13950</v>
      </c>
      <c r="N200" s="95">
        <f>VLOOKUP(C200,[2]Sheet1!$C:$F,4,0)</f>
        <v>0.11760000000000001</v>
      </c>
      <c r="O200" s="63">
        <f t="shared" si="2"/>
        <v>1640.5200000000002</v>
      </c>
      <c r="P200" s="64" t="s">
        <v>564</v>
      </c>
      <c r="Q200" s="70" t="s">
        <v>563</v>
      </c>
      <c r="R200" s="64" t="s">
        <v>66</v>
      </c>
      <c r="S200" s="64" t="s">
        <v>65</v>
      </c>
    </row>
    <row r="201" spans="1:19" s="49" customFormat="1" ht="17.5" customHeight="1">
      <c r="A201" s="136"/>
      <c r="B201" s="62">
        <v>183</v>
      </c>
      <c r="C201" s="82">
        <v>3080500380</v>
      </c>
      <c r="D201" s="80">
        <f>VLOOKUP(C201,[1]Database!$B:$E,4,0)</f>
        <v>40169990</v>
      </c>
      <c r="E201" s="81"/>
      <c r="F201" s="74" t="str">
        <f>VLOOKUP(C201,[1]Database!$B:$H,7,0)</f>
        <v>BotAo de Borracha vulcanizada nAo endurecida de silicone do Sensor da Tampa Principal (Ref.3080500380)</v>
      </c>
      <c r="G201" s="75"/>
      <c r="H201" s="75"/>
      <c r="I201" s="75"/>
      <c r="J201" s="75"/>
      <c r="K201" s="75"/>
      <c r="L201" s="76"/>
      <c r="M201" s="83">
        <v>112850</v>
      </c>
      <c r="N201" s="95">
        <f>VLOOKUP(C201,[2]Sheet1!$C:$F,4,0)</f>
        <v>4.2000000000000003E-2</v>
      </c>
      <c r="O201" s="63">
        <f t="shared" si="2"/>
        <v>4739.7000000000007</v>
      </c>
      <c r="P201" s="64" t="s">
        <v>564</v>
      </c>
      <c r="Q201" s="70" t="s">
        <v>563</v>
      </c>
      <c r="R201" s="64" t="s">
        <v>66</v>
      </c>
      <c r="S201" s="64" t="s">
        <v>65</v>
      </c>
    </row>
    <row r="202" spans="1:19" s="49" customFormat="1" ht="17.5" customHeight="1">
      <c r="A202" s="136"/>
      <c r="B202" s="62">
        <v>184</v>
      </c>
      <c r="C202" s="82">
        <v>3080501480</v>
      </c>
      <c r="D202" s="80">
        <f>VLOOKUP(C202,[1]Database!$B:$E,4,0)</f>
        <v>40169990</v>
      </c>
      <c r="E202" s="81"/>
      <c r="F202" s="74" t="str">
        <f>VLOOKUP(C202,[1]Database!$B:$H,7,0)</f>
        <v>BOTAO DE SILICONE DE BORRACHA VULCANIZADA NAO ENDURECIDA PARA ACIONAMENTO DE CIRCUITO ELeTRICO F13mm 6mm de altura (3080501480)</v>
      </c>
      <c r="G202" s="75"/>
      <c r="H202" s="75"/>
      <c r="I202" s="75"/>
      <c r="J202" s="75"/>
      <c r="K202" s="75"/>
      <c r="L202" s="76"/>
      <c r="M202" s="83">
        <v>155300</v>
      </c>
      <c r="N202" s="95">
        <f>VLOOKUP(C202,[2]Sheet1!$C:$F,4,0)</f>
        <v>7.035000000000001E-2</v>
      </c>
      <c r="O202" s="63">
        <f t="shared" si="2"/>
        <v>10925.355000000001</v>
      </c>
      <c r="P202" s="64" t="s">
        <v>564</v>
      </c>
      <c r="Q202" s="70" t="s">
        <v>563</v>
      </c>
      <c r="R202" s="64" t="s">
        <v>66</v>
      </c>
      <c r="S202" s="64" t="s">
        <v>65</v>
      </c>
    </row>
    <row r="203" spans="1:19" s="49" customFormat="1" ht="17.5" customHeight="1">
      <c r="A203" s="136"/>
      <c r="B203" s="62">
        <v>185</v>
      </c>
      <c r="C203" s="82">
        <v>3080501590</v>
      </c>
      <c r="D203" s="80">
        <f>VLOOKUP(C203,[1]Database!$B:$E,4,0)</f>
        <v>40169990</v>
      </c>
      <c r="E203" s="81"/>
      <c r="F203" s="74" t="str">
        <f>VLOOKUP(C203,[1]Database!$B:$H,7,0)</f>
        <v>BOTAO DE SILICONE DE BORRACHA VULCANIZADA NAO ENDURECIDA PARA ACIONAMENTO DE CIRCUITO ELeTRICO F10,6mm 11mm altura (3080501590)</v>
      </c>
      <c r="G203" s="75"/>
      <c r="H203" s="75"/>
      <c r="I203" s="75"/>
      <c r="J203" s="75"/>
      <c r="K203" s="75"/>
      <c r="L203" s="76"/>
      <c r="M203" s="83">
        <v>138900</v>
      </c>
      <c r="N203" s="95">
        <f>VLOOKUP(C203,[2]Sheet1!$C:$F,4,0)</f>
        <v>4.2000000000000003E-2</v>
      </c>
      <c r="O203" s="63">
        <f t="shared" si="2"/>
        <v>5833.8</v>
      </c>
      <c r="P203" s="64" t="s">
        <v>564</v>
      </c>
      <c r="Q203" s="70" t="s">
        <v>563</v>
      </c>
      <c r="R203" s="64" t="s">
        <v>66</v>
      </c>
      <c r="S203" s="64" t="s">
        <v>65</v>
      </c>
    </row>
    <row r="204" spans="1:19" s="49" customFormat="1" ht="17.5" customHeight="1">
      <c r="A204" s="136"/>
      <c r="B204" s="62">
        <v>186</v>
      </c>
      <c r="C204" s="82">
        <v>3090505860</v>
      </c>
      <c r="D204" s="80">
        <f>VLOOKUP(C204,[1]Database!$B:$E,4,0)</f>
        <v>85444200</v>
      </c>
      <c r="E204" s="81"/>
      <c r="F204" s="74" t="str">
        <f>VLOOKUP(C204,[1]Database!$B:$H,7,0)</f>
        <v>CABO DE FORcA MUNIDO DE PLUG TRIPOLAR PARA CONEXAO, CONDUTOR ELeTRICO PARA APLICAcAO EM TENSAO DE ATe 500V, ISOLADO PARA USO ELeTRICO COM ISOLAMENTO DE PVC, DE 3m, COM CONTATOS EM PBT E LIGA DE ZINCO (3090505860)</v>
      </c>
      <c r="G204" s="75"/>
      <c r="H204" s="75"/>
      <c r="I204" s="75"/>
      <c r="J204" s="75"/>
      <c r="K204" s="75"/>
      <c r="L204" s="76"/>
      <c r="M204" s="83">
        <v>41</v>
      </c>
      <c r="N204" s="95">
        <f>VLOOKUP(C204,[2]Sheet1!$C:$F,4,0)</f>
        <v>43.53699000000001</v>
      </c>
      <c r="O204" s="63">
        <f t="shared" si="2"/>
        <v>1785.0165900000004</v>
      </c>
      <c r="P204" s="64" t="s">
        <v>564</v>
      </c>
      <c r="Q204" s="70" t="s">
        <v>563</v>
      </c>
      <c r="R204" s="64" t="s">
        <v>66</v>
      </c>
      <c r="S204" s="64" t="s">
        <v>65</v>
      </c>
    </row>
    <row r="205" spans="1:19" s="49" customFormat="1" ht="17.5" customHeight="1">
      <c r="A205" s="136"/>
      <c r="B205" s="62">
        <v>187</v>
      </c>
      <c r="C205" s="82">
        <v>5041201000</v>
      </c>
      <c r="D205" s="80">
        <f>VLOOKUP(C205,[1]Database!$B:$E,4,0)</f>
        <v>85369090</v>
      </c>
      <c r="E205" s="81"/>
      <c r="F205" s="74" t="str">
        <f>VLOOKUP(C205,[1]Database!$B:$H,7,0)</f>
        <v>SUBCONJUNTO DE TERMINAL DE COMUNICAcAO RÍGIDO PARA CONEXAO DE CIRCUITO ELeTRICO COM TENSAO ATe 40V, EM LATAO COM TRATAMENTO NIQUELADO COM PARAFUSO ACOPLADO, DIMENSoES 19,8x10,4x4,1mm (5041201000)</v>
      </c>
      <c r="G205" s="75"/>
      <c r="H205" s="75"/>
      <c r="I205" s="75"/>
      <c r="J205" s="75"/>
      <c r="K205" s="75"/>
      <c r="L205" s="76"/>
      <c r="M205" s="83">
        <v>227482</v>
      </c>
      <c r="N205" s="95">
        <f>VLOOKUP(C205,[2]Sheet1!$C:$F,4,0)</f>
        <v>0.28000000000000003</v>
      </c>
      <c r="O205" s="63">
        <f t="shared" si="2"/>
        <v>63694.960000000006</v>
      </c>
      <c r="P205" s="64" t="s">
        <v>564</v>
      </c>
      <c r="Q205" s="70" t="s">
        <v>563</v>
      </c>
      <c r="R205" s="64" t="s">
        <v>66</v>
      </c>
      <c r="S205" s="64" t="s">
        <v>65</v>
      </c>
    </row>
    <row r="206" spans="1:19" s="49" customFormat="1" ht="17.5" customHeight="1">
      <c r="A206" s="136"/>
      <c r="B206" s="62">
        <v>188</v>
      </c>
      <c r="C206" s="82">
        <v>5041600260</v>
      </c>
      <c r="D206" s="80">
        <f>VLOOKUP(C206,[1]Database!$B:$E,4,0)</f>
        <v>85364100</v>
      </c>
      <c r="E206" s="81"/>
      <c r="F206" s="74" t="str">
        <f>VLOOKUP(C206,[1]Database!$B:$H,7,0)</f>
        <v>RELe DE TENSAO 12V, FORMA CONSTRUTIVA ELETROMECANICO DE PESO APROXIMADO 450g a 500g</v>
      </c>
      <c r="G206" s="75"/>
      <c r="H206" s="75"/>
      <c r="I206" s="75"/>
      <c r="J206" s="75"/>
      <c r="K206" s="75"/>
      <c r="L206" s="76"/>
      <c r="M206" s="83">
        <v>28815</v>
      </c>
      <c r="N206" s="95">
        <v>39.630000000000003</v>
      </c>
      <c r="O206" s="63">
        <f t="shared" si="2"/>
        <v>1141938.4500000002</v>
      </c>
      <c r="P206" s="64" t="s">
        <v>564</v>
      </c>
      <c r="Q206" s="70" t="s">
        <v>563</v>
      </c>
      <c r="R206" s="64" t="s">
        <v>66</v>
      </c>
      <c r="S206" s="64" t="s">
        <v>65</v>
      </c>
    </row>
    <row r="207" spans="1:19" s="49" customFormat="1" ht="17.5" customHeight="1">
      <c r="A207" s="136"/>
      <c r="B207" s="62">
        <v>189</v>
      </c>
      <c r="C207" s="82">
        <v>5041600270</v>
      </c>
      <c r="D207" s="80">
        <f>VLOOKUP(C207,[1]Database!$B:$E,4,0)</f>
        <v>85364100</v>
      </c>
      <c r="E207" s="81"/>
      <c r="F207" s="74" t="str">
        <f>VLOOKUP(C207,[1]Database!$B:$H,7,0)</f>
        <v>RELe DE TENSAO 12V, FORMA CONSTRUTIVA ELETROMECANICO DE PESO LÍQUIDO APROXIMADO 410g a 460g.</v>
      </c>
      <c r="G207" s="75"/>
      <c r="H207" s="75"/>
      <c r="I207" s="75"/>
      <c r="J207" s="75"/>
      <c r="K207" s="75"/>
      <c r="L207" s="76"/>
      <c r="M207" s="83">
        <v>22216</v>
      </c>
      <c r="N207" s="95">
        <f>VLOOKUP(C207,[2]Sheet1!$C:$F,4,0)</f>
        <v>43.47</v>
      </c>
      <c r="O207" s="63">
        <f t="shared" si="2"/>
        <v>965729.52</v>
      </c>
      <c r="P207" s="64" t="s">
        <v>564</v>
      </c>
      <c r="Q207" s="70" t="s">
        <v>563</v>
      </c>
      <c r="R207" s="64" t="s">
        <v>66</v>
      </c>
      <c r="S207" s="64" t="s">
        <v>65</v>
      </c>
    </row>
    <row r="208" spans="1:19" s="49" customFormat="1" ht="17.5" customHeight="1">
      <c r="A208" s="136"/>
      <c r="B208" s="62">
        <v>190</v>
      </c>
      <c r="C208" s="82">
        <v>2150149920</v>
      </c>
      <c r="D208" s="80">
        <f>VLOOKUP(C208,[1]Database!$B:$E,4,0)</f>
        <v>85340033</v>
      </c>
      <c r="E208" s="81"/>
      <c r="F208" s="74" t="str">
        <f>VLOOKUP(C208,[1]Database!$B:$H,7,0)</f>
        <v>PLACA DE CIRCUITO IMPRESSO DE NATUREZA DO MATERIAL BASE RÍGIDO, COMPOSIcAO DA PLACA COM ISOLANTE DE RESINA EPoXIDA E TECIDO DE FIBRA DE VIDRO, ESTRUTURA DE DUPLA FACE, E INTERLIGAcAO ENTRE FACES COM FUROS METALIZADOS, 2 300,0mm*180,0mm*1,6mm/8 nAo-RoHS (2150149920) SMD</v>
      </c>
      <c r="G208" s="75"/>
      <c r="H208" s="75"/>
      <c r="I208" s="75"/>
      <c r="J208" s="75"/>
      <c r="K208" s="75"/>
      <c r="L208" s="76"/>
      <c r="M208" s="83">
        <v>28096</v>
      </c>
      <c r="N208" s="95">
        <f>VLOOKUP(C208,[2]Sheet1!$C:$F,4,0)</f>
        <v>2.1826980000000007</v>
      </c>
      <c r="O208" s="63">
        <f t="shared" si="2"/>
        <v>61325.083008000016</v>
      </c>
      <c r="P208" s="64" t="s">
        <v>564</v>
      </c>
      <c r="Q208" s="70" t="s">
        <v>563</v>
      </c>
      <c r="R208" s="64" t="s">
        <v>66</v>
      </c>
      <c r="S208" s="64" t="s">
        <v>65</v>
      </c>
    </row>
    <row r="209" spans="1:19" s="49" customFormat="1" ht="17.5" customHeight="1">
      <c r="A209" s="136"/>
      <c r="B209" s="62">
        <v>191</v>
      </c>
      <c r="C209" s="82">
        <v>2150165850</v>
      </c>
      <c r="D209" s="80">
        <f>VLOOKUP(C209,[1]Database!$B:$E,4,0)</f>
        <v>85340033</v>
      </c>
      <c r="E209" s="81"/>
      <c r="F209" s="74" t="str">
        <f>VLOOKUP(C209,[1]Database!$B:$H,7,0)</f>
        <v>PLACA DE CIRCUITO IMPRESSO, DE NATUREZA DO MATERIAL BASE RÍGIDO, COMPOSIcAO DA PLACA DE ISOLANTE DE RESINA EPoXIDA E TECIDO DE FIBRA DE VIDRO, ESTRUTURA DE DUPLA FACE E INTERLIGAcAO ENTRE FACES POR FUROS METALIZADOS; dimensoes 247.0mm x 235.0mm x 1.6mm/4 nAo-RoHS</v>
      </c>
      <c r="G209" s="75"/>
      <c r="H209" s="75"/>
      <c r="I209" s="75"/>
      <c r="J209" s="75"/>
      <c r="K209" s="75"/>
      <c r="L209" s="76"/>
      <c r="M209" s="83">
        <v>3144</v>
      </c>
      <c r="N209" s="95">
        <f>VLOOKUP(C209,[2]Sheet1!$C:$F,4,0)</f>
        <v>4.7733000000000008</v>
      </c>
      <c r="O209" s="63">
        <f t="shared" si="2"/>
        <v>15007.255200000003</v>
      </c>
      <c r="P209" s="64" t="s">
        <v>564</v>
      </c>
      <c r="Q209" s="70" t="s">
        <v>563</v>
      </c>
      <c r="R209" s="64" t="s">
        <v>66</v>
      </c>
      <c r="S209" s="64" t="s">
        <v>65</v>
      </c>
    </row>
    <row r="210" spans="1:19" s="49" customFormat="1" ht="17.5" customHeight="1">
      <c r="A210" s="136"/>
      <c r="B210" s="62">
        <v>192</v>
      </c>
      <c r="C210" s="82">
        <v>2150184130</v>
      </c>
      <c r="D210" s="80">
        <f>VLOOKUP(C210,[1]Database!$B:$E,4,0)</f>
        <v>85340033</v>
      </c>
      <c r="E210" s="81"/>
      <c r="F210" s="74" t="str">
        <f>VLOOKUP(C210,[1]Database!$B:$H,7,0)</f>
        <v>PLACA DE CIRCUITO IMPRESSO, DE NATUREZA DO MATERIAL BASE RÍGIDO, COMPOSIÇÃO DA PLACA DE ISOLANTE DE RESINA EPÓXIDA E TECIDO DE FIBRA DE VIDRO, ESTRUTURA DE DUPLA FACE E INTERLIGAÇÃO ENTRE FACES POR FUROS METALIZADOS; dimensões 310.33mm x 167.13mm x 1.6mm/2 não-RoHS (2150184130)</v>
      </c>
      <c r="G210" s="75"/>
      <c r="H210" s="75"/>
      <c r="I210" s="75"/>
      <c r="J210" s="75"/>
      <c r="K210" s="75"/>
      <c r="L210" s="76"/>
      <c r="M210" s="83">
        <v>652</v>
      </c>
      <c r="N210" s="95">
        <f>VLOOKUP(C210,[2]Sheet1!$C:$F,4,0)</f>
        <v>8.5302629999999997</v>
      </c>
      <c r="O210" s="63">
        <f t="shared" si="2"/>
        <v>5561.7314759999999</v>
      </c>
      <c r="P210" s="64" t="s">
        <v>564</v>
      </c>
      <c r="Q210" s="70" t="s">
        <v>563</v>
      </c>
      <c r="R210" s="64" t="s">
        <v>66</v>
      </c>
      <c r="S210" s="64" t="s">
        <v>65</v>
      </c>
    </row>
    <row r="211" spans="1:19" s="49" customFormat="1" ht="17.5" customHeight="1">
      <c r="A211" s="136"/>
      <c r="B211" s="62">
        <v>193</v>
      </c>
      <c r="C211" s="82">
        <v>2150167590</v>
      </c>
      <c r="D211" s="80">
        <f>VLOOKUP(C211,[1]Database!$B:$E,4,0)</f>
        <v>85340033</v>
      </c>
      <c r="E211" s="81"/>
      <c r="F211" s="74" t="str">
        <f>VLOOKUP(C211,[1]Database!$B:$H,7,0)</f>
        <v>PLACA DE CIRCUITO IMPRESSO, DE NATUREZA DO MATERIAL BASE RÍGIDO, COMPOSIcAO DA PLACA DE ISOLANTE DE RESINA EPoXIDA E TECIDO DE FIBRA DE VIDRO, ESTRUTURA DE DUPLA FACE E INTERLIGAcAO ENTRE FACES POR FUROS METALIZADOS; dimensoes 89,28mm x 299,95mm</v>
      </c>
      <c r="G211" s="75"/>
      <c r="H211" s="75"/>
      <c r="I211" s="75"/>
      <c r="J211" s="75"/>
      <c r="K211" s="75"/>
      <c r="L211" s="76"/>
      <c r="M211" s="83">
        <v>174072</v>
      </c>
      <c r="N211" s="95">
        <f>VLOOKUP(C211,[2]Sheet1!$C:$F,4,0)</f>
        <v>1.0954334999999999</v>
      </c>
      <c r="O211" s="63">
        <f t="shared" ref="O211" si="3">M211*N211</f>
        <v>190684.300212</v>
      </c>
      <c r="P211" s="64" t="s">
        <v>564</v>
      </c>
      <c r="Q211" s="70" t="s">
        <v>563</v>
      </c>
      <c r="R211" s="64" t="s">
        <v>66</v>
      </c>
      <c r="S211" s="64" t="s">
        <v>65</v>
      </c>
    </row>
    <row r="212" spans="1:19" ht="18.5">
      <c r="A212" s="131"/>
      <c r="B212" s="132"/>
      <c r="C212" s="132"/>
      <c r="D212" s="132"/>
      <c r="E212" s="132"/>
      <c r="F212" s="132"/>
      <c r="G212" s="132"/>
      <c r="H212" s="132"/>
      <c r="I212" s="132"/>
      <c r="J212" s="132"/>
      <c r="K212" s="132"/>
      <c r="L212" s="133"/>
      <c r="M212" s="84">
        <f>SUM(M19:M211)</f>
        <v>53399622</v>
      </c>
      <c r="N212" s="134">
        <f>SUM(O19:O211)</f>
        <v>9363913.8109419998</v>
      </c>
      <c r="O212" s="134"/>
    </row>
    <row r="213" spans="1:19">
      <c r="A213" s="50"/>
      <c r="D213" s="25" t="s">
        <v>63</v>
      </c>
      <c r="O213" s="51"/>
    </row>
    <row r="214" spans="1:19">
      <c r="A214" s="137" t="s">
        <v>10</v>
      </c>
      <c r="B214" s="138"/>
      <c r="C214" s="138"/>
      <c r="D214" s="138"/>
      <c r="E214" s="138"/>
      <c r="F214" s="138"/>
      <c r="G214" s="138"/>
      <c r="H214" s="138"/>
      <c r="I214" s="138"/>
      <c r="J214" s="138"/>
      <c r="K214" s="138"/>
      <c r="L214" s="138"/>
      <c r="M214" s="138"/>
      <c r="N214" s="138"/>
      <c r="O214" s="139"/>
    </row>
    <row r="215" spans="1:19">
      <c r="A215" s="52"/>
      <c r="B215" s="53"/>
      <c r="C215" s="53"/>
      <c r="D215" s="53"/>
      <c r="E215" s="53"/>
      <c r="F215" s="53"/>
      <c r="G215" s="53"/>
      <c r="H215" s="53"/>
      <c r="I215" s="53"/>
      <c r="J215" s="53"/>
      <c r="K215" s="53"/>
      <c r="L215" s="53"/>
      <c r="M215" s="53"/>
      <c r="N215" s="90"/>
      <c r="O215" s="54"/>
    </row>
    <row r="216" spans="1:19">
      <c r="A216" s="50"/>
      <c r="H216" s="25"/>
      <c r="I216" s="25"/>
      <c r="M216" s="25"/>
      <c r="O216" s="51"/>
    </row>
    <row r="217" spans="1:19" s="22" customFormat="1" ht="18.5">
      <c r="A217" s="50"/>
      <c r="B217" s="25"/>
      <c r="C217" s="55"/>
      <c r="D217" s="55"/>
      <c r="E217" s="55"/>
      <c r="F217" s="25"/>
      <c r="G217" s="25"/>
      <c r="H217" s="55"/>
      <c r="I217" s="55"/>
      <c r="J217" s="55"/>
      <c r="K217" s="55"/>
      <c r="L217" s="55"/>
      <c r="M217" s="25"/>
      <c r="N217" s="85"/>
      <c r="O217" s="51"/>
    </row>
    <row r="218" spans="1:19" s="22" customFormat="1" ht="18.5">
      <c r="A218" s="65"/>
      <c r="C218" s="140" t="s">
        <v>84</v>
      </c>
      <c r="D218" s="140"/>
      <c r="E218" s="140"/>
      <c r="I218" s="141" t="s">
        <v>568</v>
      </c>
      <c r="J218" s="141"/>
      <c r="K218" s="141"/>
      <c r="N218" s="91"/>
      <c r="O218" s="66"/>
    </row>
    <row r="219" spans="1:19" s="22" customFormat="1" ht="18.5">
      <c r="A219" s="65"/>
      <c r="C219" s="141" t="s">
        <v>83</v>
      </c>
      <c r="D219" s="141"/>
      <c r="E219" s="141"/>
      <c r="I219" s="141" t="s">
        <v>83</v>
      </c>
      <c r="J219" s="141"/>
      <c r="K219" s="141"/>
      <c r="N219" s="91"/>
      <c r="O219" s="66"/>
    </row>
    <row r="220" spans="1:19" s="22" customFormat="1" ht="18.5">
      <c r="A220" s="65"/>
      <c r="N220" s="91"/>
      <c r="O220" s="66"/>
    </row>
    <row r="221" spans="1:19" s="22" customFormat="1" ht="18.5">
      <c r="A221" s="65"/>
      <c r="M221" s="67"/>
      <c r="N221" s="91"/>
      <c r="O221" s="66"/>
    </row>
    <row r="222" spans="1:19" s="22" customFormat="1" ht="18.5">
      <c r="A222" s="65"/>
      <c r="N222" s="91"/>
      <c r="O222" s="66"/>
    </row>
    <row r="223" spans="1:19" s="22" customFormat="1" ht="18.5">
      <c r="A223" s="65"/>
      <c r="N223" s="91"/>
      <c r="O223" s="66"/>
    </row>
    <row r="224" spans="1:19" s="22" customFormat="1" ht="18.5">
      <c r="A224" s="65"/>
      <c r="H224" s="68"/>
      <c r="I224" s="68"/>
      <c r="J224" s="68"/>
      <c r="K224" s="68"/>
      <c r="L224" s="68"/>
      <c r="N224" s="91"/>
      <c r="O224" s="66"/>
    </row>
    <row r="225" spans="1:25" s="24" customFormat="1" ht="18.5">
      <c r="A225" s="65"/>
      <c r="B225" s="22"/>
      <c r="C225" s="141"/>
      <c r="D225" s="141"/>
      <c r="E225" s="141"/>
      <c r="F225" s="23"/>
      <c r="G225" s="23"/>
      <c r="H225" s="22"/>
      <c r="I225" s="141" t="s">
        <v>557</v>
      </c>
      <c r="J225" s="141"/>
      <c r="K225" s="22"/>
      <c r="L225" s="22"/>
      <c r="M225" s="22"/>
      <c r="N225" s="91"/>
      <c r="O225" s="66"/>
    </row>
    <row r="226" spans="1:25" s="22" customFormat="1" ht="18.5">
      <c r="A226" s="69"/>
      <c r="C226" s="141"/>
      <c r="D226" s="141"/>
      <c r="E226" s="141"/>
      <c r="F226" s="23"/>
      <c r="G226" s="23"/>
      <c r="I226" s="22" t="s">
        <v>83</v>
      </c>
      <c r="N226" s="91"/>
      <c r="O226" s="66"/>
    </row>
    <row r="227" spans="1:25" s="22" customFormat="1" ht="18.5">
      <c r="A227" s="65"/>
      <c r="N227" s="91"/>
      <c r="O227" s="66"/>
    </row>
    <row r="228" spans="1:25" s="22" customFormat="1" ht="18.5">
      <c r="A228" s="65"/>
      <c r="N228" s="91"/>
      <c r="O228" s="66"/>
    </row>
    <row r="229" spans="1:25" ht="15.75" customHeight="1">
      <c r="A229" s="165" t="s">
        <v>11</v>
      </c>
      <c r="B229" s="166"/>
      <c r="C229" s="166"/>
      <c r="D229" s="166"/>
      <c r="E229" s="166"/>
      <c r="F229" s="166"/>
      <c r="G229" s="166"/>
      <c r="H229" s="166"/>
      <c r="I229" s="166"/>
      <c r="J229" s="166"/>
      <c r="K229" s="166"/>
      <c r="L229" s="166"/>
      <c r="M229" s="166"/>
      <c r="N229" s="166"/>
      <c r="O229" s="167"/>
    </row>
    <row r="230" spans="1:25" ht="15.75" customHeight="1">
      <c r="A230" s="162" t="s">
        <v>52</v>
      </c>
      <c r="B230" s="163"/>
      <c r="C230" s="163"/>
      <c r="D230" s="163"/>
      <c r="E230" s="163"/>
      <c r="F230" s="163"/>
      <c r="G230" s="163"/>
      <c r="H230" s="163"/>
      <c r="I230" s="163"/>
      <c r="J230" s="163"/>
      <c r="K230" s="163"/>
      <c r="L230" s="163"/>
      <c r="M230" s="163"/>
      <c r="N230" s="163"/>
      <c r="O230" s="164"/>
    </row>
    <row r="231" spans="1:25" ht="15.75" customHeight="1">
      <c r="A231" s="160" t="s">
        <v>566</v>
      </c>
      <c r="B231" s="161"/>
      <c r="C231" s="161"/>
      <c r="D231" s="56"/>
      <c r="E231" s="56"/>
      <c r="F231" s="56"/>
      <c r="G231" s="56"/>
      <c r="H231" s="56"/>
      <c r="I231" s="56"/>
      <c r="J231" s="56"/>
      <c r="K231" s="56"/>
      <c r="L231" s="56"/>
      <c r="M231" s="56"/>
      <c r="N231" s="92"/>
      <c r="O231" s="57"/>
    </row>
    <row r="232" spans="1:25">
      <c r="A232" s="160" t="s">
        <v>567</v>
      </c>
      <c r="B232" s="161"/>
      <c r="C232" s="161"/>
      <c r="D232" s="56"/>
      <c r="E232" s="56"/>
      <c r="F232" s="56"/>
      <c r="G232" s="56"/>
      <c r="H232" s="56"/>
      <c r="I232" s="56"/>
      <c r="J232" s="56"/>
      <c r="K232" s="56"/>
      <c r="L232" s="56"/>
      <c r="M232" s="56"/>
      <c r="N232" s="92"/>
      <c r="O232" s="57"/>
    </row>
    <row r="233" spans="1:25">
      <c r="A233" s="98" t="s">
        <v>579</v>
      </c>
      <c r="B233" s="96"/>
      <c r="C233" s="96"/>
      <c r="D233" s="56"/>
      <c r="E233" s="56"/>
      <c r="F233" s="56"/>
      <c r="G233" s="56"/>
      <c r="H233" s="56"/>
      <c r="I233" s="56"/>
      <c r="J233" s="56"/>
      <c r="K233" s="56"/>
      <c r="L233" s="56"/>
      <c r="M233" s="56"/>
      <c r="N233" s="92"/>
      <c r="O233" s="57"/>
    </row>
    <row r="234" spans="1:25" s="71" customFormat="1" ht="15.75" customHeight="1">
      <c r="A234" s="58" t="s">
        <v>580</v>
      </c>
      <c r="B234" s="59"/>
      <c r="C234" s="59"/>
      <c r="D234" s="59"/>
      <c r="E234" s="59"/>
      <c r="F234" s="59"/>
      <c r="G234" s="59"/>
      <c r="H234" s="59"/>
      <c r="I234" s="59"/>
      <c r="J234" s="59"/>
      <c r="K234" s="59"/>
      <c r="L234" s="59"/>
      <c r="M234" s="59"/>
      <c r="N234" s="93"/>
      <c r="O234" s="60"/>
      <c r="Q234" s="25"/>
      <c r="R234" s="25"/>
      <c r="S234" s="25"/>
      <c r="T234" s="25"/>
      <c r="U234" s="25"/>
      <c r="V234" s="25"/>
      <c r="W234" s="25"/>
      <c r="X234" s="25"/>
      <c r="Y234" s="25"/>
    </row>
    <row r="235" spans="1:25" s="61" customFormat="1" ht="15.75" customHeight="1">
      <c r="A235" s="97" t="s">
        <v>576</v>
      </c>
      <c r="B235" s="73"/>
      <c r="C235" s="73"/>
      <c r="D235" s="73"/>
      <c r="E235" s="73"/>
      <c r="N235" s="94"/>
      <c r="Q235" s="25"/>
      <c r="R235" s="25"/>
      <c r="S235" s="25"/>
      <c r="T235" s="25"/>
      <c r="U235" s="25"/>
      <c r="V235" s="25"/>
      <c r="W235" s="25"/>
      <c r="X235" s="25"/>
      <c r="Y235" s="25"/>
    </row>
    <row r="236" spans="1:25" s="61" customFormat="1" ht="16.5" customHeight="1">
      <c r="A236" s="72" t="s">
        <v>575</v>
      </c>
      <c r="N236" s="94"/>
      <c r="Q236" s="25"/>
      <c r="R236" s="25"/>
      <c r="S236" s="25"/>
      <c r="T236" s="25"/>
      <c r="U236" s="25"/>
      <c r="V236" s="25"/>
      <c r="W236" s="25"/>
      <c r="X236" s="25"/>
      <c r="Y236" s="25"/>
    </row>
    <row r="238" spans="1:25">
      <c r="A238" s="102" t="s">
        <v>581</v>
      </c>
    </row>
    <row r="239" spans="1:25" ht="29">
      <c r="A239" s="103" t="s">
        <v>582</v>
      </c>
      <c r="B239" s="104" t="s">
        <v>583</v>
      </c>
      <c r="C239" s="104" t="s">
        <v>584</v>
      </c>
      <c r="D239" s="103" t="s">
        <v>585</v>
      </c>
      <c r="E239" s="104" t="s">
        <v>586</v>
      </c>
      <c r="F239" s="105" t="s">
        <v>587</v>
      </c>
    </row>
    <row r="240" spans="1:25">
      <c r="A240" s="106" t="s">
        <v>588</v>
      </c>
      <c r="B240" s="107" t="s">
        <v>589</v>
      </c>
      <c r="C240" s="175" t="s">
        <v>589</v>
      </c>
      <c r="D240" s="176">
        <v>2010107240</v>
      </c>
      <c r="E240" s="108">
        <v>2520000</v>
      </c>
      <c r="F240" s="109">
        <v>2520000</v>
      </c>
    </row>
    <row r="241" spans="1:6">
      <c r="A241" s="106" t="s">
        <v>588</v>
      </c>
      <c r="B241" s="107" t="s">
        <v>590</v>
      </c>
      <c r="C241" s="175">
        <v>2010101960</v>
      </c>
      <c r="D241" s="176">
        <v>2010105520</v>
      </c>
      <c r="E241" s="108">
        <v>1370000</v>
      </c>
      <c r="F241" s="109">
        <v>1370000</v>
      </c>
    </row>
    <row r="242" spans="1:6">
      <c r="A242" s="106" t="s">
        <v>588</v>
      </c>
      <c r="B242" s="107" t="s">
        <v>591</v>
      </c>
      <c r="C242" s="175">
        <v>2020101980</v>
      </c>
      <c r="D242" s="176">
        <v>2020104970</v>
      </c>
      <c r="E242" s="108">
        <v>210000</v>
      </c>
      <c r="F242" s="109">
        <v>210000</v>
      </c>
    </row>
    <row r="243" spans="1:6">
      <c r="A243" s="106" t="s">
        <v>588</v>
      </c>
      <c r="B243" s="107" t="s">
        <v>592</v>
      </c>
      <c r="C243" s="175">
        <v>2020700071</v>
      </c>
      <c r="D243" s="176">
        <v>2020701470</v>
      </c>
      <c r="E243" s="108">
        <v>56000</v>
      </c>
      <c r="F243" s="109">
        <v>56000</v>
      </c>
    </row>
    <row r="244" spans="1:6">
      <c r="A244" s="106" t="s">
        <v>588</v>
      </c>
      <c r="B244" s="107" t="s">
        <v>593</v>
      </c>
      <c r="C244" s="175">
        <v>2060500112</v>
      </c>
      <c r="D244" s="176">
        <v>2060501471</v>
      </c>
      <c r="E244" s="108">
        <v>25000</v>
      </c>
      <c r="F244" s="111">
        <v>25000</v>
      </c>
    </row>
    <row r="245" spans="1:6">
      <c r="A245" s="112"/>
      <c r="B245" s="107"/>
      <c r="C245" s="110"/>
      <c r="D245" s="113"/>
      <c r="E245" s="108"/>
      <c r="F245" s="111"/>
    </row>
    <row r="246" spans="1:6">
      <c r="A246" s="114" t="s">
        <v>582</v>
      </c>
      <c r="B246" s="114" t="s">
        <v>594</v>
      </c>
      <c r="C246" s="114" t="s">
        <v>595</v>
      </c>
      <c r="D246" s="114" t="s">
        <v>596</v>
      </c>
      <c r="E246" s="114" t="s">
        <v>597</v>
      </c>
      <c r="F246" s="115" t="s">
        <v>598</v>
      </c>
    </row>
    <row r="247" spans="1:6">
      <c r="A247" s="106" t="s">
        <v>588</v>
      </c>
      <c r="B247" s="107" t="s">
        <v>599</v>
      </c>
      <c r="C247" s="175">
        <v>2020302563</v>
      </c>
      <c r="D247" s="108">
        <v>263800</v>
      </c>
      <c r="E247" s="116">
        <f>ROUNDUP(D247/F247,0)*F247</f>
        <v>264000</v>
      </c>
      <c r="F247" s="117">
        <v>600</v>
      </c>
    </row>
    <row r="248" spans="1:6">
      <c r="A248" s="106" t="s">
        <v>588</v>
      </c>
      <c r="B248" s="107" t="s">
        <v>600</v>
      </c>
      <c r="C248" s="175">
        <v>2020303211</v>
      </c>
      <c r="D248" s="108">
        <v>77000</v>
      </c>
      <c r="E248" s="116">
        <f t="shared" ref="E248:E258" si="4">ROUNDUP(D248/F248,0)*F248</f>
        <v>77600</v>
      </c>
      <c r="F248" s="117">
        <v>800</v>
      </c>
    </row>
    <row r="249" spans="1:6">
      <c r="A249" s="106" t="s">
        <v>588</v>
      </c>
      <c r="B249" s="107" t="s">
        <v>601</v>
      </c>
      <c r="C249" s="175">
        <v>2020302542</v>
      </c>
      <c r="D249" s="108">
        <v>25766</v>
      </c>
      <c r="E249" s="116">
        <f t="shared" si="4"/>
        <v>26000</v>
      </c>
      <c r="F249" s="117">
        <v>500</v>
      </c>
    </row>
    <row r="250" spans="1:6">
      <c r="A250" s="106" t="s">
        <v>588</v>
      </c>
      <c r="B250" s="107" t="s">
        <v>602</v>
      </c>
      <c r="C250" s="175">
        <v>2052700170</v>
      </c>
      <c r="D250" s="108">
        <v>232000</v>
      </c>
      <c r="E250" s="116">
        <f t="shared" si="4"/>
        <v>234000</v>
      </c>
      <c r="F250" s="117">
        <v>3000</v>
      </c>
    </row>
    <row r="251" spans="1:6">
      <c r="A251" s="106" t="s">
        <v>588</v>
      </c>
      <c r="B251" s="107" t="s">
        <v>603</v>
      </c>
      <c r="C251" s="175">
        <v>2054300520</v>
      </c>
      <c r="D251" s="108">
        <v>95497</v>
      </c>
      <c r="E251" s="116">
        <f t="shared" si="4"/>
        <v>96000</v>
      </c>
      <c r="F251" s="117">
        <v>2000</v>
      </c>
    </row>
    <row r="252" spans="1:6">
      <c r="A252" s="106" t="s">
        <v>588</v>
      </c>
      <c r="B252" s="107" t="s">
        <v>604</v>
      </c>
      <c r="C252" s="175">
        <v>2061500150</v>
      </c>
      <c r="D252" s="108">
        <v>55000</v>
      </c>
      <c r="E252" s="116">
        <f t="shared" si="4"/>
        <v>60000</v>
      </c>
      <c r="F252" s="117">
        <v>15000</v>
      </c>
    </row>
    <row r="253" spans="1:6">
      <c r="A253" s="106" t="s">
        <v>588</v>
      </c>
      <c r="B253" s="107" t="s">
        <v>605</v>
      </c>
      <c r="C253" s="175">
        <v>2150160560</v>
      </c>
      <c r="D253" s="108">
        <v>519</v>
      </c>
      <c r="E253" s="116">
        <f t="shared" si="4"/>
        <v>520</v>
      </c>
      <c r="F253" s="117">
        <v>4</v>
      </c>
    </row>
    <row r="254" spans="1:6">
      <c r="A254" s="106" t="s">
        <v>588</v>
      </c>
      <c r="B254" s="107" t="s">
        <v>606</v>
      </c>
      <c r="C254" s="177">
        <v>3030502830</v>
      </c>
      <c r="D254" s="108">
        <v>74350</v>
      </c>
      <c r="E254" s="116">
        <f t="shared" si="4"/>
        <v>75000</v>
      </c>
      <c r="F254" s="117">
        <v>1000</v>
      </c>
    </row>
    <row r="255" spans="1:6">
      <c r="A255" s="106" t="s">
        <v>588</v>
      </c>
      <c r="B255" s="107" t="s">
        <v>607</v>
      </c>
      <c r="C255" s="175">
        <v>3030503490</v>
      </c>
      <c r="D255" s="108">
        <v>134800</v>
      </c>
      <c r="E255" s="116">
        <f t="shared" si="4"/>
        <v>135000</v>
      </c>
      <c r="F255" s="117">
        <v>1000</v>
      </c>
    </row>
    <row r="256" spans="1:6">
      <c r="A256" s="106" t="s">
        <v>588</v>
      </c>
      <c r="B256" s="107" t="s">
        <v>608</v>
      </c>
      <c r="C256" s="175">
        <v>3030702050</v>
      </c>
      <c r="D256" s="108">
        <v>150</v>
      </c>
      <c r="E256" s="116">
        <f t="shared" si="4"/>
        <v>200</v>
      </c>
      <c r="F256" s="117">
        <v>100</v>
      </c>
    </row>
    <row r="257" spans="1:6">
      <c r="A257" s="106" t="s">
        <v>588</v>
      </c>
      <c r="B257" s="107" t="s">
        <v>609</v>
      </c>
      <c r="C257" s="175">
        <v>3030702090</v>
      </c>
      <c r="D257" s="108">
        <v>50</v>
      </c>
      <c r="E257" s="116">
        <f t="shared" si="4"/>
        <v>150</v>
      </c>
      <c r="F257" s="117">
        <v>150</v>
      </c>
    </row>
    <row r="258" spans="1:6">
      <c r="A258" s="106" t="s">
        <v>588</v>
      </c>
      <c r="B258" s="107" t="s">
        <v>610</v>
      </c>
      <c r="C258" s="175">
        <v>3030900500</v>
      </c>
      <c r="D258" s="108">
        <v>105600</v>
      </c>
      <c r="E258" s="116">
        <f t="shared" si="4"/>
        <v>106000</v>
      </c>
      <c r="F258" s="117">
        <v>1000</v>
      </c>
    </row>
    <row r="260" spans="1:6">
      <c r="A260" s="102" t="s">
        <v>611</v>
      </c>
    </row>
  </sheetData>
  <autoFilter ref="A18:Y214" xr:uid="{00000000-0001-0000-0000-000000000000}">
    <filterColumn colId="5" showButton="0"/>
    <filterColumn colId="6" showButton="0"/>
    <filterColumn colId="7" showButton="0"/>
    <filterColumn colId="8" showButton="0"/>
    <filterColumn colId="9" showButton="0"/>
    <filterColumn colId="10" showButton="0"/>
  </autoFilter>
  <mergeCells count="30">
    <mergeCell ref="A232:C232"/>
    <mergeCell ref="I225:J225"/>
    <mergeCell ref="A231:C231"/>
    <mergeCell ref="C225:E225"/>
    <mergeCell ref="A230:O230"/>
    <mergeCell ref="A229:O229"/>
    <mergeCell ref="C226:E226"/>
    <mergeCell ref="H8:I9"/>
    <mergeCell ref="J8:L9"/>
    <mergeCell ref="H10:I11"/>
    <mergeCell ref="J10:L11"/>
    <mergeCell ref="H12:I13"/>
    <mergeCell ref="J12:L13"/>
    <mergeCell ref="H2:I3"/>
    <mergeCell ref="J2:L3"/>
    <mergeCell ref="H4:I5"/>
    <mergeCell ref="J4:L5"/>
    <mergeCell ref="H6:I7"/>
    <mergeCell ref="J6:L7"/>
    <mergeCell ref="A214:O214"/>
    <mergeCell ref="C218:E218"/>
    <mergeCell ref="I218:K218"/>
    <mergeCell ref="C219:E219"/>
    <mergeCell ref="I219:K219"/>
    <mergeCell ref="P15:S16"/>
    <mergeCell ref="A15:O16"/>
    <mergeCell ref="F18:L18"/>
    <mergeCell ref="A212:L212"/>
    <mergeCell ref="N212:O212"/>
    <mergeCell ref="A19:A211"/>
  </mergeCells>
  <phoneticPr fontId="15" type="noConversion"/>
  <conditionalFormatting sqref="A239">
    <cfRule type="duplicateValues" dxfId="14" priority="1"/>
  </conditionalFormatting>
  <conditionalFormatting sqref="A246">
    <cfRule type="duplicateValues" dxfId="13" priority="6"/>
  </conditionalFormatting>
  <conditionalFormatting sqref="B239:C239">
    <cfRule type="duplicateValues" dxfId="12" priority="2"/>
  </conditionalFormatting>
  <conditionalFormatting sqref="B244:C244">
    <cfRule type="duplicateValues" dxfId="11" priority="7"/>
  </conditionalFormatting>
  <conditionalFormatting sqref="B245:C245 B240:C243">
    <cfRule type="duplicateValues" dxfId="10" priority="4"/>
  </conditionalFormatting>
  <conditionalFormatting sqref="B246:C246">
    <cfRule type="duplicateValues" dxfId="9" priority="9"/>
  </conditionalFormatting>
  <conditionalFormatting sqref="B247:C247">
    <cfRule type="duplicateValues" dxfId="8" priority="10"/>
  </conditionalFormatting>
  <conditionalFormatting sqref="B248:C258">
    <cfRule type="duplicateValues" dxfId="7" priority="11"/>
  </conditionalFormatting>
  <conditionalFormatting sqref="D239">
    <cfRule type="duplicateValues" dxfId="6" priority="3"/>
  </conditionalFormatting>
  <conditionalFormatting sqref="D244">
    <cfRule type="duplicateValues" dxfId="5" priority="8"/>
  </conditionalFormatting>
  <conditionalFormatting sqref="D245 D240:D243">
    <cfRule type="duplicateValues" dxfId="4" priority="5"/>
  </conditionalFormatting>
  <printOptions horizontalCentered="1"/>
  <pageMargins left="0.51181102362204722" right="0.51181102362204722" top="0.78740157480314965" bottom="0.78740157480314965" header="0.31496062992125984" footer="0.31496062992125984"/>
  <pageSetup paperSize="9" scale="37" fitToHeight="0" orientation="portrait" horizontalDpi="4294967293" r:id="rId1"/>
  <rowBreaks count="2" manualBreakCount="2">
    <brk id="53" max="14" man="1"/>
    <brk id="107" max="14" man="1"/>
  </rowBreaks>
  <colBreaks count="2" manualBreakCount="2">
    <brk id="12" max="466" man="1"/>
    <brk id="13" max="573"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6"/>
  <sheetViews>
    <sheetView topLeftCell="B52" workbookViewId="0">
      <selection activeCell="F57" sqref="F57"/>
    </sheetView>
  </sheetViews>
  <sheetFormatPr defaultColWidth="9.453125" defaultRowHeight="60.75" customHeight="1"/>
  <cols>
    <col min="1" max="1" width="21.453125" style="20" customWidth="1"/>
    <col min="2" max="2" width="9.453125" style="20"/>
    <col min="3" max="3" width="26.54296875" style="20" customWidth="1"/>
    <col min="4" max="4" width="13" style="20" customWidth="1"/>
    <col min="5" max="16384" width="9.453125" style="20"/>
  </cols>
  <sheetData>
    <row r="1" spans="1:18" ht="60.75" customHeight="1">
      <c r="A1" s="18" t="s">
        <v>12</v>
      </c>
      <c r="B1" s="19" t="s">
        <v>7</v>
      </c>
      <c r="C1" s="19" t="s">
        <v>556</v>
      </c>
      <c r="D1" s="19" t="s">
        <v>45</v>
      </c>
      <c r="E1" s="174" t="s">
        <v>2</v>
      </c>
      <c r="F1" s="174"/>
      <c r="G1" s="174"/>
      <c r="H1" s="174"/>
      <c r="I1" s="174"/>
      <c r="J1" s="174"/>
      <c r="K1" s="174"/>
      <c r="L1" s="174"/>
      <c r="M1" s="174"/>
      <c r="N1" s="174"/>
      <c r="O1" s="174"/>
      <c r="P1" s="174"/>
      <c r="Q1" s="174"/>
      <c r="R1" s="174"/>
    </row>
    <row r="2" spans="1:18" ht="60.75" customHeight="1">
      <c r="A2" s="13" t="s">
        <v>499</v>
      </c>
      <c r="B2" s="13">
        <v>20694421</v>
      </c>
      <c r="C2" s="13" t="e">
        <f>VLOOKUP(A2,#REF!,12,0)</f>
        <v>#REF!</v>
      </c>
      <c r="D2" s="13"/>
      <c r="E2" s="168" t="s">
        <v>501</v>
      </c>
      <c r="F2" s="169"/>
      <c r="G2" s="169"/>
      <c r="H2" s="169"/>
      <c r="I2" s="169"/>
      <c r="J2" s="169"/>
      <c r="K2" s="170"/>
      <c r="L2" s="168" t="e">
        <f>VLOOKUP(A2,#REF!,7,0)</f>
        <v>#REF!</v>
      </c>
      <c r="M2" s="169"/>
      <c r="N2" s="169"/>
      <c r="O2" s="169"/>
      <c r="P2" s="169"/>
      <c r="Q2" s="169"/>
      <c r="R2" s="170"/>
    </row>
    <row r="3" spans="1:18" ht="60.75" customHeight="1">
      <c r="A3" s="13">
        <v>2140103240</v>
      </c>
      <c r="B3" s="13">
        <v>20691979</v>
      </c>
      <c r="C3" s="13" t="e">
        <f>VLOOKUP(A3,#REF!,12,0)</f>
        <v>#REF!</v>
      </c>
      <c r="D3" s="13"/>
      <c r="E3" s="168" t="s">
        <v>502</v>
      </c>
      <c r="F3" s="169"/>
      <c r="G3" s="169"/>
      <c r="H3" s="169"/>
      <c r="I3" s="169"/>
      <c r="J3" s="169"/>
      <c r="K3" s="170"/>
      <c r="L3" s="168" t="e">
        <f>VLOOKUP(A3,#REF!,7,0)</f>
        <v>#REF!</v>
      </c>
      <c r="M3" s="169"/>
      <c r="N3" s="169"/>
      <c r="O3" s="169"/>
      <c r="P3" s="169"/>
      <c r="Q3" s="169"/>
      <c r="R3" s="170"/>
    </row>
    <row r="4" spans="1:18" ht="60.75" customHeight="1">
      <c r="A4" s="13">
        <v>2140102370</v>
      </c>
      <c r="B4" s="13">
        <v>20691991</v>
      </c>
      <c r="C4" s="13" t="e">
        <f>VLOOKUP(A4,#REF!,12,0)</f>
        <v>#REF!</v>
      </c>
      <c r="D4" s="13"/>
      <c r="E4" s="168" t="s">
        <v>503</v>
      </c>
      <c r="F4" s="169"/>
      <c r="G4" s="169"/>
      <c r="H4" s="169"/>
      <c r="I4" s="169"/>
      <c r="J4" s="169"/>
      <c r="K4" s="170"/>
      <c r="L4" s="168" t="e">
        <f>VLOOKUP(A4,#REF!,7,0)</f>
        <v>#REF!</v>
      </c>
      <c r="M4" s="169"/>
      <c r="N4" s="169"/>
      <c r="O4" s="169"/>
      <c r="P4" s="169"/>
      <c r="Q4" s="169"/>
      <c r="R4" s="170"/>
    </row>
    <row r="5" spans="1:18" ht="60.75" customHeight="1">
      <c r="A5" s="13">
        <v>3012102500</v>
      </c>
      <c r="B5" s="13">
        <v>20694800</v>
      </c>
      <c r="C5" s="13" t="e">
        <f>VLOOKUP(A5,#REF!,12,0)</f>
        <v>#REF!</v>
      </c>
      <c r="D5" s="13"/>
      <c r="E5" s="168" t="s">
        <v>504</v>
      </c>
      <c r="F5" s="169"/>
      <c r="G5" s="169"/>
      <c r="H5" s="169"/>
      <c r="I5" s="169"/>
      <c r="J5" s="169"/>
      <c r="K5" s="170"/>
      <c r="L5" s="168" t="e">
        <f>VLOOKUP(A5,#REF!,7,0)</f>
        <v>#REF!</v>
      </c>
      <c r="M5" s="169"/>
      <c r="N5" s="169"/>
      <c r="O5" s="169"/>
      <c r="P5" s="169"/>
      <c r="Q5" s="169"/>
      <c r="R5" s="170"/>
    </row>
    <row r="6" spans="1:18" ht="60.75" customHeight="1">
      <c r="A6" s="13">
        <v>3090111330</v>
      </c>
      <c r="B6" s="13">
        <v>20694700</v>
      </c>
      <c r="C6" s="13" t="e">
        <f>VLOOKUP(A6,#REF!,12,0)</f>
        <v>#REF!</v>
      </c>
      <c r="D6" s="13"/>
      <c r="E6" s="168" t="s">
        <v>505</v>
      </c>
      <c r="F6" s="169"/>
      <c r="G6" s="169"/>
      <c r="H6" s="169"/>
      <c r="I6" s="169"/>
      <c r="J6" s="169"/>
      <c r="K6" s="170"/>
      <c r="L6" s="168" t="e">
        <f>VLOOKUP(A6,#REF!,7,0)</f>
        <v>#REF!</v>
      </c>
      <c r="M6" s="169"/>
      <c r="N6" s="169"/>
      <c r="O6" s="169"/>
      <c r="P6" s="169"/>
      <c r="Q6" s="169"/>
      <c r="R6" s="170"/>
    </row>
    <row r="7" spans="1:18" ht="60.75" customHeight="1">
      <c r="A7" s="13">
        <v>3060901240</v>
      </c>
      <c r="B7" s="13">
        <v>20692015</v>
      </c>
      <c r="C7" s="13" t="e">
        <f>VLOOKUP(A7,#REF!,12,0)</f>
        <v>#REF!</v>
      </c>
      <c r="D7" s="13"/>
      <c r="E7" s="168" t="s">
        <v>506</v>
      </c>
      <c r="F7" s="169"/>
      <c r="G7" s="169"/>
      <c r="H7" s="169"/>
      <c r="I7" s="169"/>
      <c r="J7" s="169"/>
      <c r="K7" s="170"/>
      <c r="L7" s="168" t="e">
        <f>VLOOKUP(A7,#REF!,7,0)</f>
        <v>#REF!</v>
      </c>
      <c r="M7" s="169"/>
      <c r="N7" s="169"/>
      <c r="O7" s="169"/>
      <c r="P7" s="169"/>
      <c r="Q7" s="169"/>
      <c r="R7" s="170"/>
    </row>
    <row r="8" spans="1:18" ht="60.75" customHeight="1">
      <c r="A8" s="13">
        <v>3030106390</v>
      </c>
      <c r="B8" s="13">
        <v>21199002</v>
      </c>
      <c r="C8" s="13" t="e">
        <f>VLOOKUP(A8,#REF!,12,0)</f>
        <v>#REF!</v>
      </c>
      <c r="D8" s="13"/>
      <c r="E8" s="168" t="s">
        <v>507</v>
      </c>
      <c r="F8" s="169"/>
      <c r="G8" s="169"/>
      <c r="H8" s="169"/>
      <c r="I8" s="169"/>
      <c r="J8" s="169"/>
      <c r="K8" s="170"/>
      <c r="L8" s="168" t="e">
        <f>VLOOKUP(A8,#REF!,7,0)</f>
        <v>#REF!</v>
      </c>
      <c r="M8" s="169"/>
      <c r="N8" s="169"/>
      <c r="O8" s="169"/>
      <c r="P8" s="169"/>
      <c r="Q8" s="169"/>
      <c r="R8" s="170"/>
    </row>
    <row r="9" spans="1:18" ht="60.75" customHeight="1">
      <c r="A9" s="13">
        <v>3031101930</v>
      </c>
      <c r="B9" s="13">
        <v>20290811</v>
      </c>
      <c r="C9" s="13" t="e">
        <f>VLOOKUP(A9,#REF!,12,0)</f>
        <v>#REF!</v>
      </c>
      <c r="D9" s="13"/>
      <c r="E9" s="168" t="s">
        <v>508</v>
      </c>
      <c r="F9" s="169"/>
      <c r="G9" s="169"/>
      <c r="H9" s="169"/>
      <c r="I9" s="169"/>
      <c r="J9" s="169"/>
      <c r="K9" s="170"/>
      <c r="L9" s="168" t="e">
        <f>VLOOKUP(A9,#REF!,7,0)</f>
        <v>#REF!</v>
      </c>
      <c r="M9" s="169"/>
      <c r="N9" s="169"/>
      <c r="O9" s="169"/>
      <c r="P9" s="169"/>
      <c r="Q9" s="169"/>
      <c r="R9" s="170"/>
    </row>
    <row r="10" spans="1:18" ht="60.75" customHeight="1">
      <c r="A10" s="13">
        <v>3031300280</v>
      </c>
      <c r="B10" s="13">
        <v>20292404</v>
      </c>
      <c r="C10" s="13" t="e">
        <f>VLOOKUP(A10,#REF!,12,0)</f>
        <v>#REF!</v>
      </c>
      <c r="D10" s="13"/>
      <c r="E10" s="168" t="s">
        <v>509</v>
      </c>
      <c r="F10" s="169"/>
      <c r="G10" s="169"/>
      <c r="H10" s="169"/>
      <c r="I10" s="169"/>
      <c r="J10" s="169"/>
      <c r="K10" s="170"/>
      <c r="L10" s="168" t="e">
        <f>VLOOKUP(A10,#REF!,7,0)</f>
        <v>#REF!</v>
      </c>
      <c r="M10" s="169"/>
      <c r="N10" s="169"/>
      <c r="O10" s="169"/>
      <c r="P10" s="169"/>
      <c r="Q10" s="169"/>
      <c r="R10" s="170"/>
    </row>
    <row r="11" spans="1:18" ht="60.75" customHeight="1">
      <c r="A11" s="13">
        <v>3042304850</v>
      </c>
      <c r="B11" s="13">
        <v>20299100</v>
      </c>
      <c r="C11" s="13" t="e">
        <f>VLOOKUP(A11,#REF!,12,0)</f>
        <v>#REF!</v>
      </c>
      <c r="D11" s="13"/>
      <c r="E11" s="168" t="s">
        <v>510</v>
      </c>
      <c r="F11" s="169"/>
      <c r="G11" s="169"/>
      <c r="H11" s="169"/>
      <c r="I11" s="169"/>
      <c r="J11" s="169"/>
      <c r="K11" s="170"/>
      <c r="L11" s="168" t="e">
        <f>VLOOKUP(A11,#REF!,7,0)</f>
        <v>#REF!</v>
      </c>
      <c r="M11" s="169"/>
      <c r="N11" s="169"/>
      <c r="O11" s="169"/>
      <c r="P11" s="169"/>
      <c r="Q11" s="169"/>
      <c r="R11" s="170"/>
    </row>
    <row r="12" spans="1:18" ht="60.75" customHeight="1">
      <c r="A12" s="13">
        <v>3042100540</v>
      </c>
      <c r="B12" s="13">
        <v>20265201</v>
      </c>
      <c r="C12" s="13" t="e">
        <f>VLOOKUP(A12,#REF!,12,0)</f>
        <v>#REF!</v>
      </c>
      <c r="D12" s="13"/>
      <c r="E12" s="168" t="s">
        <v>511</v>
      </c>
      <c r="F12" s="169"/>
      <c r="G12" s="169"/>
      <c r="H12" s="169"/>
      <c r="I12" s="169"/>
      <c r="J12" s="169"/>
      <c r="K12" s="170"/>
      <c r="L12" s="168" t="e">
        <f>VLOOKUP(A12,#REF!,7,0)</f>
        <v>#REF!</v>
      </c>
      <c r="M12" s="169"/>
      <c r="N12" s="169"/>
      <c r="O12" s="169"/>
      <c r="P12" s="169"/>
      <c r="Q12" s="169"/>
      <c r="R12" s="170"/>
    </row>
    <row r="13" spans="1:18" ht="60.75" customHeight="1">
      <c r="A13" s="13">
        <v>3090501050</v>
      </c>
      <c r="B13" s="13">
        <v>10410701</v>
      </c>
      <c r="C13" s="13" t="e">
        <f>VLOOKUP(A13,#REF!,12,0)</f>
        <v>#REF!</v>
      </c>
      <c r="D13" s="13"/>
      <c r="E13" s="168" t="s">
        <v>512</v>
      </c>
      <c r="F13" s="169"/>
      <c r="G13" s="169"/>
      <c r="H13" s="169"/>
      <c r="I13" s="169"/>
      <c r="J13" s="169"/>
      <c r="K13" s="170"/>
      <c r="L13" s="168" t="e">
        <f>VLOOKUP(A13,#REF!,7,0)</f>
        <v>#REF!</v>
      </c>
      <c r="M13" s="169"/>
      <c r="N13" s="169"/>
      <c r="O13" s="169"/>
      <c r="P13" s="169"/>
      <c r="Q13" s="169"/>
      <c r="R13" s="170"/>
    </row>
    <row r="14" spans="1:18" ht="60.75" customHeight="1">
      <c r="A14" s="13">
        <v>3052303130</v>
      </c>
      <c r="B14" s="13">
        <v>20694301</v>
      </c>
      <c r="C14" s="13" t="e">
        <f>VLOOKUP(A14,#REF!,12,0)</f>
        <v>#REF!</v>
      </c>
      <c r="D14" s="13"/>
      <c r="E14" s="168" t="s">
        <v>513</v>
      </c>
      <c r="F14" s="169"/>
      <c r="G14" s="169"/>
      <c r="H14" s="169"/>
      <c r="I14" s="169"/>
      <c r="J14" s="169"/>
      <c r="K14" s="170"/>
      <c r="L14" s="168" t="e">
        <f>VLOOKUP(A14,#REF!,7,0)</f>
        <v>#REF!</v>
      </c>
      <c r="M14" s="169"/>
      <c r="N14" s="169"/>
      <c r="O14" s="169"/>
      <c r="P14" s="169"/>
      <c r="Q14" s="169"/>
      <c r="R14" s="170"/>
    </row>
    <row r="15" spans="1:18" ht="60.75" customHeight="1">
      <c r="A15" s="13">
        <v>3011501610</v>
      </c>
      <c r="B15" s="13">
        <v>20694302</v>
      </c>
      <c r="C15" s="13" t="e">
        <f>VLOOKUP(A15,#REF!,12,0)</f>
        <v>#REF!</v>
      </c>
      <c r="D15" s="13"/>
      <c r="E15" s="168" t="s">
        <v>514</v>
      </c>
      <c r="F15" s="169"/>
      <c r="G15" s="169"/>
      <c r="H15" s="169"/>
      <c r="I15" s="169"/>
      <c r="J15" s="169"/>
      <c r="K15" s="170"/>
      <c r="L15" s="168" t="e">
        <f>VLOOKUP(A15,#REF!,7,0)</f>
        <v>#REF!</v>
      </c>
      <c r="M15" s="169"/>
      <c r="N15" s="169"/>
      <c r="O15" s="169"/>
      <c r="P15" s="169"/>
      <c r="Q15" s="169"/>
      <c r="R15" s="170"/>
    </row>
    <row r="16" spans="1:18" ht="60.75" customHeight="1">
      <c r="A16" s="13">
        <v>3030109900</v>
      </c>
      <c r="B16" s="13">
        <v>21166500</v>
      </c>
      <c r="C16" s="13" t="e">
        <f>VLOOKUP(A16,#REF!,12,0)</f>
        <v>#REF!</v>
      </c>
      <c r="D16" s="13"/>
      <c r="E16" s="168" t="s">
        <v>515</v>
      </c>
      <c r="F16" s="169"/>
      <c r="G16" s="169"/>
      <c r="H16" s="169"/>
      <c r="I16" s="169"/>
      <c r="J16" s="169"/>
      <c r="K16" s="170"/>
      <c r="L16" s="168" t="e">
        <f>VLOOKUP(A16,#REF!,7,0)</f>
        <v>#REF!</v>
      </c>
      <c r="M16" s="169"/>
      <c r="N16" s="169"/>
      <c r="O16" s="169"/>
      <c r="P16" s="169"/>
      <c r="Q16" s="169"/>
      <c r="R16" s="170"/>
    </row>
    <row r="17" spans="1:18" ht="60.75" customHeight="1">
      <c r="A17" s="13">
        <v>3052303190</v>
      </c>
      <c r="B17" s="13">
        <v>20258604</v>
      </c>
      <c r="C17" s="13" t="e">
        <f>VLOOKUP(A17,#REF!,12,0)</f>
        <v>#REF!</v>
      </c>
      <c r="D17" s="13"/>
      <c r="E17" s="168" t="s">
        <v>516</v>
      </c>
      <c r="F17" s="169"/>
      <c r="G17" s="169"/>
      <c r="H17" s="169"/>
      <c r="I17" s="169"/>
      <c r="J17" s="169"/>
      <c r="K17" s="170"/>
      <c r="L17" s="168" t="e">
        <f>VLOOKUP(A17,#REF!,7,0)</f>
        <v>#REF!</v>
      </c>
      <c r="M17" s="169"/>
      <c r="N17" s="169"/>
      <c r="O17" s="169"/>
      <c r="P17" s="169"/>
      <c r="Q17" s="169"/>
      <c r="R17" s="170"/>
    </row>
    <row r="18" spans="1:18" ht="60.75" customHeight="1">
      <c r="A18" s="13">
        <v>3030702210</v>
      </c>
      <c r="B18" s="13">
        <v>21184000</v>
      </c>
      <c r="C18" s="13" t="e">
        <f>VLOOKUP(A18,#REF!,12,0)</f>
        <v>#REF!</v>
      </c>
      <c r="D18" s="13"/>
      <c r="E18" s="168" t="s">
        <v>517</v>
      </c>
      <c r="F18" s="169"/>
      <c r="G18" s="169"/>
      <c r="H18" s="169"/>
      <c r="I18" s="169"/>
      <c r="J18" s="169"/>
      <c r="K18" s="170"/>
      <c r="L18" s="168" t="e">
        <f>VLOOKUP(A18,#REF!,7,0)</f>
        <v>#REF!</v>
      </c>
      <c r="M18" s="169"/>
      <c r="N18" s="169"/>
      <c r="O18" s="169"/>
      <c r="P18" s="169"/>
      <c r="Q18" s="169"/>
      <c r="R18" s="170"/>
    </row>
    <row r="19" spans="1:18" ht="60.75" customHeight="1">
      <c r="A19" s="13">
        <v>3051701630</v>
      </c>
      <c r="B19" s="13">
        <v>20292200</v>
      </c>
      <c r="C19" s="13" t="e">
        <f>VLOOKUP(A19,#REF!,12,0)</f>
        <v>#REF!</v>
      </c>
      <c r="D19" s="13"/>
      <c r="E19" s="168" t="s">
        <v>518</v>
      </c>
      <c r="F19" s="169"/>
      <c r="G19" s="169"/>
      <c r="H19" s="169"/>
      <c r="I19" s="169"/>
      <c r="J19" s="169"/>
      <c r="K19" s="170"/>
      <c r="L19" s="168" t="e">
        <f>VLOOKUP(A19,#REF!,7,0)</f>
        <v>#REF!</v>
      </c>
      <c r="M19" s="169"/>
      <c r="N19" s="169"/>
      <c r="O19" s="169"/>
      <c r="P19" s="169"/>
      <c r="Q19" s="169"/>
      <c r="R19" s="170"/>
    </row>
    <row r="20" spans="1:18" ht="60.75" customHeight="1">
      <c r="A20" s="13">
        <v>2140103220</v>
      </c>
      <c r="B20" s="13">
        <v>20694600</v>
      </c>
      <c r="C20" s="13" t="e">
        <f>VLOOKUP(A20,#REF!,12,0)</f>
        <v>#REF!</v>
      </c>
      <c r="D20" s="13"/>
      <c r="E20" s="168" t="s">
        <v>519</v>
      </c>
      <c r="F20" s="169"/>
      <c r="G20" s="169"/>
      <c r="H20" s="169"/>
      <c r="I20" s="169"/>
      <c r="J20" s="169"/>
      <c r="K20" s="170"/>
      <c r="L20" s="168" t="e">
        <f>VLOOKUP(A20,#REF!,7,0)</f>
        <v>#REF!</v>
      </c>
      <c r="M20" s="169"/>
      <c r="N20" s="169"/>
      <c r="O20" s="169"/>
      <c r="P20" s="169"/>
      <c r="Q20" s="169"/>
      <c r="R20" s="170"/>
    </row>
    <row r="21" spans="1:18" ht="60.75" customHeight="1">
      <c r="A21" s="13">
        <v>3052303220</v>
      </c>
      <c r="B21" s="13">
        <v>20221300</v>
      </c>
      <c r="C21" s="13" t="e">
        <f>VLOOKUP(A21,#REF!,12,0)</f>
        <v>#REF!</v>
      </c>
      <c r="D21" s="13"/>
      <c r="E21" s="168" t="s">
        <v>520</v>
      </c>
      <c r="F21" s="169"/>
      <c r="G21" s="169"/>
      <c r="H21" s="169"/>
      <c r="I21" s="169"/>
      <c r="J21" s="169"/>
      <c r="K21" s="170"/>
      <c r="L21" s="168" t="e">
        <f>VLOOKUP(A21,#REF!,7,0)</f>
        <v>#REF!</v>
      </c>
      <c r="M21" s="169"/>
      <c r="N21" s="169"/>
      <c r="O21" s="169"/>
      <c r="P21" s="169"/>
      <c r="Q21" s="169"/>
      <c r="R21" s="170"/>
    </row>
    <row r="22" spans="1:18" ht="60.75" customHeight="1">
      <c r="A22" s="13">
        <v>3030109940</v>
      </c>
      <c r="B22" s="13">
        <v>21166400</v>
      </c>
      <c r="C22" s="13" t="e">
        <f>VLOOKUP(A22,#REF!,12,0)</f>
        <v>#REF!</v>
      </c>
      <c r="D22" s="13"/>
      <c r="E22" s="168" t="s">
        <v>521</v>
      </c>
      <c r="F22" s="169"/>
      <c r="G22" s="169"/>
      <c r="H22" s="169"/>
      <c r="I22" s="169"/>
      <c r="J22" s="169"/>
      <c r="K22" s="170"/>
      <c r="L22" s="168" t="e">
        <f>VLOOKUP(A22,#REF!,7,0)</f>
        <v>#REF!</v>
      </c>
      <c r="M22" s="169"/>
      <c r="N22" s="169"/>
      <c r="O22" s="169"/>
      <c r="P22" s="169"/>
      <c r="Q22" s="169"/>
      <c r="R22" s="170"/>
    </row>
    <row r="23" spans="1:18" ht="60.75" customHeight="1">
      <c r="A23" s="13">
        <v>3030900630</v>
      </c>
      <c r="B23" s="13">
        <v>20265300</v>
      </c>
      <c r="C23" s="13" t="e">
        <f>VLOOKUP(A23,#REF!,12,0)</f>
        <v>#REF!</v>
      </c>
      <c r="D23" s="13"/>
      <c r="E23" s="168" t="s">
        <v>522</v>
      </c>
      <c r="F23" s="169"/>
      <c r="G23" s="169"/>
      <c r="H23" s="169"/>
      <c r="I23" s="169"/>
      <c r="J23" s="169"/>
      <c r="K23" s="17"/>
      <c r="L23" s="168" t="e">
        <f>VLOOKUP(A23,#REF!,7,0)</f>
        <v>#REF!</v>
      </c>
      <c r="M23" s="169"/>
      <c r="N23" s="169"/>
      <c r="O23" s="169"/>
      <c r="P23" s="169"/>
      <c r="Q23" s="169"/>
      <c r="R23" s="170"/>
    </row>
    <row r="24" spans="1:18" ht="60.75" customHeight="1">
      <c r="A24" s="14">
        <v>3031300320</v>
      </c>
      <c r="B24" s="13">
        <v>20269500</v>
      </c>
      <c r="C24" s="13" t="e">
        <f>VLOOKUP(A24,#REF!,12,0)</f>
        <v>#REF!</v>
      </c>
      <c r="D24" s="13"/>
      <c r="E24" s="168" t="s">
        <v>523</v>
      </c>
      <c r="F24" s="169"/>
      <c r="G24" s="169"/>
      <c r="H24" s="169"/>
      <c r="I24" s="169"/>
      <c r="J24" s="169"/>
      <c r="K24" s="170"/>
      <c r="L24" s="168" t="e">
        <f>VLOOKUP(A24,#REF!,7,0)</f>
        <v>#REF!</v>
      </c>
      <c r="M24" s="169"/>
      <c r="N24" s="169"/>
      <c r="O24" s="169"/>
      <c r="P24" s="169"/>
      <c r="Q24" s="169"/>
      <c r="R24" s="170"/>
    </row>
    <row r="25" spans="1:18" ht="60.75" customHeight="1">
      <c r="A25" s="15">
        <v>3031101950</v>
      </c>
      <c r="B25" s="13">
        <v>20290806</v>
      </c>
      <c r="C25" s="13" t="e">
        <f>VLOOKUP(A25,#REF!,12,0)</f>
        <v>#REF!</v>
      </c>
      <c r="D25" s="13"/>
      <c r="E25" s="168" t="s">
        <v>524</v>
      </c>
      <c r="F25" s="169"/>
      <c r="G25" s="169"/>
      <c r="H25" s="169"/>
      <c r="I25" s="169"/>
      <c r="J25" s="169"/>
      <c r="K25" s="170"/>
      <c r="L25" s="168" t="e">
        <f>VLOOKUP(A25,#REF!,7,0)</f>
        <v>#REF!</v>
      </c>
      <c r="M25" s="169"/>
      <c r="N25" s="169"/>
      <c r="O25" s="169"/>
      <c r="P25" s="169"/>
      <c r="Q25" s="169"/>
      <c r="R25" s="170"/>
    </row>
    <row r="26" spans="1:18" ht="60.75" customHeight="1">
      <c r="A26" s="15">
        <v>2140103380</v>
      </c>
      <c r="B26" s="13">
        <v>20690034</v>
      </c>
      <c r="C26" s="13" t="e">
        <f>VLOOKUP(A26,#REF!,12,0)</f>
        <v>#REF!</v>
      </c>
      <c r="D26" s="13"/>
      <c r="E26" s="168" t="s">
        <v>525</v>
      </c>
      <c r="F26" s="169"/>
      <c r="G26" s="169"/>
      <c r="H26" s="169"/>
      <c r="I26" s="169"/>
      <c r="J26" s="169"/>
      <c r="K26" s="170"/>
      <c r="L26" s="168" t="e">
        <f>VLOOKUP(A26,#REF!,7,0)</f>
        <v>#REF!</v>
      </c>
      <c r="M26" s="169"/>
      <c r="N26" s="169"/>
      <c r="O26" s="169"/>
      <c r="P26" s="169"/>
      <c r="Q26" s="169"/>
      <c r="R26" s="170"/>
    </row>
    <row r="27" spans="1:18" ht="60.75" customHeight="1">
      <c r="A27" s="15">
        <v>3090504260</v>
      </c>
      <c r="B27" s="13">
        <v>20690027</v>
      </c>
      <c r="C27" s="13" t="e">
        <f>VLOOKUP(A27,#REF!,12,0)</f>
        <v>#REF!</v>
      </c>
      <c r="D27" s="13"/>
      <c r="E27" s="168" t="s">
        <v>526</v>
      </c>
      <c r="F27" s="169"/>
      <c r="G27" s="169"/>
      <c r="H27" s="169"/>
      <c r="I27" s="169"/>
      <c r="J27" s="169"/>
      <c r="K27" s="170"/>
      <c r="L27" s="168" t="e">
        <f>VLOOKUP(A27,#REF!,7,0)</f>
        <v>#REF!</v>
      </c>
      <c r="M27" s="169"/>
      <c r="N27" s="169"/>
      <c r="O27" s="169"/>
      <c r="P27" s="169"/>
      <c r="Q27" s="169"/>
      <c r="R27" s="170"/>
    </row>
    <row r="28" spans="1:18" ht="60.75" customHeight="1">
      <c r="A28" s="16">
        <v>3090504270</v>
      </c>
      <c r="B28" s="13">
        <v>20690025</v>
      </c>
      <c r="C28" s="13" t="e">
        <f>VLOOKUP(A28,#REF!,12,0)</f>
        <v>#REF!</v>
      </c>
      <c r="D28" s="13"/>
      <c r="E28" s="168" t="s">
        <v>527</v>
      </c>
      <c r="F28" s="169"/>
      <c r="G28" s="169"/>
      <c r="H28" s="169"/>
      <c r="I28" s="169"/>
      <c r="J28" s="169"/>
      <c r="K28" s="170"/>
      <c r="L28" s="168" t="e">
        <f>VLOOKUP(A28,#REF!,7,0)</f>
        <v>#REF!</v>
      </c>
      <c r="M28" s="169"/>
      <c r="N28" s="169"/>
      <c r="O28" s="169"/>
      <c r="P28" s="169"/>
      <c r="Q28" s="169"/>
      <c r="R28" s="170"/>
    </row>
    <row r="29" spans="1:18" ht="60.75" customHeight="1">
      <c r="A29" s="13">
        <v>3090504240</v>
      </c>
      <c r="B29" s="13">
        <v>20690021</v>
      </c>
      <c r="C29" s="13" t="e">
        <f>VLOOKUP(A29,#REF!,12,0)</f>
        <v>#REF!</v>
      </c>
      <c r="D29" s="13"/>
      <c r="E29" s="168" t="s">
        <v>528</v>
      </c>
      <c r="F29" s="169"/>
      <c r="G29" s="169"/>
      <c r="H29" s="169"/>
      <c r="I29" s="169"/>
      <c r="J29" s="169"/>
      <c r="K29" s="170"/>
      <c r="L29" s="168" t="e">
        <f>VLOOKUP(A29,#REF!,7,0)</f>
        <v>#REF!</v>
      </c>
      <c r="M29" s="169"/>
      <c r="N29" s="169"/>
      <c r="O29" s="169"/>
      <c r="P29" s="169"/>
      <c r="Q29" s="169"/>
      <c r="R29" s="170"/>
    </row>
    <row r="30" spans="1:18" ht="60.75" customHeight="1">
      <c r="A30" s="13">
        <v>2140103360</v>
      </c>
      <c r="B30" s="13">
        <v>20692016</v>
      </c>
      <c r="C30" s="13" t="e">
        <f>VLOOKUP(A30,#REF!,12,0)</f>
        <v>#REF!</v>
      </c>
      <c r="D30" s="13"/>
      <c r="E30" s="168" t="s">
        <v>529</v>
      </c>
      <c r="F30" s="169"/>
      <c r="G30" s="169"/>
      <c r="H30" s="169"/>
      <c r="I30" s="169"/>
      <c r="J30" s="169"/>
      <c r="K30" s="170"/>
      <c r="L30" s="168" t="e">
        <f>VLOOKUP(A30,#REF!,7,0)</f>
        <v>#REF!</v>
      </c>
      <c r="M30" s="169"/>
      <c r="N30" s="169"/>
      <c r="O30" s="169"/>
      <c r="P30" s="169"/>
      <c r="Q30" s="169"/>
      <c r="R30" s="170"/>
    </row>
    <row r="31" spans="1:18" ht="60.75" customHeight="1">
      <c r="A31" s="13">
        <v>5110017940</v>
      </c>
      <c r="B31" s="13">
        <v>40290970</v>
      </c>
      <c r="C31" s="13" t="e">
        <f>VLOOKUP(A31,#REF!,12,0)</f>
        <v>#REF!</v>
      </c>
      <c r="D31" s="13"/>
      <c r="E31" s="168" t="s">
        <v>530</v>
      </c>
      <c r="F31" s="169"/>
      <c r="G31" s="169"/>
      <c r="H31" s="169"/>
      <c r="I31" s="169"/>
      <c r="J31" s="169"/>
      <c r="K31" s="170"/>
      <c r="L31" s="168" t="e">
        <f>VLOOKUP(A31,#REF!,7,0)</f>
        <v>#REF!</v>
      </c>
      <c r="M31" s="169"/>
      <c r="N31" s="169"/>
      <c r="O31" s="169"/>
      <c r="P31" s="169"/>
      <c r="Q31" s="169"/>
      <c r="R31" s="170"/>
    </row>
    <row r="32" spans="1:18" ht="60.75" customHeight="1">
      <c r="A32" s="13">
        <v>3090504210</v>
      </c>
      <c r="B32" s="13">
        <v>20690028</v>
      </c>
      <c r="C32" s="13" t="e">
        <f>VLOOKUP(A32,#REF!,12,0)</f>
        <v>#REF!</v>
      </c>
      <c r="D32" s="13"/>
      <c r="E32" s="168" t="s">
        <v>531</v>
      </c>
      <c r="F32" s="169"/>
      <c r="G32" s="169"/>
      <c r="H32" s="169"/>
      <c r="I32" s="169"/>
      <c r="J32" s="169"/>
      <c r="K32" s="170"/>
      <c r="L32" s="168" t="e">
        <f>VLOOKUP(A32,#REF!,7,0)</f>
        <v>#REF!</v>
      </c>
      <c r="M32" s="169"/>
      <c r="N32" s="169"/>
      <c r="O32" s="169"/>
      <c r="P32" s="169"/>
      <c r="Q32" s="169"/>
      <c r="R32" s="170"/>
    </row>
    <row r="33" spans="1:18" ht="60.75" customHeight="1">
      <c r="A33" s="13">
        <v>2140103400</v>
      </c>
      <c r="B33" s="13">
        <v>20690036</v>
      </c>
      <c r="C33" s="13" t="e">
        <f>VLOOKUP(A33,#REF!,12,0)</f>
        <v>#REF!</v>
      </c>
      <c r="D33" s="13"/>
      <c r="E33" s="168" t="s">
        <v>532</v>
      </c>
      <c r="F33" s="169"/>
      <c r="G33" s="169"/>
      <c r="H33" s="169"/>
      <c r="I33" s="169"/>
      <c r="J33" s="169"/>
      <c r="K33" s="170"/>
      <c r="L33" s="168" t="e">
        <f>VLOOKUP(A33,#REF!,7,0)</f>
        <v>#REF!</v>
      </c>
      <c r="M33" s="169"/>
      <c r="N33" s="169"/>
      <c r="O33" s="169"/>
      <c r="P33" s="169"/>
      <c r="Q33" s="169"/>
      <c r="R33" s="170"/>
    </row>
    <row r="34" spans="1:18" ht="60.75" customHeight="1">
      <c r="A34" s="13">
        <v>3090504190</v>
      </c>
      <c r="B34" s="13">
        <v>20690029</v>
      </c>
      <c r="C34" s="13" t="e">
        <f>VLOOKUP(A34,#REF!,12,0)</f>
        <v>#REF!</v>
      </c>
      <c r="D34" s="13"/>
      <c r="E34" s="168" t="s">
        <v>533</v>
      </c>
      <c r="F34" s="169"/>
      <c r="G34" s="169"/>
      <c r="H34" s="169"/>
      <c r="I34" s="169"/>
      <c r="J34" s="169"/>
      <c r="K34" s="170"/>
      <c r="L34" s="168" t="e">
        <f>VLOOKUP(A34,#REF!,7,0)</f>
        <v>#REF!</v>
      </c>
      <c r="M34" s="169"/>
      <c r="N34" s="169"/>
      <c r="O34" s="169"/>
      <c r="P34" s="169"/>
      <c r="Q34" s="169"/>
      <c r="R34" s="170"/>
    </row>
    <row r="35" spans="1:18" ht="60.75" customHeight="1">
      <c r="A35" s="13">
        <v>2140103370</v>
      </c>
      <c r="B35" s="13">
        <v>20692521</v>
      </c>
      <c r="C35" s="13" t="e">
        <f>VLOOKUP(A35,#REF!,12,0)</f>
        <v>#REF!</v>
      </c>
      <c r="D35" s="13"/>
      <c r="E35" s="168" t="s">
        <v>534</v>
      </c>
      <c r="F35" s="169"/>
      <c r="G35" s="169"/>
      <c r="H35" s="169"/>
      <c r="I35" s="169"/>
      <c r="J35" s="169"/>
      <c r="K35" s="170"/>
      <c r="L35" s="168" t="e">
        <f>VLOOKUP(A35,#REF!,7,0)</f>
        <v>#REF!</v>
      </c>
      <c r="M35" s="169"/>
      <c r="N35" s="169"/>
      <c r="O35" s="169"/>
      <c r="P35" s="169"/>
      <c r="Q35" s="169"/>
      <c r="R35" s="170"/>
    </row>
    <row r="36" spans="1:18" ht="60.75" customHeight="1">
      <c r="A36" s="13" t="s">
        <v>500</v>
      </c>
      <c r="B36" s="13">
        <v>20694422</v>
      </c>
      <c r="C36" s="13" t="e">
        <f>VLOOKUP(A36,#REF!,12,0)</f>
        <v>#REF!</v>
      </c>
      <c r="D36" s="13"/>
      <c r="E36" s="168" t="s">
        <v>535</v>
      </c>
      <c r="F36" s="169"/>
      <c r="G36" s="169"/>
      <c r="H36" s="169"/>
      <c r="I36" s="169"/>
      <c r="J36" s="169"/>
      <c r="K36" s="170"/>
      <c r="L36" s="168" t="e">
        <f>VLOOKUP(A36,#REF!,7,0)</f>
        <v>#REF!</v>
      </c>
      <c r="M36" s="169"/>
      <c r="N36" s="169"/>
      <c r="O36" s="169"/>
      <c r="P36" s="169"/>
      <c r="Q36" s="169"/>
      <c r="R36" s="170"/>
    </row>
    <row r="37" spans="1:18" ht="60.75" customHeight="1">
      <c r="A37" s="13">
        <v>3052303120</v>
      </c>
      <c r="B37" s="13">
        <v>20694303</v>
      </c>
      <c r="C37" s="13" t="e">
        <f>VLOOKUP(A37,#REF!,12,0)</f>
        <v>#REF!</v>
      </c>
      <c r="D37" s="13"/>
      <c r="E37" s="168" t="s">
        <v>536</v>
      </c>
      <c r="F37" s="169"/>
      <c r="G37" s="169"/>
      <c r="H37" s="169"/>
      <c r="I37" s="169"/>
      <c r="J37" s="169"/>
      <c r="K37" s="170"/>
      <c r="L37" s="168" t="e">
        <f>VLOOKUP(A37,#REF!,7,0)</f>
        <v>#REF!</v>
      </c>
      <c r="M37" s="169"/>
      <c r="N37" s="169"/>
      <c r="O37" s="169"/>
      <c r="P37" s="169"/>
      <c r="Q37" s="169"/>
      <c r="R37" s="170"/>
    </row>
    <row r="38" spans="1:18" ht="60.75" customHeight="1">
      <c r="A38" s="13">
        <v>3051502640</v>
      </c>
      <c r="B38" s="13">
        <v>20221400</v>
      </c>
      <c r="C38" s="13" t="e">
        <f>VLOOKUP(A38,#REF!,12,0)</f>
        <v>#REF!</v>
      </c>
      <c r="D38" s="13"/>
      <c r="E38" s="168" t="s">
        <v>537</v>
      </c>
      <c r="F38" s="169"/>
      <c r="G38" s="169"/>
      <c r="H38" s="169"/>
      <c r="I38" s="169"/>
      <c r="J38" s="169"/>
      <c r="K38" s="170"/>
      <c r="L38" s="168" t="e">
        <f>VLOOKUP(A38,#REF!,7,0)</f>
        <v>#REF!</v>
      </c>
      <c r="M38" s="169"/>
      <c r="N38" s="169"/>
      <c r="O38" s="169"/>
      <c r="P38" s="169"/>
      <c r="Q38" s="169"/>
      <c r="R38" s="170"/>
    </row>
    <row r="39" spans="1:18" ht="60.75" customHeight="1">
      <c r="A39" s="13">
        <v>3030104520</v>
      </c>
      <c r="B39" s="13">
        <v>21121200</v>
      </c>
      <c r="C39" s="13" t="e">
        <f>VLOOKUP(A39,#REF!,12,0)</f>
        <v>#REF!</v>
      </c>
      <c r="D39" s="13"/>
      <c r="E39" s="168" t="s">
        <v>538</v>
      </c>
      <c r="F39" s="169"/>
      <c r="G39" s="169"/>
      <c r="H39" s="169"/>
      <c r="I39" s="169"/>
      <c r="J39" s="169"/>
      <c r="K39" s="170"/>
      <c r="L39" s="168" t="e">
        <f>VLOOKUP(A39,#REF!,7,0)</f>
        <v>#REF!</v>
      </c>
      <c r="M39" s="169"/>
      <c r="N39" s="169"/>
      <c r="O39" s="169"/>
      <c r="P39" s="169"/>
      <c r="Q39" s="169"/>
      <c r="R39" s="170"/>
    </row>
    <row r="40" spans="1:18" ht="60.75" customHeight="1">
      <c r="A40" s="13">
        <v>3031100260</v>
      </c>
      <c r="B40" s="13">
        <v>20290807</v>
      </c>
      <c r="C40" s="13" t="e">
        <f>VLOOKUP(A40,#REF!,12,0)</f>
        <v>#REF!</v>
      </c>
      <c r="D40" s="13"/>
      <c r="E40" s="168" t="s">
        <v>539</v>
      </c>
      <c r="F40" s="169"/>
      <c r="G40" s="169"/>
      <c r="H40" s="169"/>
      <c r="I40" s="169"/>
      <c r="J40" s="169"/>
      <c r="K40" s="170"/>
      <c r="L40" s="168" t="e">
        <f>VLOOKUP(A40,#REF!,7,0)</f>
        <v>#REF!</v>
      </c>
      <c r="M40" s="169"/>
      <c r="N40" s="169"/>
      <c r="O40" s="169"/>
      <c r="P40" s="169"/>
      <c r="Q40" s="169"/>
      <c r="R40" s="170"/>
    </row>
    <row r="41" spans="1:18" ht="60.75" customHeight="1">
      <c r="A41" s="13">
        <v>3030104490</v>
      </c>
      <c r="B41" s="13">
        <v>20299003</v>
      </c>
      <c r="C41" s="13" t="e">
        <f>VLOOKUP(A41,#REF!,12,0)</f>
        <v>#REF!</v>
      </c>
      <c r="D41" s="13"/>
      <c r="E41" s="168" t="s">
        <v>540</v>
      </c>
      <c r="F41" s="169"/>
      <c r="G41" s="169"/>
      <c r="H41" s="169"/>
      <c r="I41" s="169"/>
      <c r="J41" s="169"/>
      <c r="K41" s="170"/>
      <c r="L41" s="168" t="e">
        <f>VLOOKUP(A41,#REF!,7,0)</f>
        <v>#REF!</v>
      </c>
      <c r="M41" s="169"/>
      <c r="N41" s="169"/>
      <c r="O41" s="169"/>
      <c r="P41" s="169"/>
      <c r="Q41" s="169"/>
      <c r="R41" s="170"/>
    </row>
    <row r="42" spans="1:18" ht="60.75" customHeight="1">
      <c r="A42" s="13">
        <v>3031101920</v>
      </c>
      <c r="B42" s="13">
        <v>20298004</v>
      </c>
      <c r="C42" s="13" t="e">
        <f>VLOOKUP(A42,#REF!,12,0)</f>
        <v>#REF!</v>
      </c>
      <c r="D42" s="13"/>
      <c r="E42" s="168" t="s">
        <v>541</v>
      </c>
      <c r="F42" s="169"/>
      <c r="G42" s="169"/>
      <c r="H42" s="169"/>
      <c r="I42" s="169"/>
      <c r="J42" s="169"/>
      <c r="K42" s="170"/>
      <c r="L42" s="168" t="e">
        <f>VLOOKUP(A42,#REF!,7,0)</f>
        <v>#REF!</v>
      </c>
      <c r="M42" s="169"/>
      <c r="N42" s="169"/>
      <c r="O42" s="169"/>
      <c r="P42" s="169"/>
      <c r="Q42" s="169"/>
      <c r="R42" s="170"/>
    </row>
    <row r="43" spans="1:18" ht="60.75" customHeight="1">
      <c r="A43" s="13">
        <v>3012707260</v>
      </c>
      <c r="B43" s="13">
        <v>20694118</v>
      </c>
      <c r="C43" s="13" t="e">
        <f>VLOOKUP(A43,#REF!,12,0)</f>
        <v>#REF!</v>
      </c>
      <c r="D43" s="13"/>
      <c r="E43" s="171" t="s">
        <v>542</v>
      </c>
      <c r="F43" s="172"/>
      <c r="G43" s="172"/>
      <c r="H43" s="172"/>
      <c r="I43" s="172"/>
      <c r="J43" s="172"/>
      <c r="K43" s="173"/>
      <c r="L43" s="168" t="e">
        <f>VLOOKUP(A43,#REF!,7,0)</f>
        <v>#REF!</v>
      </c>
      <c r="M43" s="169"/>
      <c r="N43" s="169"/>
      <c r="O43" s="169"/>
      <c r="P43" s="169"/>
      <c r="Q43" s="169"/>
      <c r="R43" s="170"/>
    </row>
    <row r="44" spans="1:18" ht="60.75" customHeight="1">
      <c r="A44" s="13">
        <v>6001007080</v>
      </c>
      <c r="B44" s="13">
        <v>20692020</v>
      </c>
      <c r="C44" s="13" t="e">
        <f>VLOOKUP(A44,#REF!,12,0)</f>
        <v>#REF!</v>
      </c>
      <c r="D44" s="13"/>
      <c r="E44" s="171" t="s">
        <v>543</v>
      </c>
      <c r="F44" s="172"/>
      <c r="G44" s="172"/>
      <c r="H44" s="172"/>
      <c r="I44" s="172"/>
      <c r="J44" s="172"/>
      <c r="K44" s="173"/>
      <c r="L44" s="168" t="e">
        <f>VLOOKUP(A44,#REF!,7,0)</f>
        <v>#REF!</v>
      </c>
      <c r="M44" s="169"/>
      <c r="N44" s="169"/>
      <c r="O44" s="169"/>
      <c r="P44" s="169"/>
      <c r="Q44" s="169"/>
      <c r="R44" s="170"/>
    </row>
    <row r="45" spans="1:18" ht="60.75" customHeight="1">
      <c r="A45" s="13">
        <v>6001007020</v>
      </c>
      <c r="B45" s="13">
        <v>20692021</v>
      </c>
      <c r="C45" s="13" t="e">
        <f>VLOOKUP(A45,#REF!,12,0)</f>
        <v>#REF!</v>
      </c>
      <c r="D45" s="13"/>
      <c r="E45" s="171" t="s">
        <v>544</v>
      </c>
      <c r="F45" s="172"/>
      <c r="G45" s="172"/>
      <c r="H45" s="172"/>
      <c r="I45" s="172"/>
      <c r="J45" s="172"/>
      <c r="K45" s="173"/>
      <c r="L45" s="168" t="e">
        <f>VLOOKUP(A45,#REF!,7,0)</f>
        <v>#REF!</v>
      </c>
      <c r="M45" s="169"/>
      <c r="N45" s="169"/>
      <c r="O45" s="169"/>
      <c r="P45" s="169"/>
      <c r="Q45" s="169"/>
      <c r="R45" s="170"/>
    </row>
    <row r="46" spans="1:18" ht="60.75" customHeight="1">
      <c r="A46" s="13">
        <v>3090504230</v>
      </c>
      <c r="B46" s="13">
        <v>20690032</v>
      </c>
      <c r="C46" s="13" t="e">
        <f>VLOOKUP(A46,#REF!,12,0)</f>
        <v>#REF!</v>
      </c>
      <c r="D46" s="13"/>
      <c r="E46" s="171" t="s">
        <v>545</v>
      </c>
      <c r="F46" s="172"/>
      <c r="G46" s="172"/>
      <c r="H46" s="172"/>
      <c r="I46" s="172"/>
      <c r="J46" s="172"/>
      <c r="K46" s="173"/>
      <c r="L46" s="168" t="e">
        <f>VLOOKUP(A46,#REF!,7,0)</f>
        <v>#REF!</v>
      </c>
      <c r="M46" s="169"/>
      <c r="N46" s="169"/>
      <c r="O46" s="169"/>
      <c r="P46" s="169"/>
      <c r="Q46" s="169"/>
      <c r="R46" s="170"/>
    </row>
    <row r="47" spans="1:18" ht="60.75" customHeight="1">
      <c r="A47" s="13">
        <v>3090504250</v>
      </c>
      <c r="B47" s="13">
        <v>20690033</v>
      </c>
      <c r="C47" s="13" t="e">
        <f>VLOOKUP(A47,#REF!,12,0)</f>
        <v>#REF!</v>
      </c>
      <c r="D47" s="13"/>
      <c r="E47" s="171" t="s">
        <v>546</v>
      </c>
      <c r="F47" s="172"/>
      <c r="G47" s="172"/>
      <c r="H47" s="172"/>
      <c r="I47" s="172"/>
      <c r="J47" s="172"/>
      <c r="K47" s="173"/>
      <c r="L47" s="168" t="e">
        <f>VLOOKUP(A47,#REF!,7,0)</f>
        <v>#REF!</v>
      </c>
      <c r="M47" s="169"/>
      <c r="N47" s="169"/>
      <c r="O47" s="169"/>
      <c r="P47" s="169"/>
      <c r="Q47" s="169"/>
      <c r="R47" s="170"/>
    </row>
    <row r="48" spans="1:18" ht="60.75" customHeight="1">
      <c r="A48" s="13">
        <v>3090504280</v>
      </c>
      <c r="B48" s="13">
        <v>20690031</v>
      </c>
      <c r="C48" s="13" t="e">
        <f>VLOOKUP(A48,#REF!,12,0)</f>
        <v>#REF!</v>
      </c>
      <c r="D48" s="13"/>
      <c r="E48" s="171" t="s">
        <v>547</v>
      </c>
      <c r="F48" s="172"/>
      <c r="G48" s="172"/>
      <c r="H48" s="172"/>
      <c r="I48" s="172"/>
      <c r="J48" s="172"/>
      <c r="K48" s="173"/>
      <c r="L48" s="168" t="e">
        <f>VLOOKUP(A48,#REF!,7,0)</f>
        <v>#REF!</v>
      </c>
      <c r="M48" s="169"/>
      <c r="N48" s="169"/>
      <c r="O48" s="169"/>
      <c r="P48" s="169"/>
      <c r="Q48" s="169"/>
      <c r="R48" s="170"/>
    </row>
    <row r="49" spans="1:18" ht="60.75" customHeight="1">
      <c r="A49" s="13">
        <v>2140103390</v>
      </c>
      <c r="B49" s="13">
        <v>20690035</v>
      </c>
      <c r="C49" s="13" t="e">
        <f>VLOOKUP(A49,#REF!,12,0)</f>
        <v>#REF!</v>
      </c>
      <c r="D49" s="13"/>
      <c r="E49" s="171" t="s">
        <v>548</v>
      </c>
      <c r="F49" s="172"/>
      <c r="G49" s="172"/>
      <c r="H49" s="172"/>
      <c r="I49" s="172"/>
      <c r="J49" s="172"/>
      <c r="K49" s="173"/>
      <c r="L49" s="168" t="e">
        <f>VLOOKUP(A49,#REF!,7,0)</f>
        <v>#REF!</v>
      </c>
      <c r="M49" s="169"/>
      <c r="N49" s="169"/>
      <c r="O49" s="169"/>
      <c r="P49" s="169"/>
      <c r="Q49" s="169"/>
      <c r="R49" s="170"/>
    </row>
    <row r="50" spans="1:18" ht="60.75" customHeight="1">
      <c r="A50" s="13">
        <v>5110017930</v>
      </c>
      <c r="B50" s="13">
        <v>40290960</v>
      </c>
      <c r="C50" s="13" t="e">
        <f>VLOOKUP(A50,#REF!,12,0)</f>
        <v>#REF!</v>
      </c>
      <c r="D50" s="13"/>
      <c r="E50" s="171" t="s">
        <v>549</v>
      </c>
      <c r="F50" s="172"/>
      <c r="G50" s="172"/>
      <c r="H50" s="172"/>
      <c r="I50" s="172"/>
      <c r="J50" s="172"/>
      <c r="K50" s="173"/>
      <c r="L50" s="168" t="e">
        <f>VLOOKUP(A50,#REF!,7,0)</f>
        <v>#REF!</v>
      </c>
      <c r="M50" s="169"/>
      <c r="N50" s="169"/>
      <c r="O50" s="169"/>
      <c r="P50" s="169"/>
      <c r="Q50" s="169"/>
      <c r="R50" s="170"/>
    </row>
    <row r="51" spans="1:18" ht="60.75" customHeight="1">
      <c r="A51" s="13">
        <v>2079901041</v>
      </c>
      <c r="B51" s="13">
        <v>20692031</v>
      </c>
      <c r="C51" s="13" t="e">
        <f>VLOOKUP(A51,#REF!,12,0)</f>
        <v>#REF!</v>
      </c>
      <c r="D51" s="13"/>
      <c r="E51" s="171" t="s">
        <v>550</v>
      </c>
      <c r="F51" s="172"/>
      <c r="G51" s="172"/>
      <c r="H51" s="172"/>
      <c r="I51" s="172"/>
      <c r="J51" s="172"/>
      <c r="K51" s="173"/>
      <c r="L51" s="168" t="e">
        <f>VLOOKUP(A51,#REF!,7,0)</f>
        <v>#REF!</v>
      </c>
      <c r="M51" s="169"/>
      <c r="N51" s="169"/>
      <c r="O51" s="169"/>
      <c r="P51" s="169"/>
      <c r="Q51" s="169"/>
      <c r="R51" s="170"/>
    </row>
    <row r="52" spans="1:18" ht="60.75" customHeight="1">
      <c r="A52" s="13">
        <v>2990205285</v>
      </c>
      <c r="B52" s="13">
        <v>20292210</v>
      </c>
      <c r="C52" s="13" t="e">
        <f>VLOOKUP(A52,#REF!,12,0)</f>
        <v>#REF!</v>
      </c>
      <c r="D52" s="13"/>
      <c r="E52" s="171" t="s">
        <v>551</v>
      </c>
      <c r="F52" s="172"/>
      <c r="G52" s="172"/>
      <c r="H52" s="172"/>
      <c r="I52" s="172"/>
      <c r="J52" s="172"/>
      <c r="K52" s="173"/>
      <c r="L52" s="168" t="e">
        <f>VLOOKUP(A52,#REF!,7,0)</f>
        <v>#REF!</v>
      </c>
      <c r="M52" s="169"/>
      <c r="N52" s="169"/>
      <c r="O52" s="169"/>
      <c r="P52" s="169"/>
      <c r="Q52" s="169"/>
      <c r="R52" s="170"/>
    </row>
    <row r="53" spans="1:18" ht="60.75" customHeight="1">
      <c r="A53" s="13">
        <v>2090903201</v>
      </c>
      <c r="B53" s="13">
        <v>20465551</v>
      </c>
      <c r="C53" s="13" t="e">
        <f>VLOOKUP(A53,#REF!,12,0)</f>
        <v>#REF!</v>
      </c>
      <c r="D53" s="13"/>
      <c r="E53" s="171" t="s">
        <v>552</v>
      </c>
      <c r="F53" s="172"/>
      <c r="G53" s="172"/>
      <c r="H53" s="172"/>
      <c r="I53" s="172"/>
      <c r="J53" s="172"/>
      <c r="K53" s="173"/>
      <c r="L53" s="168" t="e">
        <f>VLOOKUP(A53,#REF!,7,0)</f>
        <v>#REF!</v>
      </c>
      <c r="M53" s="169"/>
      <c r="N53" s="169"/>
      <c r="O53" s="169"/>
      <c r="P53" s="169"/>
      <c r="Q53" s="169"/>
      <c r="R53" s="170"/>
    </row>
    <row r="54" spans="1:18" ht="60.75" customHeight="1">
      <c r="A54" s="14">
        <v>3090504220</v>
      </c>
      <c r="B54" s="13">
        <v>20690022</v>
      </c>
      <c r="C54" s="13" t="e">
        <f>VLOOKUP(A54,#REF!,12,0)</f>
        <v>#REF!</v>
      </c>
      <c r="D54" s="13"/>
      <c r="E54" s="171" t="s">
        <v>553</v>
      </c>
      <c r="F54" s="172"/>
      <c r="G54" s="172"/>
      <c r="H54" s="172"/>
      <c r="I54" s="172"/>
      <c r="J54" s="172"/>
      <c r="K54" s="173"/>
      <c r="L54" s="168" t="e">
        <f>VLOOKUP(A54,#REF!,7,0)</f>
        <v>#REF!</v>
      </c>
      <c r="M54" s="169"/>
      <c r="N54" s="169"/>
      <c r="O54" s="169"/>
      <c r="P54" s="169"/>
      <c r="Q54" s="169"/>
      <c r="R54" s="170"/>
    </row>
    <row r="55" spans="1:18" ht="60.75" customHeight="1">
      <c r="A55" s="15">
        <v>3990200223</v>
      </c>
      <c r="B55" s="13">
        <v>20265122</v>
      </c>
      <c r="C55" s="13" t="e">
        <f>VLOOKUP(A55,#REF!,12,0)</f>
        <v>#REF!</v>
      </c>
      <c r="D55" s="13"/>
      <c r="E55" s="171" t="s">
        <v>554</v>
      </c>
      <c r="F55" s="172"/>
      <c r="G55" s="172"/>
      <c r="H55" s="172"/>
      <c r="I55" s="172"/>
      <c r="J55" s="172"/>
      <c r="K55" s="173"/>
      <c r="L55" s="168" t="e">
        <f>VLOOKUP(A55,#REF!,7,0)</f>
        <v>#REF!</v>
      </c>
      <c r="M55" s="169"/>
      <c r="N55" s="169"/>
      <c r="O55" s="169"/>
      <c r="P55" s="169"/>
      <c r="Q55" s="169"/>
      <c r="R55" s="170"/>
    </row>
    <row r="56" spans="1:18" ht="60.75" customHeight="1">
      <c r="A56" s="15">
        <v>3990200226</v>
      </c>
      <c r="B56" s="13">
        <v>21110125</v>
      </c>
      <c r="C56" s="13" t="e">
        <f>VLOOKUP(A56,#REF!,12,0)</f>
        <v>#REF!</v>
      </c>
      <c r="D56" s="13"/>
      <c r="E56" s="171" t="s">
        <v>555</v>
      </c>
      <c r="F56" s="172"/>
      <c r="G56" s="172"/>
      <c r="H56" s="172"/>
      <c r="I56" s="172"/>
      <c r="J56" s="172"/>
      <c r="K56" s="173"/>
      <c r="L56" s="168" t="e">
        <f>VLOOKUP(A56,#REF!,7,0)</f>
        <v>#REF!</v>
      </c>
      <c r="M56" s="169"/>
      <c r="N56" s="169"/>
      <c r="O56" s="169"/>
      <c r="P56" s="169"/>
      <c r="Q56" s="169"/>
      <c r="R56" s="170"/>
    </row>
  </sheetData>
  <mergeCells count="112">
    <mergeCell ref="E1:K1"/>
    <mergeCell ref="E2:K2"/>
    <mergeCell ref="E3:K3"/>
    <mergeCell ref="E4:K4"/>
    <mergeCell ref="E5:K5"/>
    <mergeCell ref="E6:K6"/>
    <mergeCell ref="E13:K13"/>
    <mergeCell ref="E14:K14"/>
    <mergeCell ref="E15:K15"/>
    <mergeCell ref="E16:K16"/>
    <mergeCell ref="E17:K17"/>
    <mergeCell ref="E18:K18"/>
    <mergeCell ref="E7:K7"/>
    <mergeCell ref="E8:K8"/>
    <mergeCell ref="E9:K9"/>
    <mergeCell ref="E10:K10"/>
    <mergeCell ref="E11:K11"/>
    <mergeCell ref="E12:K12"/>
    <mergeCell ref="E25:K25"/>
    <mergeCell ref="E26:K26"/>
    <mergeCell ref="E27:K27"/>
    <mergeCell ref="E28:K28"/>
    <mergeCell ref="E29:K29"/>
    <mergeCell ref="E30:K30"/>
    <mergeCell ref="E19:K19"/>
    <mergeCell ref="E20:K20"/>
    <mergeCell ref="E21:K21"/>
    <mergeCell ref="E22:K22"/>
    <mergeCell ref="E23:J23"/>
    <mergeCell ref="E24:K24"/>
    <mergeCell ref="E39:K39"/>
    <mergeCell ref="E40:K40"/>
    <mergeCell ref="E41:K41"/>
    <mergeCell ref="E42:K42"/>
    <mergeCell ref="E31:K31"/>
    <mergeCell ref="E32:K32"/>
    <mergeCell ref="E33:K33"/>
    <mergeCell ref="E34:K34"/>
    <mergeCell ref="E35:K35"/>
    <mergeCell ref="E36:K36"/>
    <mergeCell ref="E55:K55"/>
    <mergeCell ref="E56:K56"/>
    <mergeCell ref="L1:R1"/>
    <mergeCell ref="L2:R2"/>
    <mergeCell ref="L3:R3"/>
    <mergeCell ref="L4:R4"/>
    <mergeCell ref="L5:R5"/>
    <mergeCell ref="L6:R6"/>
    <mergeCell ref="L7:R7"/>
    <mergeCell ref="L8:R8"/>
    <mergeCell ref="E49:K49"/>
    <mergeCell ref="E50:K50"/>
    <mergeCell ref="E51:K51"/>
    <mergeCell ref="E52:K52"/>
    <mergeCell ref="E53:K53"/>
    <mergeCell ref="E54:K54"/>
    <mergeCell ref="E43:K43"/>
    <mergeCell ref="E44:K44"/>
    <mergeCell ref="E45:K45"/>
    <mergeCell ref="E46:K46"/>
    <mergeCell ref="E47:K47"/>
    <mergeCell ref="E48:K48"/>
    <mergeCell ref="E37:K37"/>
    <mergeCell ref="E38:K38"/>
    <mergeCell ref="L15:R15"/>
    <mergeCell ref="L16:R16"/>
    <mergeCell ref="L17:R17"/>
    <mergeCell ref="L18:R18"/>
    <mergeCell ref="L19:R19"/>
    <mergeCell ref="L20:R20"/>
    <mergeCell ref="L9:R9"/>
    <mergeCell ref="L10:R10"/>
    <mergeCell ref="L11:R11"/>
    <mergeCell ref="L12:R12"/>
    <mergeCell ref="L13:R13"/>
    <mergeCell ref="L14:R14"/>
    <mergeCell ref="L27:R27"/>
    <mergeCell ref="L28:R28"/>
    <mergeCell ref="L29:R29"/>
    <mergeCell ref="L30:R30"/>
    <mergeCell ref="L31:R31"/>
    <mergeCell ref="L32:R32"/>
    <mergeCell ref="L21:R21"/>
    <mergeCell ref="L22:R22"/>
    <mergeCell ref="L24:R24"/>
    <mergeCell ref="L25:R25"/>
    <mergeCell ref="L26:R26"/>
    <mergeCell ref="L23:R23"/>
    <mergeCell ref="L39:R39"/>
    <mergeCell ref="L40:R40"/>
    <mergeCell ref="L41:R41"/>
    <mergeCell ref="L42:R42"/>
    <mergeCell ref="L43:R43"/>
    <mergeCell ref="L44:R44"/>
    <mergeCell ref="L33:R33"/>
    <mergeCell ref="L34:R34"/>
    <mergeCell ref="L35:R35"/>
    <mergeCell ref="L36:R36"/>
    <mergeCell ref="L37:R37"/>
    <mergeCell ref="L38:R38"/>
    <mergeCell ref="L51:R51"/>
    <mergeCell ref="L52:R52"/>
    <mergeCell ref="L53:R53"/>
    <mergeCell ref="L54:R54"/>
    <mergeCell ref="L55:R55"/>
    <mergeCell ref="L56:R56"/>
    <mergeCell ref="L45:R45"/>
    <mergeCell ref="L46:R46"/>
    <mergeCell ref="L47:R47"/>
    <mergeCell ref="L48:R48"/>
    <mergeCell ref="L49:R49"/>
    <mergeCell ref="L50:R50"/>
  </mergeCells>
  <phoneticPr fontId="15" type="noConversion"/>
  <conditionalFormatting sqref="E2:E56">
    <cfRule type="duplicateValues" dxfId="3" priority="4"/>
    <cfRule type="expression" dxfId="2" priority="21">
      <formula>AND($A2="",$E2&lt;&gt;"")=TRUE</formula>
    </cfRule>
  </conditionalFormatting>
  <conditionalFormatting sqref="L2:L56">
    <cfRule type="duplicateValues" dxfId="1" priority="1"/>
    <cfRule type="expression" dxfId="0" priority="2">
      <formula>AND($A2="",$E2&lt;&gt;"")=TRUE</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30"/>
  <sheetViews>
    <sheetView topLeftCell="A19" workbookViewId="0">
      <selection sqref="A1:A430"/>
    </sheetView>
  </sheetViews>
  <sheetFormatPr defaultColWidth="9.453125" defaultRowHeight="13"/>
  <cols>
    <col min="1" max="1" width="11" style="1" bestFit="1" customWidth="1"/>
    <col min="2" max="2" width="90.54296875" style="1" bestFit="1" customWidth="1"/>
    <col min="3" max="16384" width="9.453125" style="1"/>
  </cols>
  <sheetData>
    <row r="1" spans="1:2">
      <c r="A1" s="2">
        <v>2090701550</v>
      </c>
      <c r="B1" s="12" t="s">
        <v>126</v>
      </c>
    </row>
    <row r="2" spans="1:2">
      <c r="A2" s="2">
        <v>3080700120</v>
      </c>
      <c r="B2" s="12" t="s">
        <v>140</v>
      </c>
    </row>
    <row r="3" spans="1:2">
      <c r="A3" s="2">
        <v>2140103040</v>
      </c>
      <c r="B3" s="12" t="s">
        <v>141</v>
      </c>
    </row>
    <row r="4" spans="1:2">
      <c r="A4" s="2">
        <v>2140103050</v>
      </c>
      <c r="B4" s="12" t="s">
        <v>142</v>
      </c>
    </row>
    <row r="5" spans="1:2">
      <c r="A5" s="2">
        <v>2140103060</v>
      </c>
      <c r="B5" s="12" t="s">
        <v>143</v>
      </c>
    </row>
    <row r="6" spans="1:2">
      <c r="A6" s="2">
        <v>3031300140</v>
      </c>
      <c r="B6" s="12" t="s">
        <v>144</v>
      </c>
    </row>
    <row r="7" spans="1:2">
      <c r="A7" s="2">
        <v>3020305989</v>
      </c>
      <c r="B7" s="12" t="s">
        <v>145</v>
      </c>
    </row>
    <row r="8" spans="1:2">
      <c r="A8" s="2">
        <v>2070101027</v>
      </c>
      <c r="B8" s="12" t="s">
        <v>146</v>
      </c>
    </row>
    <row r="9" spans="1:2">
      <c r="A9" s="2">
        <v>2070100101</v>
      </c>
      <c r="B9" s="12" t="s">
        <v>101</v>
      </c>
    </row>
    <row r="10" spans="1:2">
      <c r="A10" s="2">
        <v>3080500130</v>
      </c>
      <c r="B10" s="12" t="s">
        <v>108</v>
      </c>
    </row>
    <row r="11" spans="1:2">
      <c r="A11" s="2">
        <v>3080500390</v>
      </c>
      <c r="B11" s="12" t="s">
        <v>106</v>
      </c>
    </row>
    <row r="12" spans="1:2">
      <c r="A12" s="2">
        <v>3080500400</v>
      </c>
      <c r="B12" s="12" t="s">
        <v>133</v>
      </c>
    </row>
    <row r="13" spans="1:2">
      <c r="A13" s="2">
        <v>2090701510</v>
      </c>
      <c r="B13" s="12" t="s">
        <v>102</v>
      </c>
    </row>
    <row r="14" spans="1:2">
      <c r="A14" s="2">
        <v>3080500380</v>
      </c>
      <c r="B14" s="12" t="s">
        <v>130</v>
      </c>
    </row>
    <row r="15" spans="1:2">
      <c r="A15" s="2">
        <v>3090305670</v>
      </c>
      <c r="B15" s="12" t="s">
        <v>147</v>
      </c>
    </row>
    <row r="16" spans="1:2">
      <c r="A16" s="2">
        <v>3090300110</v>
      </c>
      <c r="B16" s="12" t="s">
        <v>148</v>
      </c>
    </row>
    <row r="17" spans="1:2">
      <c r="A17" s="2">
        <v>2020100230</v>
      </c>
      <c r="B17" s="12" t="s">
        <v>149</v>
      </c>
    </row>
    <row r="18" spans="1:2">
      <c r="A18" s="2">
        <v>2020300021</v>
      </c>
      <c r="B18" s="12" t="s">
        <v>150</v>
      </c>
    </row>
    <row r="19" spans="1:2">
      <c r="A19" s="2">
        <v>2020500091</v>
      </c>
      <c r="B19" s="12" t="s">
        <v>151</v>
      </c>
    </row>
    <row r="20" spans="1:2">
      <c r="A20" s="2">
        <v>2020500111</v>
      </c>
      <c r="B20" s="12" t="s">
        <v>152</v>
      </c>
    </row>
    <row r="21" spans="1:2">
      <c r="A21" s="2">
        <v>2020101980</v>
      </c>
      <c r="B21" s="12" t="s">
        <v>73</v>
      </c>
    </row>
    <row r="22" spans="1:2">
      <c r="A22" s="2">
        <v>2020300661</v>
      </c>
      <c r="B22" s="12" t="s">
        <v>153</v>
      </c>
    </row>
    <row r="23" spans="1:2">
      <c r="A23" s="2">
        <v>2020101320</v>
      </c>
      <c r="B23" s="12" t="s">
        <v>154</v>
      </c>
    </row>
    <row r="24" spans="1:2">
      <c r="A24" s="2">
        <v>2020500101</v>
      </c>
      <c r="B24" s="12" t="s">
        <v>155</v>
      </c>
    </row>
    <row r="25" spans="1:2">
      <c r="A25" s="2">
        <v>2020100120</v>
      </c>
      <c r="B25" s="12" t="s">
        <v>156</v>
      </c>
    </row>
    <row r="26" spans="1:2">
      <c r="A26" s="2">
        <v>2020100250</v>
      </c>
      <c r="B26" s="12" t="s">
        <v>157</v>
      </c>
    </row>
    <row r="27" spans="1:2">
      <c r="A27" s="2">
        <v>2020102120</v>
      </c>
      <c r="B27" s="12" t="s">
        <v>79</v>
      </c>
    </row>
    <row r="28" spans="1:2">
      <c r="A28" s="2">
        <v>2020103990</v>
      </c>
      <c r="B28" s="12" t="s">
        <v>118</v>
      </c>
    </row>
    <row r="29" spans="1:2">
      <c r="A29" s="2">
        <v>2020101520</v>
      </c>
      <c r="B29" s="12" t="s">
        <v>158</v>
      </c>
    </row>
    <row r="30" spans="1:2">
      <c r="A30" s="2">
        <v>2020100070</v>
      </c>
      <c r="B30" s="12" t="s">
        <v>159</v>
      </c>
    </row>
    <row r="31" spans="1:2">
      <c r="A31" s="2">
        <v>2020100090</v>
      </c>
      <c r="B31" s="12" t="s">
        <v>160</v>
      </c>
    </row>
    <row r="32" spans="1:2">
      <c r="A32" s="2">
        <v>2020100180</v>
      </c>
      <c r="B32" s="12" t="s">
        <v>161</v>
      </c>
    </row>
    <row r="33" spans="1:2">
      <c r="A33" s="2">
        <v>2020102150</v>
      </c>
      <c r="B33" s="12" t="s">
        <v>162</v>
      </c>
    </row>
    <row r="34" spans="1:2">
      <c r="A34" s="2">
        <v>2020300581</v>
      </c>
      <c r="B34" s="12" t="s">
        <v>163</v>
      </c>
    </row>
    <row r="35" spans="1:2">
      <c r="A35" s="2">
        <v>2020101420</v>
      </c>
      <c r="B35" s="12" t="s">
        <v>164</v>
      </c>
    </row>
    <row r="36" spans="1:2">
      <c r="A36" s="2">
        <v>2020100170</v>
      </c>
      <c r="B36" s="12" t="s">
        <v>165</v>
      </c>
    </row>
    <row r="37" spans="1:2">
      <c r="A37" s="2">
        <v>2020100020</v>
      </c>
      <c r="B37" s="12" t="s">
        <v>166</v>
      </c>
    </row>
    <row r="38" spans="1:2">
      <c r="A38" s="2">
        <v>2020100030</v>
      </c>
      <c r="B38" s="12" t="s">
        <v>167</v>
      </c>
    </row>
    <row r="39" spans="1:2">
      <c r="A39" s="2">
        <v>2020100910</v>
      </c>
      <c r="B39" s="12" t="s">
        <v>168</v>
      </c>
    </row>
    <row r="40" spans="1:2">
      <c r="A40" s="2">
        <v>2020100210</v>
      </c>
      <c r="B40" s="12" t="s">
        <v>169</v>
      </c>
    </row>
    <row r="41" spans="1:2">
      <c r="A41" s="2">
        <v>2020100190</v>
      </c>
      <c r="B41" s="12" t="s">
        <v>170</v>
      </c>
    </row>
    <row r="42" spans="1:2">
      <c r="A42" s="2">
        <v>2020100940</v>
      </c>
      <c r="B42" s="12" t="s">
        <v>171</v>
      </c>
    </row>
    <row r="43" spans="1:2">
      <c r="A43" s="2">
        <v>2020102010</v>
      </c>
      <c r="B43" s="12" t="s">
        <v>172</v>
      </c>
    </row>
    <row r="44" spans="1:2">
      <c r="A44" s="2">
        <v>2020101230</v>
      </c>
      <c r="B44" s="12" t="s">
        <v>173</v>
      </c>
    </row>
    <row r="45" spans="1:2">
      <c r="A45" s="2">
        <v>2020100100</v>
      </c>
      <c r="B45" s="12" t="s">
        <v>174</v>
      </c>
    </row>
    <row r="46" spans="1:2">
      <c r="A46" s="2">
        <v>2020500322</v>
      </c>
      <c r="B46" s="12" t="s">
        <v>175</v>
      </c>
    </row>
    <row r="47" spans="1:2">
      <c r="A47" s="2">
        <v>2020100990</v>
      </c>
      <c r="B47" s="12" t="s">
        <v>176</v>
      </c>
    </row>
    <row r="48" spans="1:2">
      <c r="A48" s="2">
        <v>2020301161</v>
      </c>
      <c r="B48" s="12" t="s">
        <v>177</v>
      </c>
    </row>
    <row r="49" spans="1:2">
      <c r="A49" s="2">
        <v>2020100510</v>
      </c>
      <c r="B49" s="12" t="s">
        <v>178</v>
      </c>
    </row>
    <row r="50" spans="1:2">
      <c r="A50" s="2">
        <v>2020100200</v>
      </c>
      <c r="B50" s="12" t="s">
        <v>179</v>
      </c>
    </row>
    <row r="51" spans="1:2">
      <c r="A51" s="2">
        <v>2020301201</v>
      </c>
      <c r="B51" s="12" t="s">
        <v>180</v>
      </c>
    </row>
    <row r="52" spans="1:2">
      <c r="A52" s="2">
        <v>2020101570</v>
      </c>
      <c r="B52" s="12" t="s">
        <v>181</v>
      </c>
    </row>
    <row r="53" spans="1:2">
      <c r="A53" s="2">
        <v>2020100330</v>
      </c>
      <c r="B53" s="12" t="s">
        <v>182</v>
      </c>
    </row>
    <row r="54" spans="1:2">
      <c r="A54" s="2">
        <v>2020100140</v>
      </c>
      <c r="B54" s="12" t="s">
        <v>183</v>
      </c>
    </row>
    <row r="55" spans="1:2">
      <c r="A55" s="2">
        <v>2020100110</v>
      </c>
      <c r="B55" s="12" t="s">
        <v>184</v>
      </c>
    </row>
    <row r="56" spans="1:2">
      <c r="A56" s="2">
        <v>2020101950</v>
      </c>
      <c r="B56" s="12" t="s">
        <v>72</v>
      </c>
    </row>
    <row r="57" spans="1:2">
      <c r="A57" s="2">
        <v>2020300651</v>
      </c>
      <c r="B57" s="12" t="s">
        <v>185</v>
      </c>
    </row>
    <row r="58" spans="1:2">
      <c r="A58" s="2">
        <v>2020300041</v>
      </c>
      <c r="B58" s="12" t="s">
        <v>186</v>
      </c>
    </row>
    <row r="59" spans="1:2">
      <c r="A59" s="2">
        <v>2020300901</v>
      </c>
      <c r="B59" s="12" t="s">
        <v>187</v>
      </c>
    </row>
    <row r="60" spans="1:2">
      <c r="A60" s="2">
        <v>2020101780</v>
      </c>
      <c r="B60" s="12" t="s">
        <v>188</v>
      </c>
    </row>
    <row r="61" spans="1:2">
      <c r="A61" s="2">
        <v>2020100760</v>
      </c>
      <c r="B61" s="12" t="s">
        <v>189</v>
      </c>
    </row>
    <row r="62" spans="1:2">
      <c r="A62" s="2">
        <v>2020101310</v>
      </c>
      <c r="B62" s="12" t="s">
        <v>190</v>
      </c>
    </row>
    <row r="63" spans="1:2">
      <c r="A63" s="2">
        <v>2020700012</v>
      </c>
      <c r="B63" s="12" t="s">
        <v>191</v>
      </c>
    </row>
    <row r="64" spans="1:2">
      <c r="A64" s="2">
        <v>2020102040</v>
      </c>
      <c r="B64" s="12" t="s">
        <v>192</v>
      </c>
    </row>
    <row r="65" spans="1:2">
      <c r="A65" s="2">
        <v>2020700031</v>
      </c>
      <c r="B65" s="12" t="s">
        <v>193</v>
      </c>
    </row>
    <row r="66" spans="1:2">
      <c r="A66" s="2">
        <v>2020700061</v>
      </c>
      <c r="B66" s="12" t="s">
        <v>194</v>
      </c>
    </row>
    <row r="67" spans="1:2">
      <c r="A67" s="2">
        <v>2020101110</v>
      </c>
      <c r="B67" s="12" t="s">
        <v>195</v>
      </c>
    </row>
    <row r="68" spans="1:2">
      <c r="A68" s="2">
        <v>2020700071</v>
      </c>
      <c r="B68" s="12" t="s">
        <v>196</v>
      </c>
    </row>
    <row r="69" spans="1:2">
      <c r="A69" s="2">
        <v>2020101120</v>
      </c>
      <c r="B69" s="12" t="s">
        <v>197</v>
      </c>
    </row>
    <row r="70" spans="1:2">
      <c r="A70" s="2">
        <v>2020100310</v>
      </c>
      <c r="B70" s="12" t="s">
        <v>198</v>
      </c>
    </row>
    <row r="71" spans="1:2">
      <c r="A71" s="2">
        <v>2020700041</v>
      </c>
      <c r="B71" s="12" t="s">
        <v>199</v>
      </c>
    </row>
    <row r="72" spans="1:2">
      <c r="A72" s="2">
        <v>2020700201</v>
      </c>
      <c r="B72" s="12" t="s">
        <v>200</v>
      </c>
    </row>
    <row r="73" spans="1:2">
      <c r="A73" s="2">
        <v>2020500461</v>
      </c>
      <c r="B73" s="12" t="s">
        <v>201</v>
      </c>
    </row>
    <row r="74" spans="1:2">
      <c r="A74" s="2">
        <v>2020102200</v>
      </c>
      <c r="B74" s="12" t="s">
        <v>77</v>
      </c>
    </row>
    <row r="75" spans="1:2">
      <c r="A75" s="2">
        <v>2020300401</v>
      </c>
      <c r="B75" s="12" t="s">
        <v>134</v>
      </c>
    </row>
    <row r="76" spans="1:2">
      <c r="A76" s="2">
        <v>2020300061</v>
      </c>
      <c r="B76" s="12" t="s">
        <v>202</v>
      </c>
    </row>
    <row r="77" spans="1:2">
      <c r="A77" s="2">
        <v>2020300831</v>
      </c>
      <c r="B77" s="12" t="s">
        <v>203</v>
      </c>
    </row>
    <row r="78" spans="1:2">
      <c r="A78" s="2">
        <v>2020300111</v>
      </c>
      <c r="B78" s="12" t="s">
        <v>204</v>
      </c>
    </row>
    <row r="79" spans="1:2">
      <c r="A79" s="2">
        <v>2020301001</v>
      </c>
      <c r="B79" s="12" t="s">
        <v>205</v>
      </c>
    </row>
    <row r="80" spans="1:2">
      <c r="A80" s="2">
        <v>2020300081</v>
      </c>
      <c r="B80" s="12" t="s">
        <v>206</v>
      </c>
    </row>
    <row r="81" spans="1:2">
      <c r="A81" s="2">
        <v>2020100960</v>
      </c>
      <c r="B81" s="12" t="s">
        <v>207</v>
      </c>
    </row>
    <row r="82" spans="1:2">
      <c r="A82" s="2">
        <v>2020300031</v>
      </c>
      <c r="B82" s="12" t="s">
        <v>208</v>
      </c>
    </row>
    <row r="83" spans="1:2">
      <c r="A83" s="2">
        <v>2020101190</v>
      </c>
      <c r="B83" s="12" t="s">
        <v>209</v>
      </c>
    </row>
    <row r="84" spans="1:2">
      <c r="A84" s="2">
        <v>2020301021</v>
      </c>
      <c r="B84" s="12" t="s">
        <v>210</v>
      </c>
    </row>
    <row r="85" spans="1:2">
      <c r="A85" s="2">
        <v>2020300821</v>
      </c>
      <c r="B85" s="12" t="s">
        <v>211</v>
      </c>
    </row>
    <row r="86" spans="1:2">
      <c r="A86" s="2">
        <v>2020301151</v>
      </c>
      <c r="B86" s="12" t="s">
        <v>93</v>
      </c>
    </row>
    <row r="87" spans="1:2">
      <c r="A87" s="2">
        <v>2020301121</v>
      </c>
      <c r="B87" s="12" t="s">
        <v>212</v>
      </c>
    </row>
    <row r="88" spans="1:2">
      <c r="A88" s="2">
        <v>2020300561</v>
      </c>
      <c r="B88" s="12" t="s">
        <v>213</v>
      </c>
    </row>
    <row r="89" spans="1:2">
      <c r="A89" s="2">
        <v>2020300192</v>
      </c>
      <c r="B89" s="12" t="s">
        <v>109</v>
      </c>
    </row>
    <row r="90" spans="1:2">
      <c r="A90" s="2">
        <v>2020300451</v>
      </c>
      <c r="B90" s="12" t="s">
        <v>214</v>
      </c>
    </row>
    <row r="91" spans="1:2">
      <c r="A91" s="2">
        <v>2020300011</v>
      </c>
      <c r="B91" s="12" t="s">
        <v>215</v>
      </c>
    </row>
    <row r="92" spans="1:2">
      <c r="A92" s="2">
        <v>2020300161</v>
      </c>
      <c r="B92" s="12" t="s">
        <v>216</v>
      </c>
    </row>
    <row r="93" spans="1:2">
      <c r="A93" s="2">
        <v>2020300571</v>
      </c>
      <c r="B93" s="12" t="s">
        <v>217</v>
      </c>
    </row>
    <row r="94" spans="1:2">
      <c r="A94" s="2">
        <v>2020100560</v>
      </c>
      <c r="B94" s="12" t="s">
        <v>218</v>
      </c>
    </row>
    <row r="95" spans="1:2">
      <c r="A95" s="2">
        <v>2020300171</v>
      </c>
      <c r="B95" s="12" t="s">
        <v>219</v>
      </c>
    </row>
    <row r="96" spans="1:2">
      <c r="A96" s="2">
        <v>2020500781</v>
      </c>
      <c r="B96" s="12" t="s">
        <v>116</v>
      </c>
    </row>
    <row r="97" spans="1:2">
      <c r="A97" s="2">
        <v>2050900161</v>
      </c>
      <c r="B97" s="12" t="s">
        <v>220</v>
      </c>
    </row>
    <row r="98" spans="1:2">
      <c r="A98" s="2">
        <v>2051300611</v>
      </c>
      <c r="B98" s="12" t="s">
        <v>221</v>
      </c>
    </row>
    <row r="99" spans="1:2">
      <c r="A99" s="2">
        <v>2051700031</v>
      </c>
      <c r="B99" s="12" t="s">
        <v>222</v>
      </c>
    </row>
    <row r="100" spans="1:2">
      <c r="A100" s="2">
        <v>2050300741</v>
      </c>
      <c r="B100" s="12" t="s">
        <v>94</v>
      </c>
    </row>
    <row r="101" spans="1:2">
      <c r="A101" s="2">
        <v>2050500063</v>
      </c>
      <c r="B101" s="12" t="s">
        <v>223</v>
      </c>
    </row>
    <row r="102" spans="1:2">
      <c r="A102" s="2">
        <v>2050100031</v>
      </c>
      <c r="B102" s="12" t="s">
        <v>224</v>
      </c>
    </row>
    <row r="103" spans="1:2">
      <c r="A103" s="2">
        <v>2050500021</v>
      </c>
      <c r="B103" s="12" t="s">
        <v>225</v>
      </c>
    </row>
    <row r="104" spans="1:2">
      <c r="A104" s="2">
        <v>2050500451</v>
      </c>
      <c r="B104" s="12" t="s">
        <v>226</v>
      </c>
    </row>
    <row r="105" spans="1:2">
      <c r="A105" s="2">
        <v>2050500481</v>
      </c>
      <c r="B105" s="12" t="s">
        <v>227</v>
      </c>
    </row>
    <row r="106" spans="1:2">
      <c r="A106" s="2">
        <v>2050500401</v>
      </c>
      <c r="B106" s="12" t="s">
        <v>228</v>
      </c>
    </row>
    <row r="107" spans="1:2">
      <c r="A107" s="2">
        <v>2050900022</v>
      </c>
      <c r="B107" s="12" t="s">
        <v>229</v>
      </c>
    </row>
    <row r="108" spans="1:2">
      <c r="A108" s="2">
        <v>2050900021</v>
      </c>
      <c r="B108" s="12" t="s">
        <v>230</v>
      </c>
    </row>
    <row r="109" spans="1:2">
      <c r="A109" s="2">
        <v>2090101321</v>
      </c>
      <c r="B109" s="12" t="s">
        <v>231</v>
      </c>
    </row>
    <row r="110" spans="1:2">
      <c r="A110" s="2">
        <v>2090101811</v>
      </c>
      <c r="B110" s="12" t="s">
        <v>232</v>
      </c>
    </row>
    <row r="111" spans="1:2">
      <c r="A111" s="2">
        <v>3090500440</v>
      </c>
      <c r="B111" s="12" t="s">
        <v>233</v>
      </c>
    </row>
    <row r="112" spans="1:2">
      <c r="A112" s="2">
        <v>3090309070</v>
      </c>
      <c r="B112" s="12" t="s">
        <v>234</v>
      </c>
    </row>
    <row r="113" spans="1:2">
      <c r="A113" s="2">
        <v>2090101821</v>
      </c>
      <c r="B113" s="12" t="s">
        <v>235</v>
      </c>
    </row>
    <row r="114" spans="1:2">
      <c r="A114" s="2">
        <v>3090308190</v>
      </c>
      <c r="B114" s="12" t="s">
        <v>137</v>
      </c>
    </row>
    <row r="115" spans="1:2">
      <c r="A115" s="2">
        <v>2090900071</v>
      </c>
      <c r="B115" s="12" t="s">
        <v>236</v>
      </c>
    </row>
    <row r="116" spans="1:2">
      <c r="A116" s="2">
        <v>2090100011</v>
      </c>
      <c r="B116" s="12" t="s">
        <v>237</v>
      </c>
    </row>
    <row r="117" spans="1:2">
      <c r="A117" s="2">
        <v>3090500630</v>
      </c>
      <c r="B117" s="12" t="s">
        <v>238</v>
      </c>
    </row>
    <row r="118" spans="1:2">
      <c r="A118" s="2">
        <v>3090500620</v>
      </c>
      <c r="B118" s="12" t="s">
        <v>239</v>
      </c>
    </row>
    <row r="119" spans="1:2">
      <c r="A119" s="2">
        <v>2090305390</v>
      </c>
      <c r="B119" s="12" t="s">
        <v>240</v>
      </c>
    </row>
    <row r="120" spans="1:2">
      <c r="A120" s="2">
        <v>2090102170</v>
      </c>
      <c r="B120" s="12" t="s">
        <v>241</v>
      </c>
    </row>
    <row r="121" spans="1:2">
      <c r="A121" s="2">
        <v>2090100411</v>
      </c>
      <c r="B121" s="12" t="s">
        <v>69</v>
      </c>
    </row>
    <row r="122" spans="1:2">
      <c r="A122" s="2">
        <v>2090103470</v>
      </c>
      <c r="B122" s="12" t="s">
        <v>242</v>
      </c>
    </row>
    <row r="123" spans="1:2">
      <c r="A123" s="2">
        <v>3090305680</v>
      </c>
      <c r="B123" s="12" t="s">
        <v>243</v>
      </c>
    </row>
    <row r="124" spans="1:2">
      <c r="A124" s="2">
        <v>2090100031</v>
      </c>
      <c r="B124" s="12" t="s">
        <v>244</v>
      </c>
    </row>
    <row r="125" spans="1:2">
      <c r="A125" s="2">
        <v>2090101751</v>
      </c>
      <c r="B125" s="12" t="s">
        <v>110</v>
      </c>
    </row>
    <row r="126" spans="1:2">
      <c r="A126" s="2">
        <v>2090302891</v>
      </c>
      <c r="B126" s="12" t="s">
        <v>245</v>
      </c>
    </row>
    <row r="127" spans="1:2">
      <c r="A127" s="2">
        <v>2050900691</v>
      </c>
      <c r="B127" s="12" t="s">
        <v>246</v>
      </c>
    </row>
    <row r="128" spans="1:2">
      <c r="A128" s="2">
        <v>2110100011</v>
      </c>
      <c r="B128" s="12" t="s">
        <v>247</v>
      </c>
    </row>
    <row r="129" spans="1:2">
      <c r="A129" s="2">
        <v>2110100012</v>
      </c>
      <c r="B129" s="12" t="s">
        <v>248</v>
      </c>
    </row>
    <row r="130" spans="1:2">
      <c r="A130" s="2">
        <v>2110301290</v>
      </c>
      <c r="B130" s="12" t="s">
        <v>95</v>
      </c>
    </row>
    <row r="131" spans="1:2">
      <c r="A131" s="2">
        <v>2060100281</v>
      </c>
      <c r="B131" s="12" t="s">
        <v>249</v>
      </c>
    </row>
    <row r="132" spans="1:2">
      <c r="A132" s="2">
        <v>2060100282</v>
      </c>
      <c r="B132" s="12" t="s">
        <v>138</v>
      </c>
    </row>
    <row r="133" spans="1:2">
      <c r="A133" s="2">
        <v>2060100171</v>
      </c>
      <c r="B133" s="12" t="s">
        <v>250</v>
      </c>
    </row>
    <row r="134" spans="1:2">
      <c r="A134" s="2">
        <v>2040400240</v>
      </c>
      <c r="B134" s="12" t="s">
        <v>251</v>
      </c>
    </row>
    <row r="135" spans="1:2">
      <c r="A135" s="2">
        <v>2040400220</v>
      </c>
      <c r="B135" s="12" t="s">
        <v>252</v>
      </c>
    </row>
    <row r="136" spans="1:2">
      <c r="A136" s="2">
        <v>2040400210</v>
      </c>
      <c r="B136" s="12" t="s">
        <v>253</v>
      </c>
    </row>
    <row r="137" spans="1:2">
      <c r="A137" s="2">
        <v>2040400230</v>
      </c>
      <c r="B137" s="12" t="s">
        <v>254</v>
      </c>
    </row>
    <row r="138" spans="1:2">
      <c r="A138" s="2">
        <v>2060100011</v>
      </c>
      <c r="B138" s="12" t="s">
        <v>255</v>
      </c>
    </row>
    <row r="139" spans="1:2">
      <c r="A139" s="2">
        <v>2060100022</v>
      </c>
      <c r="B139" s="12" t="s">
        <v>256</v>
      </c>
    </row>
    <row r="140" spans="1:2">
      <c r="A140" s="2">
        <v>2060100042</v>
      </c>
      <c r="B140" s="12" t="s">
        <v>125</v>
      </c>
    </row>
    <row r="141" spans="1:2">
      <c r="A141" s="2">
        <v>2060100041</v>
      </c>
      <c r="B141" s="12" t="s">
        <v>257</v>
      </c>
    </row>
    <row r="142" spans="1:2">
      <c r="A142" s="2">
        <v>2060100061</v>
      </c>
      <c r="B142" s="12" t="s">
        <v>258</v>
      </c>
    </row>
    <row r="143" spans="1:2">
      <c r="A143" s="2">
        <v>2060100552</v>
      </c>
      <c r="B143" s="12" t="s">
        <v>259</v>
      </c>
    </row>
    <row r="144" spans="1:2">
      <c r="A144" s="2">
        <v>2060100091</v>
      </c>
      <c r="B144" s="12" t="s">
        <v>135</v>
      </c>
    </row>
    <row r="145" spans="1:2">
      <c r="A145" s="2">
        <v>2060100092</v>
      </c>
      <c r="B145" s="12" t="s">
        <v>260</v>
      </c>
    </row>
    <row r="146" spans="1:2">
      <c r="A146" s="2">
        <v>2060100671</v>
      </c>
      <c r="B146" s="12" t="s">
        <v>261</v>
      </c>
    </row>
    <row r="147" spans="1:2">
      <c r="A147" s="2">
        <v>2060300070</v>
      </c>
      <c r="B147" s="12" t="s">
        <v>262</v>
      </c>
    </row>
    <row r="148" spans="1:2">
      <c r="A148" s="2">
        <v>2060302030</v>
      </c>
      <c r="B148" s="12" t="s">
        <v>89</v>
      </c>
    </row>
    <row r="149" spans="1:2">
      <c r="A149" s="2">
        <v>2060300081</v>
      </c>
      <c r="B149" s="12" t="s">
        <v>263</v>
      </c>
    </row>
    <row r="150" spans="1:2">
      <c r="A150" s="2">
        <v>2060100561</v>
      </c>
      <c r="B150" s="12" t="s">
        <v>264</v>
      </c>
    </row>
    <row r="151" spans="1:2">
      <c r="A151" s="2">
        <v>2060300020</v>
      </c>
      <c r="B151" s="12" t="s">
        <v>99</v>
      </c>
    </row>
    <row r="152" spans="1:2">
      <c r="A152" s="2">
        <v>2060300471</v>
      </c>
      <c r="B152" s="12" t="s">
        <v>265</v>
      </c>
    </row>
    <row r="153" spans="1:2">
      <c r="A153" s="2">
        <v>2060300310</v>
      </c>
      <c r="B153" s="12" t="s">
        <v>266</v>
      </c>
    </row>
    <row r="154" spans="1:2">
      <c r="A154" s="2">
        <v>2060302060</v>
      </c>
      <c r="B154" s="12" t="s">
        <v>267</v>
      </c>
    </row>
    <row r="155" spans="1:2">
      <c r="A155" s="2">
        <v>2060300410</v>
      </c>
      <c r="B155" s="12" t="s">
        <v>266</v>
      </c>
    </row>
    <row r="156" spans="1:2">
      <c r="A156" s="2">
        <v>2060300500</v>
      </c>
      <c r="B156" s="12" t="s">
        <v>266</v>
      </c>
    </row>
    <row r="157" spans="1:2">
      <c r="A157" s="2">
        <v>2060300040</v>
      </c>
      <c r="B157" s="12" t="s">
        <v>268</v>
      </c>
    </row>
    <row r="158" spans="1:2">
      <c r="A158" s="2">
        <v>2060100141</v>
      </c>
      <c r="B158" s="12" t="s">
        <v>269</v>
      </c>
    </row>
    <row r="159" spans="1:2">
      <c r="A159" s="2">
        <v>2060500101</v>
      </c>
      <c r="B159" s="12" t="s">
        <v>270</v>
      </c>
    </row>
    <row r="160" spans="1:2">
      <c r="A160" s="2">
        <v>2060500111</v>
      </c>
      <c r="B160" s="12" t="s">
        <v>271</v>
      </c>
    </row>
    <row r="161" spans="1:2">
      <c r="A161" s="2">
        <v>2060100221</v>
      </c>
      <c r="B161" s="12" t="s">
        <v>249</v>
      </c>
    </row>
    <row r="162" spans="1:2">
      <c r="A162" s="2">
        <v>2060500011</v>
      </c>
      <c r="B162" s="12" t="s">
        <v>272</v>
      </c>
    </row>
    <row r="163" spans="1:2">
      <c r="A163" s="2">
        <v>2060500051</v>
      </c>
      <c r="B163" s="12" t="s">
        <v>273</v>
      </c>
    </row>
    <row r="164" spans="1:2">
      <c r="A164" s="2">
        <v>2060300061</v>
      </c>
      <c r="B164" s="12" t="s">
        <v>274</v>
      </c>
    </row>
    <row r="165" spans="1:2">
      <c r="A165" s="2">
        <v>2091100451</v>
      </c>
      <c r="B165" s="12" t="s">
        <v>275</v>
      </c>
    </row>
    <row r="166" spans="1:2">
      <c r="A166" s="2">
        <v>2060100021</v>
      </c>
      <c r="B166" s="12" t="s">
        <v>276</v>
      </c>
    </row>
    <row r="167" spans="1:2">
      <c r="A167" s="2">
        <v>2050500041</v>
      </c>
      <c r="B167" s="12" t="s">
        <v>277</v>
      </c>
    </row>
    <row r="168" spans="1:2">
      <c r="A168" s="2">
        <v>2091100481</v>
      </c>
      <c r="B168" s="12" t="s">
        <v>278</v>
      </c>
    </row>
    <row r="169" spans="1:2">
      <c r="A169" s="2">
        <v>2091100011</v>
      </c>
      <c r="B169" s="12" t="s">
        <v>279</v>
      </c>
    </row>
    <row r="170" spans="1:2">
      <c r="A170" s="2">
        <v>2091100021</v>
      </c>
      <c r="B170" s="12" t="s">
        <v>280</v>
      </c>
    </row>
    <row r="171" spans="1:2">
      <c r="A171" s="2">
        <v>2091100031</v>
      </c>
      <c r="B171" s="12" t="s">
        <v>281</v>
      </c>
    </row>
    <row r="172" spans="1:2">
      <c r="A172" s="2">
        <v>3100102430</v>
      </c>
      <c r="B172" s="12" t="s">
        <v>282</v>
      </c>
    </row>
    <row r="173" spans="1:2">
      <c r="A173" s="2">
        <v>3100902560</v>
      </c>
      <c r="B173" s="12" t="s">
        <v>283</v>
      </c>
    </row>
    <row r="174" spans="1:2">
      <c r="A174" s="2">
        <v>3100102020</v>
      </c>
      <c r="B174" s="12" t="s">
        <v>284</v>
      </c>
    </row>
    <row r="175" spans="1:2">
      <c r="A175" s="2">
        <v>3100102030</v>
      </c>
      <c r="B175" s="12" t="s">
        <v>285</v>
      </c>
    </row>
    <row r="176" spans="1:2">
      <c r="A176" s="2">
        <v>3090303030</v>
      </c>
      <c r="B176" s="12" t="s">
        <v>286</v>
      </c>
    </row>
    <row r="177" spans="1:2">
      <c r="A177" s="2">
        <v>3090303020</v>
      </c>
      <c r="B177" s="12" t="s">
        <v>287</v>
      </c>
    </row>
    <row r="178" spans="1:2">
      <c r="A178" s="2">
        <v>2040500170</v>
      </c>
      <c r="B178" s="12" t="s">
        <v>288</v>
      </c>
    </row>
    <row r="179" spans="1:2">
      <c r="A179" s="2">
        <v>2040500160</v>
      </c>
      <c r="B179" s="12" t="s">
        <v>289</v>
      </c>
    </row>
    <row r="180" spans="1:2">
      <c r="A180" s="2">
        <v>2040500150</v>
      </c>
      <c r="B180" s="12" t="s">
        <v>290</v>
      </c>
    </row>
    <row r="181" spans="1:2">
      <c r="A181" s="2">
        <v>2040500180</v>
      </c>
      <c r="B181" s="12" t="s">
        <v>291</v>
      </c>
    </row>
    <row r="182" spans="1:2">
      <c r="A182" s="2">
        <v>3022701649</v>
      </c>
      <c r="B182" s="12" t="s">
        <v>136</v>
      </c>
    </row>
    <row r="183" spans="1:2">
      <c r="A183" s="2">
        <v>2030300031</v>
      </c>
      <c r="B183" s="12" t="s">
        <v>292</v>
      </c>
    </row>
    <row r="184" spans="1:2">
      <c r="A184" s="2">
        <v>2030500021</v>
      </c>
      <c r="B184" s="12" t="s">
        <v>293</v>
      </c>
    </row>
    <row r="185" spans="1:2">
      <c r="A185" s="2">
        <v>2030500011</v>
      </c>
      <c r="B185" s="12" t="s">
        <v>294</v>
      </c>
    </row>
    <row r="186" spans="1:2">
      <c r="A186" s="2">
        <v>2030900131</v>
      </c>
      <c r="B186" s="12" t="s">
        <v>295</v>
      </c>
    </row>
    <row r="187" spans="1:2">
      <c r="A187" s="2">
        <v>2030100241</v>
      </c>
      <c r="B187" s="12" t="s">
        <v>296</v>
      </c>
    </row>
    <row r="188" spans="1:2">
      <c r="A188" s="2">
        <v>2030700651</v>
      </c>
      <c r="B188" s="12" t="s">
        <v>111</v>
      </c>
    </row>
    <row r="189" spans="1:2">
      <c r="A189" s="2">
        <v>2030500481</v>
      </c>
      <c r="B189" s="12" t="s">
        <v>297</v>
      </c>
    </row>
    <row r="190" spans="1:2">
      <c r="A190" s="2">
        <v>2030500392</v>
      </c>
      <c r="B190" s="12" t="s">
        <v>298</v>
      </c>
    </row>
    <row r="191" spans="1:2">
      <c r="A191" s="2">
        <v>2030300093</v>
      </c>
      <c r="B191" s="12" t="s">
        <v>299</v>
      </c>
    </row>
    <row r="192" spans="1:2">
      <c r="A192" s="2">
        <v>2030100471</v>
      </c>
      <c r="B192" s="12" t="s">
        <v>300</v>
      </c>
    </row>
    <row r="193" spans="1:2">
      <c r="A193" s="2">
        <v>2030300262</v>
      </c>
      <c r="B193" s="12" t="s">
        <v>301</v>
      </c>
    </row>
    <row r="194" spans="1:2">
      <c r="A194" s="2">
        <v>2030900011</v>
      </c>
      <c r="B194" s="12" t="s">
        <v>302</v>
      </c>
    </row>
    <row r="195" spans="1:2">
      <c r="A195" s="2">
        <v>2030900021</v>
      </c>
      <c r="B195" s="12" t="s">
        <v>303</v>
      </c>
    </row>
    <row r="196" spans="1:2">
      <c r="A196" s="2">
        <v>2030900172</v>
      </c>
      <c r="B196" s="12" t="s">
        <v>304</v>
      </c>
    </row>
    <row r="197" spans="1:2">
      <c r="A197" s="2">
        <v>2120302131</v>
      </c>
      <c r="B197" s="12" t="s">
        <v>305</v>
      </c>
    </row>
    <row r="198" spans="1:2">
      <c r="A198" s="2">
        <v>2120303460</v>
      </c>
      <c r="B198" s="12" t="s">
        <v>306</v>
      </c>
    </row>
    <row r="199" spans="1:2">
      <c r="A199" s="2">
        <v>2120303450</v>
      </c>
      <c r="B199" s="12" t="s">
        <v>307</v>
      </c>
    </row>
    <row r="200" spans="1:2">
      <c r="A200" s="2">
        <v>2120302821</v>
      </c>
      <c r="B200" s="12" t="s">
        <v>308</v>
      </c>
    </row>
    <row r="201" spans="1:2">
      <c r="A201" s="2">
        <v>2120302841</v>
      </c>
      <c r="B201" s="12" t="s">
        <v>309</v>
      </c>
    </row>
    <row r="202" spans="1:2">
      <c r="A202" s="2">
        <v>2120302791</v>
      </c>
      <c r="B202" s="12" t="s">
        <v>310</v>
      </c>
    </row>
    <row r="203" spans="1:2">
      <c r="A203" s="2">
        <v>2120302761</v>
      </c>
      <c r="B203" s="12" t="s">
        <v>311</v>
      </c>
    </row>
    <row r="204" spans="1:2">
      <c r="A204" s="2">
        <v>2120304121</v>
      </c>
      <c r="B204" s="12" t="s">
        <v>85</v>
      </c>
    </row>
    <row r="205" spans="1:2">
      <c r="A205" s="2">
        <v>2041101431</v>
      </c>
      <c r="B205" s="12" t="s">
        <v>312</v>
      </c>
    </row>
    <row r="206" spans="1:2">
      <c r="A206" s="2">
        <v>2041101441</v>
      </c>
      <c r="B206" s="12" t="s">
        <v>313</v>
      </c>
    </row>
    <row r="207" spans="1:2">
      <c r="A207" s="2">
        <v>2041101401</v>
      </c>
      <c r="B207" s="12" t="s">
        <v>314</v>
      </c>
    </row>
    <row r="208" spans="1:2">
      <c r="A208" s="2">
        <v>2041101391</v>
      </c>
      <c r="B208" s="12" t="s">
        <v>315</v>
      </c>
    </row>
    <row r="209" spans="1:2">
      <c r="A209" s="2">
        <v>2041101411</v>
      </c>
      <c r="B209" s="12" t="s">
        <v>316</v>
      </c>
    </row>
    <row r="210" spans="1:2">
      <c r="A210" s="2">
        <v>2041101421</v>
      </c>
      <c r="B210" s="12" t="s">
        <v>317</v>
      </c>
    </row>
    <row r="211" spans="1:2">
      <c r="A211" s="2">
        <v>2041100271</v>
      </c>
      <c r="B211" s="12" t="s">
        <v>318</v>
      </c>
    </row>
    <row r="212" spans="1:2">
      <c r="A212" s="2">
        <v>2041100051</v>
      </c>
      <c r="B212" s="12" t="s">
        <v>319</v>
      </c>
    </row>
    <row r="213" spans="1:2">
      <c r="A213" s="2">
        <v>2041100071</v>
      </c>
      <c r="B213" s="12" t="s">
        <v>320</v>
      </c>
    </row>
    <row r="214" spans="1:2">
      <c r="A214" s="2">
        <v>2050100831</v>
      </c>
      <c r="B214" s="12" t="s">
        <v>71</v>
      </c>
    </row>
    <row r="215" spans="1:2">
      <c r="A215" s="2">
        <v>2050101961</v>
      </c>
      <c r="B215" s="12" t="s">
        <v>321</v>
      </c>
    </row>
    <row r="216" spans="1:2">
      <c r="A216" s="2">
        <v>2050100591</v>
      </c>
      <c r="B216" s="12" t="s">
        <v>322</v>
      </c>
    </row>
    <row r="217" spans="1:2">
      <c r="A217" s="2">
        <v>3032902450</v>
      </c>
      <c r="B217" s="12" t="s">
        <v>129</v>
      </c>
    </row>
    <row r="218" spans="1:2">
      <c r="A218" s="2">
        <v>3032902440</v>
      </c>
      <c r="B218" s="12" t="s">
        <v>132</v>
      </c>
    </row>
    <row r="219" spans="1:2">
      <c r="A219" s="2">
        <v>3032900150</v>
      </c>
      <c r="B219" s="12" t="s">
        <v>323</v>
      </c>
    </row>
    <row r="220" spans="1:2">
      <c r="A220" s="2">
        <v>2040300011</v>
      </c>
      <c r="B220" s="12" t="s">
        <v>324</v>
      </c>
    </row>
    <row r="221" spans="1:2">
      <c r="A221" s="2">
        <v>3030109550</v>
      </c>
      <c r="B221" s="12" t="s">
        <v>325</v>
      </c>
    </row>
    <row r="222" spans="1:2">
      <c r="A222" s="2">
        <v>3030300160</v>
      </c>
      <c r="B222" s="12" t="s">
        <v>326</v>
      </c>
    </row>
    <row r="223" spans="1:2">
      <c r="A223" s="2">
        <v>3030300280</v>
      </c>
      <c r="B223" s="12" t="s">
        <v>105</v>
      </c>
    </row>
    <row r="224" spans="1:2">
      <c r="A224" s="2">
        <v>3030106480</v>
      </c>
      <c r="B224" s="12" t="s">
        <v>91</v>
      </c>
    </row>
    <row r="225" spans="1:2">
      <c r="A225" s="2">
        <v>3030100100</v>
      </c>
      <c r="B225" s="12" t="s">
        <v>327</v>
      </c>
    </row>
    <row r="226" spans="1:2">
      <c r="A226" s="2">
        <v>3030106410</v>
      </c>
      <c r="B226" s="12" t="s">
        <v>123</v>
      </c>
    </row>
    <row r="227" spans="1:2">
      <c r="A227" s="2">
        <v>3030100050</v>
      </c>
      <c r="B227" s="12" t="s">
        <v>328</v>
      </c>
    </row>
    <row r="228" spans="1:2">
      <c r="A228" s="2">
        <v>3030104220</v>
      </c>
      <c r="B228" s="12" t="s">
        <v>329</v>
      </c>
    </row>
    <row r="229" spans="1:2">
      <c r="A229" s="2">
        <v>3030109480</v>
      </c>
      <c r="B229" s="12" t="s">
        <v>330</v>
      </c>
    </row>
    <row r="230" spans="1:2">
      <c r="A230" s="2">
        <v>3030303170</v>
      </c>
      <c r="B230" s="12" t="s">
        <v>331</v>
      </c>
    </row>
    <row r="231" spans="1:2">
      <c r="A231" s="2">
        <v>3030303160</v>
      </c>
      <c r="B231" s="12" t="s">
        <v>332</v>
      </c>
    </row>
    <row r="232" spans="1:2">
      <c r="A232" s="2">
        <v>3030101760</v>
      </c>
      <c r="B232" s="12" t="s">
        <v>333</v>
      </c>
    </row>
    <row r="233" spans="1:2">
      <c r="A233" s="2">
        <v>3030109470</v>
      </c>
      <c r="B233" s="12" t="s">
        <v>334</v>
      </c>
    </row>
    <row r="234" spans="1:2">
      <c r="A234" s="2">
        <v>3030109540</v>
      </c>
      <c r="B234" s="12" t="s">
        <v>124</v>
      </c>
    </row>
    <row r="235" spans="1:2">
      <c r="A235" s="2">
        <v>3030100030</v>
      </c>
      <c r="B235" s="12" t="s">
        <v>335</v>
      </c>
    </row>
    <row r="236" spans="1:2">
      <c r="A236" s="2">
        <v>3040900010</v>
      </c>
      <c r="B236" s="12" t="s">
        <v>336</v>
      </c>
    </row>
    <row r="237" spans="1:2">
      <c r="A237" s="2">
        <v>2090300901</v>
      </c>
      <c r="B237" s="12" t="s">
        <v>337</v>
      </c>
    </row>
    <row r="238" spans="1:2">
      <c r="A238" s="2">
        <v>3041500100</v>
      </c>
      <c r="B238" s="12" t="s">
        <v>338</v>
      </c>
    </row>
    <row r="239" spans="1:2">
      <c r="A239" s="2">
        <v>2150121340</v>
      </c>
      <c r="B239" s="12" t="s">
        <v>339</v>
      </c>
    </row>
    <row r="240" spans="1:2">
      <c r="A240" s="2">
        <v>2150134280</v>
      </c>
      <c r="B240" s="12" t="s">
        <v>97</v>
      </c>
    </row>
    <row r="241" spans="1:2">
      <c r="A241" s="2">
        <v>2150121700</v>
      </c>
      <c r="B241" s="12" t="s">
        <v>340</v>
      </c>
    </row>
    <row r="242" spans="1:2">
      <c r="A242" s="2">
        <v>2150131760</v>
      </c>
      <c r="B242" s="12" t="s">
        <v>120</v>
      </c>
    </row>
    <row r="243" spans="1:2">
      <c r="A243" s="2">
        <v>2150133570</v>
      </c>
      <c r="B243" s="12" t="s">
        <v>117</v>
      </c>
    </row>
    <row r="244" spans="1:2">
      <c r="A244" s="2">
        <v>2150135310</v>
      </c>
      <c r="B244" s="12" t="s">
        <v>88</v>
      </c>
    </row>
    <row r="245" spans="1:2">
      <c r="A245" s="2">
        <v>2150133560</v>
      </c>
      <c r="B245" s="12" t="s">
        <v>82</v>
      </c>
    </row>
    <row r="246" spans="1:2">
      <c r="A246" s="2">
        <v>2150108170</v>
      </c>
      <c r="B246" s="12" t="s">
        <v>341</v>
      </c>
    </row>
    <row r="247" spans="1:2">
      <c r="A247" s="2">
        <v>2150121690</v>
      </c>
      <c r="B247" s="12" t="s">
        <v>342</v>
      </c>
    </row>
    <row r="248" spans="1:2">
      <c r="A248" s="2">
        <v>2150138340</v>
      </c>
      <c r="B248" s="12" t="s">
        <v>343</v>
      </c>
    </row>
    <row r="249" spans="1:2">
      <c r="A249" s="2">
        <v>2150138330</v>
      </c>
      <c r="B249" s="12" t="s">
        <v>344</v>
      </c>
    </row>
    <row r="250" spans="1:2">
      <c r="A250" s="2">
        <v>2150130590</v>
      </c>
      <c r="B250" s="12" t="s">
        <v>90</v>
      </c>
    </row>
    <row r="251" spans="1:2">
      <c r="A251" s="2">
        <v>2150136750</v>
      </c>
      <c r="B251" s="12" t="s">
        <v>104</v>
      </c>
    </row>
    <row r="252" spans="1:2">
      <c r="A252" s="2">
        <v>3010500410</v>
      </c>
      <c r="B252" s="12" t="s">
        <v>345</v>
      </c>
    </row>
    <row r="253" spans="1:2">
      <c r="A253" s="2">
        <v>3010500400</v>
      </c>
      <c r="B253" s="12" t="s">
        <v>346</v>
      </c>
    </row>
    <row r="254" spans="1:2">
      <c r="A254" s="2">
        <v>3040301130</v>
      </c>
      <c r="B254" s="12" t="s">
        <v>347</v>
      </c>
    </row>
    <row r="255" spans="1:2">
      <c r="A255" s="2">
        <v>3042500440</v>
      </c>
      <c r="B255" s="12" t="s">
        <v>348</v>
      </c>
    </row>
    <row r="256" spans="1:2">
      <c r="A256" s="2">
        <v>3010502120</v>
      </c>
      <c r="B256" s="12" t="s">
        <v>107</v>
      </c>
    </row>
    <row r="257" spans="1:2">
      <c r="A257" s="2">
        <v>3010502170</v>
      </c>
      <c r="B257" s="12" t="s">
        <v>103</v>
      </c>
    </row>
    <row r="258" spans="1:2">
      <c r="A258" s="2">
        <v>3010502270</v>
      </c>
      <c r="B258" s="12" t="s">
        <v>100</v>
      </c>
    </row>
    <row r="259" spans="1:2">
      <c r="A259" s="2">
        <v>3010502110</v>
      </c>
      <c r="B259" s="12" t="s">
        <v>70</v>
      </c>
    </row>
    <row r="260" spans="1:2">
      <c r="A260" s="2">
        <v>3040302540</v>
      </c>
      <c r="B260" s="12" t="s">
        <v>81</v>
      </c>
    </row>
    <row r="261" spans="1:2">
      <c r="A261" s="2">
        <v>3030900200</v>
      </c>
      <c r="B261" s="12" t="s">
        <v>349</v>
      </c>
    </row>
    <row r="262" spans="1:2">
      <c r="A262" s="2">
        <v>2051300461</v>
      </c>
      <c r="B262" s="12" t="s">
        <v>350</v>
      </c>
    </row>
    <row r="263" spans="1:2">
      <c r="A263" s="2">
        <v>2050901221</v>
      </c>
      <c r="B263" s="12" t="s">
        <v>351</v>
      </c>
    </row>
    <row r="264" spans="1:2">
      <c r="A264" s="2">
        <v>2050900401</v>
      </c>
      <c r="B264" s="12" t="s">
        <v>96</v>
      </c>
    </row>
    <row r="265" spans="1:2">
      <c r="A265" s="2">
        <v>2050900081</v>
      </c>
      <c r="B265" s="12" t="s">
        <v>352</v>
      </c>
    </row>
    <row r="266" spans="1:2">
      <c r="A266" s="2">
        <v>2050900091</v>
      </c>
      <c r="B266" s="12" t="s">
        <v>353</v>
      </c>
    </row>
    <row r="267" spans="1:2">
      <c r="A267" s="2">
        <v>2050901181</v>
      </c>
      <c r="B267" s="12" t="s">
        <v>354</v>
      </c>
    </row>
    <row r="268" spans="1:2">
      <c r="A268" s="2">
        <v>2050901311</v>
      </c>
      <c r="B268" s="12" t="s">
        <v>355</v>
      </c>
    </row>
    <row r="269" spans="1:2">
      <c r="A269" s="2">
        <v>2050900011</v>
      </c>
      <c r="B269" s="12" t="s">
        <v>356</v>
      </c>
    </row>
    <row r="270" spans="1:2">
      <c r="A270" s="2">
        <v>2050900141</v>
      </c>
      <c r="B270" s="12" t="s">
        <v>357</v>
      </c>
    </row>
    <row r="271" spans="1:2">
      <c r="A271" s="2">
        <v>2050902561</v>
      </c>
      <c r="B271" s="12" t="s">
        <v>119</v>
      </c>
    </row>
    <row r="272" spans="1:2">
      <c r="A272" s="2">
        <v>2050901581</v>
      </c>
      <c r="B272" s="12" t="s">
        <v>75</v>
      </c>
    </row>
    <row r="273" spans="1:2">
      <c r="A273" s="2">
        <v>2050900231</v>
      </c>
      <c r="B273" s="12" t="s">
        <v>358</v>
      </c>
    </row>
    <row r="274" spans="1:2">
      <c r="A274" s="2">
        <v>2050901201</v>
      </c>
      <c r="B274" s="12" t="s">
        <v>359</v>
      </c>
    </row>
    <row r="275" spans="1:2">
      <c r="A275" s="2">
        <v>2050900031</v>
      </c>
      <c r="B275" s="12" t="s">
        <v>98</v>
      </c>
    </row>
    <row r="276" spans="1:2">
      <c r="A276" s="2">
        <v>2050900171</v>
      </c>
      <c r="B276" s="12" t="s">
        <v>360</v>
      </c>
    </row>
    <row r="277" spans="1:2">
      <c r="A277" s="2">
        <v>3010313960</v>
      </c>
      <c r="B277" s="12" t="s">
        <v>361</v>
      </c>
    </row>
    <row r="278" spans="1:2">
      <c r="A278" s="2">
        <v>3010313950</v>
      </c>
      <c r="B278" s="12" t="s">
        <v>362</v>
      </c>
    </row>
    <row r="279" spans="1:2">
      <c r="A279" s="2">
        <v>3010300500</v>
      </c>
      <c r="B279" s="12" t="s">
        <v>363</v>
      </c>
    </row>
    <row r="280" spans="1:2">
      <c r="A280" s="2">
        <v>3010300510</v>
      </c>
      <c r="B280" s="12" t="s">
        <v>364</v>
      </c>
    </row>
    <row r="281" spans="1:2">
      <c r="A281" s="2">
        <v>2010100780</v>
      </c>
      <c r="B281" s="12" t="s">
        <v>365</v>
      </c>
    </row>
    <row r="282" spans="1:2">
      <c r="A282" s="2">
        <v>2010105510</v>
      </c>
      <c r="B282" s="12" t="s">
        <v>366</v>
      </c>
    </row>
    <row r="283" spans="1:2">
      <c r="A283" s="2">
        <v>2010106050</v>
      </c>
      <c r="B283" s="12" t="s">
        <v>367</v>
      </c>
    </row>
    <row r="284" spans="1:2">
      <c r="A284" s="2">
        <v>2010100460</v>
      </c>
      <c r="B284" s="12" t="s">
        <v>368</v>
      </c>
    </row>
    <row r="285" spans="1:2">
      <c r="A285" s="2">
        <v>2010102250</v>
      </c>
      <c r="B285" s="12" t="s">
        <v>369</v>
      </c>
    </row>
    <row r="286" spans="1:2">
      <c r="A286" s="2">
        <v>2010105810</v>
      </c>
      <c r="B286" s="12" t="s">
        <v>370</v>
      </c>
    </row>
    <row r="287" spans="1:2">
      <c r="A287" s="2">
        <v>2010104520</v>
      </c>
      <c r="B287" s="12" t="s">
        <v>371</v>
      </c>
    </row>
    <row r="288" spans="1:2">
      <c r="A288" s="2">
        <v>2010102020</v>
      </c>
      <c r="B288" s="12" t="s">
        <v>372</v>
      </c>
    </row>
    <row r="289" spans="1:2">
      <c r="A289" s="2">
        <v>2010100920</v>
      </c>
      <c r="B289" s="12" t="s">
        <v>373</v>
      </c>
    </row>
    <row r="290" spans="1:2">
      <c r="A290" s="2">
        <v>2010105690</v>
      </c>
      <c r="B290" s="12" t="s">
        <v>374</v>
      </c>
    </row>
    <row r="291" spans="1:2">
      <c r="A291" s="2">
        <v>2010101200</v>
      </c>
      <c r="B291" s="12" t="s">
        <v>375</v>
      </c>
    </row>
    <row r="292" spans="1:2">
      <c r="A292" s="2">
        <v>2010105610</v>
      </c>
      <c r="B292" s="12" t="s">
        <v>376</v>
      </c>
    </row>
    <row r="293" spans="1:2">
      <c r="A293" s="2">
        <v>2010100170</v>
      </c>
      <c r="B293" s="12" t="s">
        <v>377</v>
      </c>
    </row>
    <row r="294" spans="1:2">
      <c r="A294" s="2">
        <v>2010100860</v>
      </c>
      <c r="B294" s="12" t="s">
        <v>378</v>
      </c>
    </row>
    <row r="295" spans="1:2">
      <c r="A295" s="2">
        <v>2010100730</v>
      </c>
      <c r="B295" s="12" t="s">
        <v>379</v>
      </c>
    </row>
    <row r="296" spans="1:2">
      <c r="A296" s="2">
        <v>2010105700</v>
      </c>
      <c r="B296" s="12" t="s">
        <v>380</v>
      </c>
    </row>
    <row r="297" spans="1:2">
      <c r="A297" s="2">
        <v>2010100510</v>
      </c>
      <c r="B297" s="12" t="s">
        <v>381</v>
      </c>
    </row>
    <row r="298" spans="1:2">
      <c r="A298" s="2">
        <v>2010100990</v>
      </c>
      <c r="B298" s="12" t="s">
        <v>382</v>
      </c>
    </row>
    <row r="299" spans="1:2">
      <c r="A299" s="2">
        <v>2010104530</v>
      </c>
      <c r="B299" s="12" t="s">
        <v>383</v>
      </c>
    </row>
    <row r="300" spans="1:2">
      <c r="A300" s="2">
        <v>2010104590</v>
      </c>
      <c r="B300" s="12" t="s">
        <v>384</v>
      </c>
    </row>
    <row r="301" spans="1:2">
      <c r="A301" s="2">
        <v>2010105630</v>
      </c>
      <c r="B301" s="12" t="s">
        <v>385</v>
      </c>
    </row>
    <row r="302" spans="1:2">
      <c r="A302" s="2">
        <v>2010102000</v>
      </c>
      <c r="B302" s="12" t="s">
        <v>386</v>
      </c>
    </row>
    <row r="303" spans="1:2">
      <c r="A303" s="2">
        <v>2010500032</v>
      </c>
      <c r="B303" s="12" t="s">
        <v>387</v>
      </c>
    </row>
    <row r="304" spans="1:2">
      <c r="A304" s="2">
        <v>2010109590</v>
      </c>
      <c r="B304" s="12" t="s">
        <v>388</v>
      </c>
    </row>
    <row r="305" spans="1:2">
      <c r="A305" s="2">
        <v>2010106130</v>
      </c>
      <c r="B305" s="12" t="s">
        <v>139</v>
      </c>
    </row>
    <row r="306" spans="1:2">
      <c r="A306" s="2">
        <v>2010104890</v>
      </c>
      <c r="B306" s="12" t="s">
        <v>389</v>
      </c>
    </row>
    <row r="307" spans="1:2">
      <c r="A307" s="2">
        <v>2010100750</v>
      </c>
      <c r="B307" s="12" t="s">
        <v>390</v>
      </c>
    </row>
    <row r="308" spans="1:2">
      <c r="A308" s="2">
        <v>2010100370</v>
      </c>
      <c r="B308" s="12" t="s">
        <v>391</v>
      </c>
    </row>
    <row r="309" spans="1:2">
      <c r="A309" s="2">
        <v>2010105520</v>
      </c>
      <c r="B309" s="12" t="s">
        <v>392</v>
      </c>
    </row>
    <row r="310" spans="1:2">
      <c r="A310" s="2">
        <v>2010101020</v>
      </c>
      <c r="B310" s="12" t="s">
        <v>393</v>
      </c>
    </row>
    <row r="311" spans="1:2">
      <c r="A311" s="2">
        <v>2010102750</v>
      </c>
      <c r="B311" s="12" t="s">
        <v>394</v>
      </c>
    </row>
    <row r="312" spans="1:2">
      <c r="A312" s="2">
        <v>2010101960</v>
      </c>
      <c r="B312" s="12" t="s">
        <v>395</v>
      </c>
    </row>
    <row r="313" spans="1:2">
      <c r="A313" s="2">
        <v>2010103920</v>
      </c>
      <c r="B313" s="12" t="s">
        <v>396</v>
      </c>
    </row>
    <row r="314" spans="1:2">
      <c r="A314" s="2">
        <v>2010100160</v>
      </c>
      <c r="B314" s="12" t="s">
        <v>397</v>
      </c>
    </row>
    <row r="315" spans="1:2">
      <c r="A315" s="2">
        <v>2010100830</v>
      </c>
      <c r="B315" s="12" t="s">
        <v>398</v>
      </c>
    </row>
    <row r="316" spans="1:2">
      <c r="A316" s="2">
        <v>2010101580</v>
      </c>
      <c r="B316" s="12" t="s">
        <v>399</v>
      </c>
    </row>
    <row r="317" spans="1:2">
      <c r="A317" s="2">
        <v>2010104680</v>
      </c>
      <c r="B317" s="12" t="s">
        <v>400</v>
      </c>
    </row>
    <row r="318" spans="1:2">
      <c r="A318" s="2">
        <v>2010101000</v>
      </c>
      <c r="B318" s="12" t="s">
        <v>401</v>
      </c>
    </row>
    <row r="319" spans="1:2">
      <c r="A319" s="2">
        <v>2010104830</v>
      </c>
      <c r="B319" s="12" t="s">
        <v>402</v>
      </c>
    </row>
    <row r="320" spans="1:2">
      <c r="A320" s="2">
        <v>2010105900</v>
      </c>
      <c r="B320" s="12" t="s">
        <v>403</v>
      </c>
    </row>
    <row r="321" spans="1:2">
      <c r="A321" s="2">
        <v>2010105060</v>
      </c>
      <c r="B321" s="12" t="s">
        <v>87</v>
      </c>
    </row>
    <row r="322" spans="1:2">
      <c r="A322" s="2">
        <v>2010100480</v>
      </c>
      <c r="B322" s="12" t="s">
        <v>404</v>
      </c>
    </row>
    <row r="323" spans="1:2">
      <c r="A323" s="2">
        <v>2010104560</v>
      </c>
      <c r="B323" s="12" t="s">
        <v>405</v>
      </c>
    </row>
    <row r="324" spans="1:2">
      <c r="A324" s="2">
        <v>2010100700</v>
      </c>
      <c r="B324" s="12" t="s">
        <v>406</v>
      </c>
    </row>
    <row r="325" spans="1:2">
      <c r="A325" s="2">
        <v>2010100820</v>
      </c>
      <c r="B325" s="12" t="s">
        <v>407</v>
      </c>
    </row>
    <row r="326" spans="1:2">
      <c r="A326" s="2">
        <v>2010101560</v>
      </c>
      <c r="B326" s="12" t="s">
        <v>86</v>
      </c>
    </row>
    <row r="327" spans="1:2">
      <c r="A327" s="2">
        <v>2010103440</v>
      </c>
      <c r="B327" s="12" t="s">
        <v>408</v>
      </c>
    </row>
    <row r="328" spans="1:2">
      <c r="A328" s="2">
        <v>2010102270</v>
      </c>
      <c r="B328" s="12" t="s">
        <v>131</v>
      </c>
    </row>
    <row r="329" spans="1:2">
      <c r="A329" s="2">
        <v>2010100340</v>
      </c>
      <c r="B329" s="12" t="s">
        <v>409</v>
      </c>
    </row>
    <row r="330" spans="1:2">
      <c r="A330" s="2">
        <v>2010100640</v>
      </c>
      <c r="B330" s="12" t="s">
        <v>410</v>
      </c>
    </row>
    <row r="331" spans="1:2">
      <c r="A331" s="2">
        <v>2010101010</v>
      </c>
      <c r="B331" s="12" t="s">
        <v>411</v>
      </c>
    </row>
    <row r="332" spans="1:2">
      <c r="A332" s="2">
        <v>2010105720</v>
      </c>
      <c r="B332" s="12" t="s">
        <v>412</v>
      </c>
    </row>
    <row r="333" spans="1:2">
      <c r="A333" s="2">
        <v>2010100810</v>
      </c>
      <c r="B333" s="12" t="s">
        <v>413</v>
      </c>
    </row>
    <row r="334" spans="1:2">
      <c r="A334" s="2">
        <v>2010101680</v>
      </c>
      <c r="B334" s="12" t="s">
        <v>78</v>
      </c>
    </row>
    <row r="335" spans="1:2">
      <c r="A335" s="2">
        <v>2010101990</v>
      </c>
      <c r="B335" s="12" t="s">
        <v>414</v>
      </c>
    </row>
    <row r="336" spans="1:2">
      <c r="A336" s="2">
        <v>2010100030</v>
      </c>
      <c r="B336" s="12" t="s">
        <v>415</v>
      </c>
    </row>
    <row r="337" spans="1:2">
      <c r="A337" s="2">
        <v>2010104690</v>
      </c>
      <c r="B337" s="12" t="s">
        <v>416</v>
      </c>
    </row>
    <row r="338" spans="1:2">
      <c r="A338" s="2">
        <v>2010100130</v>
      </c>
      <c r="B338" s="12" t="s">
        <v>417</v>
      </c>
    </row>
    <row r="339" spans="1:2">
      <c r="A339" s="2">
        <v>2010102420</v>
      </c>
      <c r="B339" s="12" t="s">
        <v>74</v>
      </c>
    </row>
    <row r="340" spans="1:2">
      <c r="A340" s="1">
        <v>2010100040</v>
      </c>
      <c r="B340" s="1" t="s">
        <v>418</v>
      </c>
    </row>
    <row r="341" spans="1:2">
      <c r="A341" s="1">
        <v>2010104570</v>
      </c>
      <c r="B341" s="1" t="s">
        <v>419</v>
      </c>
    </row>
    <row r="342" spans="1:2">
      <c r="A342" s="1">
        <v>2010100900</v>
      </c>
      <c r="B342" s="1" t="s">
        <v>420</v>
      </c>
    </row>
    <row r="343" spans="1:2">
      <c r="A343" s="1">
        <v>2010104020</v>
      </c>
      <c r="B343" s="1" t="s">
        <v>421</v>
      </c>
    </row>
    <row r="344" spans="1:2">
      <c r="A344" s="1">
        <v>2010100930</v>
      </c>
      <c r="B344" s="1" t="s">
        <v>422</v>
      </c>
    </row>
    <row r="345" spans="1:2">
      <c r="A345" s="1">
        <v>2010104510</v>
      </c>
      <c r="B345" s="1" t="s">
        <v>423</v>
      </c>
    </row>
    <row r="346" spans="1:2">
      <c r="A346" s="1">
        <v>2010107040</v>
      </c>
      <c r="B346" s="1" t="s">
        <v>68</v>
      </c>
    </row>
    <row r="347" spans="1:2">
      <c r="A347" s="1">
        <v>2010105960</v>
      </c>
      <c r="B347" s="1" t="s">
        <v>424</v>
      </c>
    </row>
    <row r="348" spans="1:2">
      <c r="A348" s="1">
        <v>2010105070</v>
      </c>
      <c r="B348" s="1" t="s">
        <v>425</v>
      </c>
    </row>
    <row r="349" spans="1:2">
      <c r="A349" s="1">
        <v>2010100080</v>
      </c>
      <c r="B349" s="1" t="s">
        <v>426</v>
      </c>
    </row>
    <row r="350" spans="1:2">
      <c r="A350" s="1">
        <v>2010100850</v>
      </c>
      <c r="B350" s="1" t="s">
        <v>427</v>
      </c>
    </row>
    <row r="351" spans="1:2">
      <c r="A351" s="1">
        <v>2010100740</v>
      </c>
      <c r="B351" s="1" t="s">
        <v>428</v>
      </c>
    </row>
    <row r="352" spans="1:2">
      <c r="A352" s="1">
        <v>2010100840</v>
      </c>
      <c r="B352" s="1" t="s">
        <v>429</v>
      </c>
    </row>
    <row r="353" spans="1:2">
      <c r="A353" s="1">
        <v>2010101620</v>
      </c>
      <c r="B353" s="1" t="s">
        <v>430</v>
      </c>
    </row>
    <row r="354" spans="1:2">
      <c r="A354" s="1">
        <v>2010101040</v>
      </c>
      <c r="B354" s="1" t="s">
        <v>431</v>
      </c>
    </row>
    <row r="355" spans="1:2">
      <c r="A355" s="1">
        <v>2010104620</v>
      </c>
      <c r="B355" s="1" t="s">
        <v>432</v>
      </c>
    </row>
    <row r="356" spans="1:2">
      <c r="A356" s="1">
        <v>2010103190</v>
      </c>
      <c r="B356" s="1" t="s">
        <v>433</v>
      </c>
    </row>
    <row r="357" spans="1:2">
      <c r="A357" s="1">
        <v>2010100440</v>
      </c>
      <c r="B357" s="1" t="s">
        <v>434</v>
      </c>
    </row>
    <row r="358" spans="1:2">
      <c r="A358" s="1">
        <v>2010100890</v>
      </c>
      <c r="B358" s="1" t="s">
        <v>435</v>
      </c>
    </row>
    <row r="359" spans="1:2">
      <c r="A359" s="1">
        <v>2010105730</v>
      </c>
      <c r="B359" s="1" t="s">
        <v>436</v>
      </c>
    </row>
    <row r="360" spans="1:2">
      <c r="A360" s="1">
        <v>2010100760</v>
      </c>
      <c r="B360" s="1" t="s">
        <v>437</v>
      </c>
    </row>
    <row r="361" spans="1:2">
      <c r="A361" s="1">
        <v>2010100580</v>
      </c>
      <c r="B361" s="1" t="s">
        <v>438</v>
      </c>
    </row>
    <row r="362" spans="1:2">
      <c r="A362" s="1">
        <v>2010101800</v>
      </c>
      <c r="B362" s="1" t="s">
        <v>80</v>
      </c>
    </row>
    <row r="363" spans="1:2">
      <c r="A363" s="1">
        <v>2010100520</v>
      </c>
      <c r="B363" s="1" t="s">
        <v>439</v>
      </c>
    </row>
    <row r="364" spans="1:2">
      <c r="A364" s="1">
        <v>2010104500</v>
      </c>
      <c r="B364" s="1" t="s">
        <v>440</v>
      </c>
    </row>
    <row r="365" spans="1:2">
      <c r="A365" s="1">
        <v>2010100980</v>
      </c>
      <c r="B365" s="1" t="s">
        <v>441</v>
      </c>
    </row>
    <row r="366" spans="1:2">
      <c r="A366" s="1">
        <v>3090300100</v>
      </c>
      <c r="B366" s="1" t="s">
        <v>442</v>
      </c>
    </row>
    <row r="367" spans="1:2">
      <c r="A367" s="1">
        <v>3090300010</v>
      </c>
      <c r="B367" s="1" t="s">
        <v>443</v>
      </c>
    </row>
    <row r="368" spans="1:2">
      <c r="A368" s="1">
        <v>3090300070</v>
      </c>
      <c r="B368" s="1" t="s">
        <v>444</v>
      </c>
    </row>
    <row r="369" spans="1:2">
      <c r="A369" s="1">
        <v>3090100190</v>
      </c>
      <c r="B369" s="1" t="s">
        <v>445</v>
      </c>
    </row>
    <row r="370" spans="1:2">
      <c r="A370" s="1">
        <v>3010500010</v>
      </c>
      <c r="B370" s="1" t="s">
        <v>446</v>
      </c>
    </row>
    <row r="371" spans="1:2">
      <c r="A371" s="1">
        <v>3040300020</v>
      </c>
      <c r="B371" s="1" t="s">
        <v>447</v>
      </c>
    </row>
    <row r="372" spans="1:2">
      <c r="A372" s="1">
        <v>3090104290</v>
      </c>
      <c r="B372" s="1" t="s">
        <v>448</v>
      </c>
    </row>
    <row r="373" spans="1:2">
      <c r="A373" s="1">
        <v>3090104260</v>
      </c>
      <c r="B373" s="1" t="s">
        <v>449</v>
      </c>
    </row>
    <row r="374" spans="1:2">
      <c r="A374" s="1">
        <v>3090105140</v>
      </c>
      <c r="B374" s="1" t="s">
        <v>450</v>
      </c>
    </row>
    <row r="375" spans="1:2">
      <c r="A375" s="1">
        <v>3090104270</v>
      </c>
      <c r="B375" s="1" t="s">
        <v>451</v>
      </c>
    </row>
    <row r="376" spans="1:2">
      <c r="A376" s="1">
        <v>3090104310</v>
      </c>
      <c r="B376" s="1" t="s">
        <v>452</v>
      </c>
    </row>
    <row r="377" spans="1:2">
      <c r="A377" s="1">
        <v>3090104280</v>
      </c>
      <c r="B377" s="1" t="s">
        <v>453</v>
      </c>
    </row>
    <row r="378" spans="1:2">
      <c r="A378" s="1">
        <v>3090105160</v>
      </c>
      <c r="B378" s="1" t="s">
        <v>454</v>
      </c>
    </row>
    <row r="379" spans="1:2">
      <c r="A379" s="1">
        <v>3042500280</v>
      </c>
      <c r="B379" s="1" t="s">
        <v>455</v>
      </c>
    </row>
    <row r="380" spans="1:2">
      <c r="A380" s="1">
        <v>3040302500</v>
      </c>
      <c r="B380" s="1" t="s">
        <v>456</v>
      </c>
    </row>
    <row r="381" spans="1:2">
      <c r="A381" s="1">
        <v>3040302510</v>
      </c>
      <c r="B381" s="1" t="s">
        <v>457</v>
      </c>
    </row>
    <row r="382" spans="1:2">
      <c r="A382" s="1">
        <v>3040302490</v>
      </c>
      <c r="B382" s="1" t="s">
        <v>458</v>
      </c>
    </row>
    <row r="383" spans="1:2">
      <c r="A383" s="1">
        <v>3040500090</v>
      </c>
      <c r="B383" s="1" t="s">
        <v>459</v>
      </c>
    </row>
    <row r="384" spans="1:2">
      <c r="A384" s="1">
        <v>3040500120</v>
      </c>
      <c r="B384" s="1" t="s">
        <v>460</v>
      </c>
    </row>
    <row r="385" spans="1:2">
      <c r="A385" s="1">
        <v>3090100120</v>
      </c>
      <c r="B385" s="1" t="s">
        <v>461</v>
      </c>
    </row>
    <row r="386" spans="1:2">
      <c r="A386" s="1">
        <v>3090100140</v>
      </c>
      <c r="B386" s="1" t="s">
        <v>462</v>
      </c>
    </row>
    <row r="387" spans="1:2">
      <c r="A387" s="1">
        <v>3090100160</v>
      </c>
      <c r="B387" s="1" t="s">
        <v>463</v>
      </c>
    </row>
    <row r="388" spans="1:2">
      <c r="A388" s="1">
        <v>3090306850</v>
      </c>
      <c r="B388" s="1" t="s">
        <v>114</v>
      </c>
    </row>
    <row r="389" spans="1:2">
      <c r="A389" s="1">
        <v>3090306880</v>
      </c>
      <c r="B389" s="1" t="s">
        <v>112</v>
      </c>
    </row>
    <row r="390" spans="1:2">
      <c r="A390" s="1">
        <v>3090306860</v>
      </c>
      <c r="B390" s="1" t="s">
        <v>113</v>
      </c>
    </row>
    <row r="391" spans="1:2">
      <c r="A391" s="1">
        <v>3090306870</v>
      </c>
      <c r="B391" s="1" t="s">
        <v>115</v>
      </c>
    </row>
    <row r="392" spans="1:2">
      <c r="A392" s="1">
        <v>2051700011</v>
      </c>
      <c r="B392" s="1" t="s">
        <v>464</v>
      </c>
    </row>
    <row r="393" spans="1:2">
      <c r="A393" s="1">
        <v>3080300190</v>
      </c>
      <c r="B393" s="1" t="s">
        <v>128</v>
      </c>
    </row>
    <row r="394" spans="1:2">
      <c r="A394" s="1">
        <v>3080500050</v>
      </c>
      <c r="B394" s="1" t="s">
        <v>465</v>
      </c>
    </row>
    <row r="395" spans="1:2">
      <c r="A395" s="1">
        <v>2090101331</v>
      </c>
      <c r="B395" s="1" t="s">
        <v>466</v>
      </c>
    </row>
    <row r="396" spans="1:2">
      <c r="A396" s="1">
        <v>2091100101</v>
      </c>
      <c r="B396" s="1" t="s">
        <v>467</v>
      </c>
    </row>
    <row r="397" spans="1:2">
      <c r="A397" s="1">
        <v>3020127909</v>
      </c>
      <c r="B397" s="1" t="s">
        <v>127</v>
      </c>
    </row>
    <row r="398" spans="1:2">
      <c r="A398" s="1">
        <v>3010100030</v>
      </c>
      <c r="B398" s="1" t="s">
        <v>468</v>
      </c>
    </row>
    <row r="399" spans="1:2">
      <c r="A399" s="1">
        <v>3010101430</v>
      </c>
      <c r="B399" s="1" t="s">
        <v>469</v>
      </c>
    </row>
    <row r="400" spans="1:2">
      <c r="A400" s="1">
        <v>3040702190</v>
      </c>
      <c r="B400" s="1" t="s">
        <v>121</v>
      </c>
    </row>
    <row r="401" spans="1:2">
      <c r="A401" s="1">
        <v>3040702220</v>
      </c>
      <c r="B401" s="1" t="s">
        <v>122</v>
      </c>
    </row>
    <row r="402" spans="1:2">
      <c r="A402" s="1">
        <v>3040701960</v>
      </c>
      <c r="B402" s="1" t="s">
        <v>470</v>
      </c>
    </row>
    <row r="403" spans="1:2">
      <c r="A403" s="1">
        <v>2010900081</v>
      </c>
      <c r="B403" s="1" t="s">
        <v>471</v>
      </c>
    </row>
    <row r="404" spans="1:2">
      <c r="A404" s="1">
        <v>2010900111</v>
      </c>
      <c r="B404" s="1" t="s">
        <v>472</v>
      </c>
    </row>
    <row r="405" spans="1:2">
      <c r="A405" s="1">
        <v>2010900011</v>
      </c>
      <c r="B405" s="1" t="s">
        <v>473</v>
      </c>
    </row>
    <row r="406" spans="1:2">
      <c r="A406" s="1">
        <v>2100300342</v>
      </c>
      <c r="B406" s="1" t="s">
        <v>474</v>
      </c>
    </row>
    <row r="407" spans="1:2">
      <c r="A407" s="1">
        <v>2100500061</v>
      </c>
      <c r="B407" s="1" t="s">
        <v>475</v>
      </c>
    </row>
    <row r="408" spans="1:2">
      <c r="A408" s="1">
        <v>2100300362</v>
      </c>
      <c r="B408" s="1" t="s">
        <v>476</v>
      </c>
    </row>
    <row r="409" spans="1:2">
      <c r="A409" s="1">
        <v>2100300012</v>
      </c>
      <c r="B409" s="1" t="s">
        <v>477</v>
      </c>
    </row>
    <row r="410" spans="1:2">
      <c r="A410" s="1">
        <v>3010101350</v>
      </c>
      <c r="B410" s="1" t="s">
        <v>478</v>
      </c>
    </row>
    <row r="411" spans="1:2">
      <c r="A411" s="1">
        <v>2060900031</v>
      </c>
      <c r="B411" s="1" t="s">
        <v>479</v>
      </c>
    </row>
    <row r="412" spans="1:2">
      <c r="A412" s="1">
        <v>2040300071</v>
      </c>
      <c r="B412" s="1" t="s">
        <v>480</v>
      </c>
    </row>
    <row r="413" spans="1:2">
      <c r="A413" s="1">
        <v>2060700192</v>
      </c>
      <c r="B413" s="1" t="s">
        <v>481</v>
      </c>
    </row>
    <row r="414" spans="1:2">
      <c r="A414" s="1">
        <v>2060700011</v>
      </c>
      <c r="B414" s="1" t="s">
        <v>482</v>
      </c>
    </row>
    <row r="415" spans="1:2">
      <c r="A415" s="1">
        <v>2060900521</v>
      </c>
      <c r="B415" s="1" t="s">
        <v>483</v>
      </c>
    </row>
    <row r="416" spans="1:2">
      <c r="A416" s="1">
        <v>2060900061</v>
      </c>
      <c r="B416" s="1" t="s">
        <v>76</v>
      </c>
    </row>
    <row r="417" spans="1:2">
      <c r="A417" s="1">
        <v>2060900071</v>
      </c>
      <c r="B417" s="1" t="s">
        <v>92</v>
      </c>
    </row>
    <row r="418" spans="1:2">
      <c r="A418" s="1">
        <v>2060900513</v>
      </c>
      <c r="B418" s="1" t="s">
        <v>484</v>
      </c>
    </row>
    <row r="419" spans="1:2">
      <c r="A419" s="1">
        <v>2060900511</v>
      </c>
      <c r="B419" s="1" t="s">
        <v>485</v>
      </c>
    </row>
    <row r="420" spans="1:2">
      <c r="A420" s="1">
        <v>2060900051</v>
      </c>
      <c r="B420" s="1" t="s">
        <v>486</v>
      </c>
    </row>
    <row r="421" spans="1:2">
      <c r="A421" s="1">
        <v>2050900761</v>
      </c>
      <c r="B421" s="1" t="s">
        <v>487</v>
      </c>
    </row>
    <row r="422" spans="1:2">
      <c r="A422" s="1">
        <v>2011100011</v>
      </c>
      <c r="B422" s="1" t="s">
        <v>488</v>
      </c>
    </row>
    <row r="423" spans="1:2">
      <c r="A423" s="1">
        <v>2011100051</v>
      </c>
      <c r="B423" s="1" t="s">
        <v>489</v>
      </c>
    </row>
    <row r="424" spans="1:2">
      <c r="A424" s="1">
        <v>2011100071</v>
      </c>
      <c r="B424" s="1" t="s">
        <v>490</v>
      </c>
    </row>
    <row r="425" spans="1:2">
      <c r="A425" s="1">
        <v>2011100061</v>
      </c>
      <c r="B425" s="1" t="s">
        <v>491</v>
      </c>
    </row>
    <row r="426" spans="1:2">
      <c r="A426" s="1">
        <v>2011100091</v>
      </c>
      <c r="B426" s="1" t="s">
        <v>492</v>
      </c>
    </row>
    <row r="427" spans="1:2">
      <c r="A427" s="1">
        <v>2011100111</v>
      </c>
      <c r="B427" s="1" t="s">
        <v>493</v>
      </c>
    </row>
    <row r="428" spans="1:2">
      <c r="A428" s="1">
        <v>2011100121</v>
      </c>
      <c r="B428" s="1" t="s">
        <v>494</v>
      </c>
    </row>
    <row r="429" spans="1:2">
      <c r="A429" s="1">
        <v>2011100131</v>
      </c>
      <c r="B429" s="1" t="s">
        <v>495</v>
      </c>
    </row>
    <row r="430" spans="1:2">
      <c r="A430" s="1">
        <v>3080100010</v>
      </c>
      <c r="B430" s="1" t="s">
        <v>496</v>
      </c>
    </row>
  </sheetData>
  <phoneticPr fontId="15" type="noConversion"/>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34"/>
  <sheetViews>
    <sheetView workbookViewId="0">
      <selection activeCell="B2" sqref="B2:B30"/>
    </sheetView>
  </sheetViews>
  <sheetFormatPr defaultRowHeight="14.5"/>
  <cols>
    <col min="1" max="1" width="71.54296875" bestFit="1" customWidth="1"/>
    <col min="2" max="2" width="6.453125" style="8" bestFit="1" customWidth="1"/>
    <col min="3" max="3" width="5" bestFit="1" customWidth="1"/>
  </cols>
  <sheetData>
    <row r="1" spans="1:3">
      <c r="A1" s="3" t="s">
        <v>15</v>
      </c>
      <c r="B1" s="3" t="s">
        <v>16</v>
      </c>
      <c r="C1" s="3" t="s">
        <v>17</v>
      </c>
    </row>
    <row r="2" spans="1:3">
      <c r="A2" s="10" t="s">
        <v>62</v>
      </c>
      <c r="B2" s="11"/>
      <c r="C2" s="10"/>
    </row>
    <row r="3" spans="1:3">
      <c r="A3" s="4" t="s">
        <v>18</v>
      </c>
      <c r="B3" s="5"/>
      <c r="C3" s="4"/>
    </row>
    <row r="4" spans="1:3">
      <c r="A4" s="6" t="s">
        <v>19</v>
      </c>
      <c r="B4" s="7"/>
      <c r="C4" s="6"/>
    </row>
    <row r="5" spans="1:3">
      <c r="A5" s="4" t="s">
        <v>20</v>
      </c>
      <c r="B5" s="5"/>
      <c r="C5" s="4"/>
    </row>
    <row r="6" spans="1:3">
      <c r="A6" s="6" t="s">
        <v>21</v>
      </c>
      <c r="B6" s="7"/>
      <c r="C6" s="6"/>
    </row>
    <row r="7" spans="1:3">
      <c r="A7" s="4" t="s">
        <v>22</v>
      </c>
      <c r="B7" s="5"/>
      <c r="C7" s="4"/>
    </row>
    <row r="8" spans="1:3">
      <c r="A8" s="6" t="s">
        <v>23</v>
      </c>
      <c r="B8" s="7"/>
      <c r="C8" s="6"/>
    </row>
    <row r="9" spans="1:3">
      <c r="A9" s="4" t="s">
        <v>24</v>
      </c>
      <c r="B9" s="5"/>
      <c r="C9" s="4"/>
    </row>
    <row r="10" spans="1:3">
      <c r="A10" s="6" t="s">
        <v>25</v>
      </c>
      <c r="B10" s="7"/>
      <c r="C10" s="6"/>
    </row>
    <row r="11" spans="1:3">
      <c r="A11" s="4" t="s">
        <v>26</v>
      </c>
      <c r="B11" s="5"/>
      <c r="C11" s="4"/>
    </row>
    <row r="12" spans="1:3">
      <c r="A12" s="6" t="s">
        <v>27</v>
      </c>
      <c r="B12" s="7"/>
      <c r="C12" s="6"/>
    </row>
    <row r="13" spans="1:3">
      <c r="A13" s="4" t="s">
        <v>28</v>
      </c>
      <c r="B13" s="5"/>
      <c r="C13" s="4"/>
    </row>
    <row r="14" spans="1:3">
      <c r="A14" s="6" t="s">
        <v>29</v>
      </c>
      <c r="B14" s="7"/>
      <c r="C14" s="6"/>
    </row>
    <row r="15" spans="1:3">
      <c r="A15" s="4" t="s">
        <v>30</v>
      </c>
      <c r="B15" s="5"/>
      <c r="C15" s="4"/>
    </row>
    <row r="16" spans="1:3">
      <c r="A16" s="6" t="s">
        <v>31</v>
      </c>
      <c r="B16" s="7"/>
      <c r="C16" s="6"/>
    </row>
    <row r="17" spans="1:3">
      <c r="A17" s="4" t="s">
        <v>32</v>
      </c>
      <c r="B17" s="5"/>
      <c r="C17" s="4"/>
    </row>
    <row r="18" spans="1:3">
      <c r="A18" s="6" t="s">
        <v>33</v>
      </c>
      <c r="B18" s="7"/>
      <c r="C18" s="6"/>
    </row>
    <row r="19" spans="1:3">
      <c r="A19" s="4" t="s">
        <v>34</v>
      </c>
      <c r="B19" s="5"/>
      <c r="C19" s="4"/>
    </row>
    <row r="20" spans="1:3">
      <c r="A20" s="6" t="s">
        <v>35</v>
      </c>
      <c r="B20" s="7"/>
      <c r="C20" s="6"/>
    </row>
    <row r="21" spans="1:3">
      <c r="A21" s="4" t="s">
        <v>36</v>
      </c>
      <c r="B21" s="5"/>
      <c r="C21" s="4"/>
    </row>
    <row r="22" spans="1:3">
      <c r="A22" s="6" t="s">
        <v>37</v>
      </c>
      <c r="B22" s="7"/>
      <c r="C22" s="6"/>
    </row>
    <row r="23" spans="1:3">
      <c r="A23" s="4" t="s">
        <v>51</v>
      </c>
      <c r="B23" s="5"/>
      <c r="C23" s="4"/>
    </row>
    <row r="24" spans="1:3">
      <c r="A24" s="6" t="s">
        <v>38</v>
      </c>
      <c r="B24" s="7"/>
      <c r="C24" s="6"/>
    </row>
    <row r="25" spans="1:3">
      <c r="A25" s="4" t="s">
        <v>39</v>
      </c>
      <c r="B25" s="5"/>
      <c r="C25" s="4"/>
    </row>
    <row r="26" spans="1:3">
      <c r="A26" s="6" t="s">
        <v>40</v>
      </c>
      <c r="B26" s="7"/>
      <c r="C26" s="6"/>
    </row>
    <row r="27" spans="1:3">
      <c r="A27" s="4" t="s">
        <v>41</v>
      </c>
      <c r="B27" s="5"/>
      <c r="C27" s="4"/>
    </row>
    <row r="28" spans="1:3">
      <c r="A28" s="6" t="s">
        <v>42</v>
      </c>
      <c r="B28" s="7"/>
      <c r="C28" s="6"/>
    </row>
    <row r="29" spans="1:3">
      <c r="A29" s="4" t="s">
        <v>43</v>
      </c>
      <c r="B29" s="5"/>
      <c r="C29" s="4"/>
    </row>
    <row r="30" spans="1:3">
      <c r="A30" s="6" t="s">
        <v>67</v>
      </c>
      <c r="B30" s="7"/>
      <c r="C30" s="6"/>
    </row>
    <row r="32" spans="1:3">
      <c r="A32" t="s">
        <v>64</v>
      </c>
    </row>
    <row r="33" spans="1:1">
      <c r="A33" s="9"/>
    </row>
    <row r="34" spans="1:1">
      <c r="A34" t="s">
        <v>55</v>
      </c>
    </row>
  </sheetData>
  <phoneticPr fontId="15" type="noConversion"/>
  <pageMargins left="0.511811024" right="0.511811024" top="0.78740157499999996" bottom="0.78740157499999996" header="0.31496062000000002" footer="0.31496062000000002"/>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6"/>
  <sheetViews>
    <sheetView workbookViewId="0">
      <selection activeCell="A7" sqref="A7"/>
    </sheetView>
  </sheetViews>
  <sheetFormatPr defaultRowHeight="14.5"/>
  <sheetData>
    <row r="1" spans="1:1">
      <c r="A1" t="s">
        <v>56</v>
      </c>
    </row>
    <row r="2" spans="1:1">
      <c r="A2" t="s">
        <v>57</v>
      </c>
    </row>
    <row r="3" spans="1:1">
      <c r="A3" t="s">
        <v>58</v>
      </c>
    </row>
    <row r="4" spans="1:1">
      <c r="A4" t="s">
        <v>59</v>
      </c>
    </row>
    <row r="5" spans="1:1">
      <c r="A5" t="s">
        <v>60</v>
      </c>
    </row>
    <row r="6" spans="1:1">
      <c r="A6" t="s">
        <v>61</v>
      </c>
    </row>
  </sheetData>
  <phoneticPr fontId="15"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Material for production</vt:lpstr>
      <vt:lpstr>Revision status 11.10.22</vt:lpstr>
      <vt:lpstr>Old descriptions</vt:lpstr>
      <vt:lpstr>Checklist (for Eletra's use)</vt:lpstr>
      <vt:lpstr>Plan1</vt:lpstr>
      <vt:lpstr>'Material for production'!Area_de_impressao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Kazuhito Shirasu</dc:creator>
  <cp:lastModifiedBy>Francisco Valdi de Oliveira Junior</cp:lastModifiedBy>
  <cp:lastPrinted>2022-11-03T20:30:59Z</cp:lastPrinted>
  <dcterms:created xsi:type="dcterms:W3CDTF">2013-10-14T16:38:53Z</dcterms:created>
  <dcterms:modified xsi:type="dcterms:W3CDTF">2026-08-18T14:35:39Z</dcterms:modified>
</cp:coreProperties>
</file>